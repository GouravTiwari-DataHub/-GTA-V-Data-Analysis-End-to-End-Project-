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5.xml" ContentType="application/vnd.openxmlformats-officedocument.drawing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6.xml" ContentType="application/vnd.openxmlformats-officedocument.drawing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7.xml" ContentType="application/vnd.openxmlformats-officedocument.drawing+xml"/>
  <Override PartName="/xl/pivotTables/pivotTable16.xml" ContentType="application/vnd.openxmlformats-officedocument.spreadsheetml.pivotTable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war\Downloads\"/>
    </mc:Choice>
  </mc:AlternateContent>
  <xr:revisionPtr revIDLastSave="0" documentId="13_ncr:1_{83486B9D-0B2C-4291-B574-92CB116A632A}" xr6:coauthVersionLast="47" xr6:coauthVersionMax="47" xr10:uidLastSave="{00000000-0000-0000-0000-000000000000}"/>
  <bookViews>
    <workbookView xWindow="-108" yWindow="-108" windowWidth="23256" windowHeight="12456" firstSheet="6" activeTab="7" xr2:uid="{00000000-000D-0000-FFFF-FFFF00000000}"/>
  </bookViews>
  <sheets>
    <sheet name="Dataset" sheetId="1" r:id="rId1"/>
    <sheet name="Questions We Have to Solve." sheetId="3" r:id="rId2"/>
    <sheet name="1.Demographics and Distribution" sheetId="2" r:id="rId3"/>
    <sheet name="2.Health &amp; Fitness Analysis" sheetId="4" r:id="rId4"/>
    <sheet name="3.Workout Habits." sheetId="5" r:id="rId5"/>
    <sheet name="4.Calories &amp; Performance" sheetId="8" r:id="rId6"/>
    <sheet name="5.Heart Rate &amp; Endurance" sheetId="11" r:id="rId7"/>
    <sheet name="6.Hydration &amp; Fat Percentage" sheetId="13" r:id="rId8"/>
    <sheet name="7.Comparative Analysis" sheetId="15" r:id="rId9"/>
  </sheets>
  <definedNames>
    <definedName name="_xlnm._FilterDatabase" localSheetId="8" hidden="1">'7.Comparative Analysis'!$B$8:$D$18</definedName>
  </definedNames>
  <calcPr calcId="191029"/>
  <pivotCaches>
    <pivotCache cacheId="0" r:id="rId10"/>
    <pivotCache cacheId="1" r:id="rId11"/>
    <pivotCache cacheId="2" r:id="rId12"/>
    <pivotCache cacheId="3" r:id="rId13"/>
    <pivotCache cacheId="6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" l="1" a="1"/>
  <c r="T3" i="1" s="1"/>
  <c r="T4" i="1" a="1"/>
  <c r="T4" i="1" s="1"/>
  <c r="T5" i="1" a="1"/>
  <c r="T5" i="1"/>
  <c r="T6" i="1" a="1"/>
  <c r="T6" i="1"/>
  <c r="T7" i="1" a="1"/>
  <c r="T7" i="1"/>
  <c r="T8" i="1" a="1"/>
  <c r="T8" i="1"/>
  <c r="T9" i="1" a="1"/>
  <c r="T9" i="1"/>
  <c r="T10" i="1" a="1"/>
  <c r="T10" i="1"/>
  <c r="T11" i="1" a="1"/>
  <c r="T11" i="1" s="1"/>
  <c r="T12" i="1" a="1"/>
  <c r="T12" i="1" s="1"/>
  <c r="T13" i="1" a="1"/>
  <c r="T13" i="1"/>
  <c r="T14" i="1" a="1"/>
  <c r="T14" i="1"/>
  <c r="T15" i="1" a="1"/>
  <c r="T15" i="1"/>
  <c r="T16" i="1" a="1"/>
  <c r="T16" i="1"/>
  <c r="T17" i="1" a="1"/>
  <c r="T17" i="1"/>
  <c r="T18" i="1" a="1"/>
  <c r="T18" i="1"/>
  <c r="T19" i="1" a="1"/>
  <c r="T19" i="1" s="1"/>
  <c r="T20" i="1" a="1"/>
  <c r="T20" i="1" s="1"/>
  <c r="T21" i="1" a="1"/>
  <c r="T21" i="1"/>
  <c r="T22" i="1" a="1"/>
  <c r="T22" i="1" s="1"/>
  <c r="T23" i="1" a="1"/>
  <c r="T23" i="1"/>
  <c r="T24" i="1" a="1"/>
  <c r="T24" i="1" s="1"/>
  <c r="T25" i="1" a="1"/>
  <c r="T25" i="1"/>
  <c r="T26" i="1" a="1"/>
  <c r="T26" i="1"/>
  <c r="T27" i="1" a="1"/>
  <c r="T27" i="1" s="1"/>
  <c r="T28" i="1" a="1"/>
  <c r="T28" i="1" s="1"/>
  <c r="T29" i="1" a="1"/>
  <c r="T29" i="1"/>
  <c r="T30" i="1" a="1"/>
  <c r="T30" i="1"/>
  <c r="T31" i="1" a="1"/>
  <c r="T31" i="1" s="1"/>
  <c r="T32" i="1" a="1"/>
  <c r="T32" i="1"/>
  <c r="T33" i="1" a="1"/>
  <c r="T33" i="1" s="1"/>
  <c r="T34" i="1" a="1"/>
  <c r="T34" i="1"/>
  <c r="T35" i="1" a="1"/>
  <c r="T35" i="1" s="1"/>
  <c r="T36" i="1" a="1"/>
  <c r="T36" i="1" s="1"/>
  <c r="T37" i="1" a="1"/>
  <c r="T37" i="1"/>
  <c r="T38" i="1" a="1"/>
  <c r="T38" i="1"/>
  <c r="T39" i="1" a="1"/>
  <c r="T39" i="1"/>
  <c r="T40" i="1" a="1"/>
  <c r="T40" i="1" s="1"/>
  <c r="T41" i="1" a="1"/>
  <c r="T41" i="1" s="1"/>
  <c r="T42" i="1" a="1"/>
  <c r="T42" i="1" s="1"/>
  <c r="T43" i="1" a="1"/>
  <c r="T43" i="1" s="1"/>
  <c r="T44" i="1" a="1"/>
  <c r="T44" i="1" s="1"/>
  <c r="T45" i="1" a="1"/>
  <c r="T45" i="1"/>
  <c r="T46" i="1" a="1"/>
  <c r="T46" i="1"/>
  <c r="T47" i="1" a="1"/>
  <c r="T47" i="1"/>
  <c r="T48" i="1" a="1"/>
  <c r="T48" i="1"/>
  <c r="T49" i="1" a="1"/>
  <c r="T49" i="1" s="1"/>
  <c r="T50" i="1" a="1"/>
  <c r="T50" i="1" s="1"/>
  <c r="T51" i="1" a="1"/>
  <c r="T51" i="1" s="1"/>
  <c r="T52" i="1" a="1"/>
  <c r="T52" i="1" s="1"/>
  <c r="T53" i="1" a="1"/>
  <c r="T53" i="1"/>
  <c r="T54" i="1" a="1"/>
  <c r="T54" i="1"/>
  <c r="T55" i="1" a="1"/>
  <c r="T55" i="1"/>
  <c r="T56" i="1" a="1"/>
  <c r="T56" i="1"/>
  <c r="T57" i="1" a="1"/>
  <c r="T57" i="1"/>
  <c r="T58" i="1" a="1"/>
  <c r="T58" i="1" s="1"/>
  <c r="T59" i="1" a="1"/>
  <c r="T59" i="1" s="1"/>
  <c r="T60" i="1" a="1"/>
  <c r="T60" i="1" s="1"/>
  <c r="T61" i="1" a="1"/>
  <c r="T61" i="1" s="1"/>
  <c r="T62" i="1" a="1"/>
  <c r="T62" i="1"/>
  <c r="T63" i="1" a="1"/>
  <c r="T63" i="1"/>
  <c r="T64" i="1" a="1"/>
  <c r="T64" i="1"/>
  <c r="T65" i="1" a="1"/>
  <c r="T65" i="1"/>
  <c r="T66" i="1" a="1"/>
  <c r="T66" i="1"/>
  <c r="T67" i="1" a="1"/>
  <c r="T67" i="1" s="1"/>
  <c r="T68" i="1" a="1"/>
  <c r="T68" i="1" s="1"/>
  <c r="T69" i="1" a="1"/>
  <c r="T69" i="1" s="1"/>
  <c r="T70" i="1" a="1"/>
  <c r="T70" i="1" s="1"/>
  <c r="T71" i="1" a="1"/>
  <c r="T71" i="1" s="1"/>
  <c r="T72" i="1" a="1"/>
  <c r="T72" i="1"/>
  <c r="T73" i="1" a="1"/>
  <c r="T73" i="1"/>
  <c r="T74" i="1" a="1"/>
  <c r="T74" i="1"/>
  <c r="T75" i="1" a="1"/>
  <c r="T75" i="1" s="1"/>
  <c r="T76" i="1" a="1"/>
  <c r="T76" i="1" s="1"/>
  <c r="T77" i="1" a="1"/>
  <c r="T77" i="1" s="1"/>
  <c r="T78" i="1" a="1"/>
  <c r="T78" i="1" s="1"/>
  <c r="T79" i="1" a="1"/>
  <c r="T79" i="1"/>
  <c r="T80" i="1" a="1"/>
  <c r="T80" i="1" s="1"/>
  <c r="T81" i="1" a="1"/>
  <c r="T81" i="1"/>
  <c r="T82" i="1" a="1"/>
  <c r="T82" i="1"/>
  <c r="T83" i="1" a="1"/>
  <c r="T83" i="1" s="1"/>
  <c r="T84" i="1" a="1"/>
  <c r="T84" i="1" s="1"/>
  <c r="T85" i="1" a="1"/>
  <c r="T85" i="1" s="1"/>
  <c r="T86" i="1" a="1"/>
  <c r="T86" i="1"/>
  <c r="T87" i="1" a="1"/>
  <c r="T87" i="1"/>
  <c r="T88" i="1" a="1"/>
  <c r="T88" i="1" s="1"/>
  <c r="T89" i="1" a="1"/>
  <c r="T89" i="1" s="1"/>
  <c r="T90" i="1" a="1"/>
  <c r="T90" i="1" s="1"/>
  <c r="T91" i="1" a="1"/>
  <c r="T91" i="1" s="1"/>
  <c r="T92" i="1" a="1"/>
  <c r="T92" i="1" s="1"/>
  <c r="T93" i="1" a="1"/>
  <c r="T93" i="1" s="1"/>
  <c r="T94" i="1" a="1"/>
  <c r="T94" i="1"/>
  <c r="T95" i="1" a="1"/>
  <c r="T95" i="1"/>
  <c r="T96" i="1" a="1"/>
  <c r="T96" i="1"/>
  <c r="T97" i="1" a="1"/>
  <c r="T97" i="1" s="1"/>
  <c r="T98" i="1" a="1"/>
  <c r="T98" i="1"/>
  <c r="T99" i="1" a="1"/>
  <c r="T99" i="1" s="1"/>
  <c r="T100" i="1" a="1"/>
  <c r="T100" i="1" s="1"/>
  <c r="T101" i="1" a="1"/>
  <c r="T101" i="1" s="1"/>
  <c r="T102" i="1" a="1"/>
  <c r="T102" i="1"/>
  <c r="T103" i="1" a="1"/>
  <c r="T103" i="1"/>
  <c r="T104" i="1" a="1"/>
  <c r="T104" i="1"/>
  <c r="T105" i="1" a="1"/>
  <c r="T105" i="1"/>
  <c r="T106" i="1" a="1"/>
  <c r="T106" i="1"/>
  <c r="T107" i="1" a="1"/>
  <c r="T107" i="1" s="1"/>
  <c r="T108" i="1" a="1"/>
  <c r="T108" i="1" s="1"/>
  <c r="T109" i="1" a="1"/>
  <c r="T109" i="1" s="1"/>
  <c r="T110" i="1" a="1"/>
  <c r="T110" i="1" s="1"/>
  <c r="T111" i="1" a="1"/>
  <c r="T111" i="1"/>
  <c r="T112" i="1" a="1"/>
  <c r="T112" i="1"/>
  <c r="T113" i="1" a="1"/>
  <c r="T113" i="1"/>
  <c r="T114" i="1" a="1"/>
  <c r="T114" i="1"/>
  <c r="T115" i="1" a="1"/>
  <c r="T115" i="1" s="1"/>
  <c r="T116" i="1" a="1"/>
  <c r="T116" i="1" s="1"/>
  <c r="T117" i="1" a="1"/>
  <c r="T117" i="1" s="1"/>
  <c r="T118" i="1" a="1"/>
  <c r="T118" i="1" s="1"/>
  <c r="T119" i="1" a="1"/>
  <c r="T119" i="1" s="1"/>
  <c r="T120" i="1" a="1"/>
  <c r="T120" i="1" s="1"/>
  <c r="T121" i="1" a="1"/>
  <c r="T121" i="1"/>
  <c r="T122" i="1" a="1"/>
  <c r="T122" i="1"/>
  <c r="T123" i="1" a="1"/>
  <c r="T123" i="1" s="1"/>
  <c r="T124" i="1" a="1"/>
  <c r="T124" i="1" s="1"/>
  <c r="T125" i="1" a="1"/>
  <c r="T125" i="1" s="1"/>
  <c r="T126" i="1" a="1"/>
  <c r="T126" i="1"/>
  <c r="T127" i="1" a="1"/>
  <c r="T127" i="1" s="1"/>
  <c r="T128" i="1" a="1"/>
  <c r="T128" i="1"/>
  <c r="T129" i="1" a="1"/>
  <c r="T129" i="1" s="1"/>
  <c r="T130" i="1" a="1"/>
  <c r="T130" i="1"/>
  <c r="T131" i="1" a="1"/>
  <c r="T131" i="1" s="1"/>
  <c r="T132" i="1" a="1"/>
  <c r="T132" i="1" s="1"/>
  <c r="T133" i="1" a="1"/>
  <c r="T133" i="1" s="1"/>
  <c r="T134" i="1" a="1"/>
  <c r="T134" i="1"/>
  <c r="T135" i="1" a="1"/>
  <c r="T135" i="1"/>
  <c r="T136" i="1" a="1"/>
  <c r="T136" i="1"/>
  <c r="T137" i="1" a="1"/>
  <c r="T137" i="1" s="1"/>
  <c r="T138" i="1" a="1"/>
  <c r="T138" i="1" s="1"/>
  <c r="T139" i="1" a="1"/>
  <c r="T139" i="1" s="1"/>
  <c r="T140" i="1" a="1"/>
  <c r="T140" i="1" s="1"/>
  <c r="T141" i="1" a="1"/>
  <c r="T141" i="1" s="1"/>
  <c r="T142" i="1" a="1"/>
  <c r="T142" i="1"/>
  <c r="T143" i="1" a="1"/>
  <c r="T143" i="1"/>
  <c r="T144" i="1" a="1"/>
  <c r="T144" i="1"/>
  <c r="T145" i="1" a="1"/>
  <c r="T145" i="1"/>
  <c r="T146" i="1" a="1"/>
  <c r="T146" i="1" s="1"/>
  <c r="T147" i="1" a="1"/>
  <c r="T147" i="1" s="1"/>
  <c r="T148" i="1" a="1"/>
  <c r="T148" i="1" s="1"/>
  <c r="T149" i="1" a="1"/>
  <c r="T149" i="1" s="1"/>
  <c r="T150" i="1" a="1"/>
  <c r="T150" i="1" s="1"/>
  <c r="T151" i="1" a="1"/>
  <c r="T151" i="1"/>
  <c r="T152" i="1" a="1"/>
  <c r="T152" i="1"/>
  <c r="T153" i="1" a="1"/>
  <c r="T153" i="1"/>
  <c r="T154" i="1" a="1"/>
  <c r="T154" i="1"/>
  <c r="T155" i="1" a="1"/>
  <c r="T155" i="1" s="1"/>
  <c r="T156" i="1" a="1"/>
  <c r="T156" i="1" s="1"/>
  <c r="T157" i="1" a="1"/>
  <c r="T157" i="1" s="1"/>
  <c r="T158" i="1" a="1"/>
  <c r="T158" i="1"/>
  <c r="T159" i="1" a="1"/>
  <c r="T159" i="1" s="1"/>
  <c r="T160" i="1" a="1"/>
  <c r="T160" i="1"/>
  <c r="T161" i="1" a="1"/>
  <c r="T161" i="1"/>
  <c r="T162" i="1" a="1"/>
  <c r="T162" i="1"/>
  <c r="T163" i="1" a="1"/>
  <c r="T163" i="1" s="1"/>
  <c r="T164" i="1" a="1"/>
  <c r="T164" i="1" s="1"/>
  <c r="T165" i="1" a="1"/>
  <c r="T165" i="1" s="1"/>
  <c r="T166" i="1" a="1"/>
  <c r="T166" i="1"/>
  <c r="T167" i="1" a="1"/>
  <c r="T167" i="1" s="1"/>
  <c r="T168" i="1" a="1"/>
  <c r="T168" i="1" s="1"/>
  <c r="T169" i="1" a="1"/>
  <c r="T169" i="1" s="1"/>
  <c r="T170" i="1" a="1"/>
  <c r="T170" i="1"/>
  <c r="T171" i="1" a="1"/>
  <c r="T171" i="1" s="1"/>
  <c r="T172" i="1" a="1"/>
  <c r="T172" i="1" s="1"/>
  <c r="T173" i="1" a="1"/>
  <c r="T173" i="1" s="1"/>
  <c r="T174" i="1" a="1"/>
  <c r="T174" i="1"/>
  <c r="T175" i="1" a="1"/>
  <c r="T175" i="1"/>
  <c r="T176" i="1" a="1"/>
  <c r="T176" i="1" s="1"/>
  <c r="T177" i="1" a="1"/>
  <c r="T177" i="1"/>
  <c r="T178" i="1" a="1"/>
  <c r="T178" i="1" s="1"/>
  <c r="T179" i="1" a="1"/>
  <c r="T179" i="1" s="1"/>
  <c r="T180" i="1" a="1"/>
  <c r="T180" i="1" s="1"/>
  <c r="T181" i="1" a="1"/>
  <c r="T181" i="1" s="1"/>
  <c r="T182" i="1" a="1"/>
  <c r="T182" i="1"/>
  <c r="T183" i="1" a="1"/>
  <c r="T183" i="1"/>
  <c r="T184" i="1" a="1"/>
  <c r="T184" i="1"/>
  <c r="T185" i="1" a="1"/>
  <c r="T185" i="1"/>
  <c r="T186" i="1" a="1"/>
  <c r="T186" i="1" s="1"/>
  <c r="T187" i="1" a="1"/>
  <c r="T187" i="1" s="1"/>
  <c r="T188" i="1" a="1"/>
  <c r="T188" i="1" s="1"/>
  <c r="T189" i="1" a="1"/>
  <c r="T189" i="1" s="1"/>
  <c r="T190" i="1" a="1"/>
  <c r="T190" i="1"/>
  <c r="T191" i="1" a="1"/>
  <c r="T191" i="1"/>
  <c r="T192" i="1" a="1"/>
  <c r="T192" i="1"/>
  <c r="T193" i="1" a="1"/>
  <c r="T193" i="1"/>
  <c r="T194" i="1" a="1"/>
  <c r="T194" i="1"/>
  <c r="T195" i="1" a="1"/>
  <c r="T195" i="1" s="1"/>
  <c r="T196" i="1" a="1"/>
  <c r="T196" i="1" s="1"/>
  <c r="T197" i="1" a="1"/>
  <c r="T197" i="1" s="1"/>
  <c r="T198" i="1" a="1"/>
  <c r="T198" i="1" s="1"/>
  <c r="T199" i="1" a="1"/>
  <c r="T199" i="1" s="1"/>
  <c r="T200" i="1" a="1"/>
  <c r="T200" i="1"/>
  <c r="T201" i="1" a="1"/>
  <c r="T201" i="1"/>
  <c r="T202" i="1" a="1"/>
  <c r="T202" i="1"/>
  <c r="T203" i="1" a="1"/>
  <c r="T203" i="1" s="1"/>
  <c r="T204" i="1" a="1"/>
  <c r="T204" i="1" s="1"/>
  <c r="T205" i="1" a="1"/>
  <c r="T205" i="1" s="1"/>
  <c r="T206" i="1" a="1"/>
  <c r="T206" i="1" s="1"/>
  <c r="T207" i="1" a="1"/>
  <c r="T207" i="1"/>
  <c r="T208" i="1" a="1"/>
  <c r="T208" i="1" s="1"/>
  <c r="T209" i="1" a="1"/>
  <c r="T209" i="1"/>
  <c r="T210" i="1" a="1"/>
  <c r="T210" i="1"/>
  <c r="T211" i="1" a="1"/>
  <c r="T211" i="1" s="1"/>
  <c r="T212" i="1" a="1"/>
  <c r="T212" i="1" s="1"/>
  <c r="T213" i="1" a="1"/>
  <c r="T213" i="1" s="1"/>
  <c r="T214" i="1" a="1"/>
  <c r="T214" i="1"/>
  <c r="T215" i="1" a="1"/>
  <c r="T215" i="1"/>
  <c r="T216" i="1" a="1"/>
  <c r="T216" i="1" s="1"/>
  <c r="T217" i="1" a="1"/>
  <c r="T217" i="1" s="1"/>
  <c r="T218" i="1" a="1"/>
  <c r="T218" i="1"/>
  <c r="T219" i="1" a="1"/>
  <c r="T219" i="1" s="1"/>
  <c r="T220" i="1" a="1"/>
  <c r="T220" i="1" s="1"/>
  <c r="T221" i="1" a="1"/>
  <c r="T221" i="1" s="1"/>
  <c r="T222" i="1" a="1"/>
  <c r="T222" i="1"/>
  <c r="T223" i="1" a="1"/>
  <c r="T223" i="1"/>
  <c r="T224" i="1" a="1"/>
  <c r="T224" i="1"/>
  <c r="T225" i="1" a="1"/>
  <c r="T225" i="1" s="1"/>
  <c r="T226" i="1" a="1"/>
  <c r="T226" i="1"/>
  <c r="T227" i="1" a="1"/>
  <c r="T227" i="1" s="1"/>
  <c r="T228" i="1" a="1"/>
  <c r="T228" i="1" s="1"/>
  <c r="T229" i="1" a="1"/>
  <c r="T229" i="1" s="1"/>
  <c r="T230" i="1" a="1"/>
  <c r="T230" i="1"/>
  <c r="T231" i="1" a="1"/>
  <c r="T231" i="1"/>
  <c r="T232" i="1" a="1"/>
  <c r="T232" i="1"/>
  <c r="T233" i="1" a="1"/>
  <c r="T233" i="1"/>
  <c r="T234" i="1" a="1"/>
  <c r="T234" i="1"/>
  <c r="T235" i="1" a="1"/>
  <c r="T235" i="1" s="1"/>
  <c r="T236" i="1" a="1"/>
  <c r="T236" i="1" s="1"/>
  <c r="T237" i="1" a="1"/>
  <c r="T237" i="1" s="1"/>
  <c r="T238" i="1" a="1"/>
  <c r="T238" i="1" s="1"/>
  <c r="T239" i="1" a="1"/>
  <c r="T239" i="1"/>
  <c r="T240" i="1" a="1"/>
  <c r="T240" i="1"/>
  <c r="T241" i="1" a="1"/>
  <c r="T241" i="1"/>
  <c r="T242" i="1" a="1"/>
  <c r="T242" i="1"/>
  <c r="T243" i="1" a="1"/>
  <c r="T243" i="1" s="1"/>
  <c r="T244" i="1" a="1"/>
  <c r="T244" i="1" s="1"/>
  <c r="T245" i="1" a="1"/>
  <c r="T245" i="1" s="1"/>
  <c r="T246" i="1" a="1"/>
  <c r="T246" i="1" s="1"/>
  <c r="T247" i="1" a="1"/>
  <c r="T247" i="1" s="1"/>
  <c r="T248" i="1" a="1"/>
  <c r="T248" i="1" s="1"/>
  <c r="T249" i="1" a="1"/>
  <c r="T249" i="1"/>
  <c r="T250" i="1" a="1"/>
  <c r="T250" i="1"/>
  <c r="T251" i="1" a="1"/>
  <c r="T251" i="1" s="1"/>
  <c r="T252" i="1" a="1"/>
  <c r="T252" i="1" s="1"/>
  <c r="T253" i="1" a="1"/>
  <c r="T253" i="1" s="1"/>
  <c r="T254" i="1" a="1"/>
  <c r="T254" i="1"/>
  <c r="T255" i="1" a="1"/>
  <c r="T255" i="1" s="1"/>
  <c r="T256" i="1" a="1"/>
  <c r="T256" i="1"/>
  <c r="T257" i="1" a="1"/>
  <c r="T257" i="1" s="1"/>
  <c r="T258" i="1" a="1"/>
  <c r="T258" i="1"/>
  <c r="T259" i="1" a="1"/>
  <c r="T259" i="1" s="1"/>
  <c r="T260" i="1" a="1"/>
  <c r="T260" i="1" s="1"/>
  <c r="T261" i="1" a="1"/>
  <c r="T261" i="1" s="1"/>
  <c r="T262" i="1" a="1"/>
  <c r="T262" i="1"/>
  <c r="T263" i="1" a="1"/>
  <c r="T263" i="1"/>
  <c r="T264" i="1" a="1"/>
  <c r="T264" i="1"/>
  <c r="T265" i="1" a="1"/>
  <c r="T265" i="1" s="1"/>
  <c r="T266" i="1" a="1"/>
  <c r="T266" i="1" s="1"/>
  <c r="T267" i="1" a="1"/>
  <c r="T267" i="1" s="1"/>
  <c r="T268" i="1" a="1"/>
  <c r="T268" i="1" s="1"/>
  <c r="T269" i="1" a="1"/>
  <c r="T269" i="1" s="1"/>
  <c r="T270" i="1" a="1"/>
  <c r="T270" i="1"/>
  <c r="T271" i="1" a="1"/>
  <c r="T271" i="1"/>
  <c r="T272" i="1" a="1"/>
  <c r="T272" i="1"/>
  <c r="T273" i="1" a="1"/>
  <c r="T273" i="1"/>
  <c r="T274" i="1" a="1"/>
  <c r="T274" i="1" s="1"/>
  <c r="T275" i="1" a="1"/>
  <c r="T275" i="1" s="1"/>
  <c r="T276" i="1" a="1"/>
  <c r="T276" i="1" s="1"/>
  <c r="T277" i="1" a="1"/>
  <c r="T277" i="1" s="1"/>
  <c r="T278" i="1" a="1"/>
  <c r="T278" i="1" s="1"/>
  <c r="T279" i="1" a="1"/>
  <c r="T279" i="1"/>
  <c r="T280" i="1" a="1"/>
  <c r="T280" i="1"/>
  <c r="T281" i="1" a="1"/>
  <c r="T281" i="1"/>
  <c r="T282" i="1" a="1"/>
  <c r="T282" i="1"/>
  <c r="T283" i="1" a="1"/>
  <c r="T283" i="1" s="1"/>
  <c r="T284" i="1" a="1"/>
  <c r="T284" i="1" s="1"/>
  <c r="T285" i="1" a="1"/>
  <c r="T285" i="1" s="1"/>
  <c r="T286" i="1" a="1"/>
  <c r="T286" i="1"/>
  <c r="T287" i="1" a="1"/>
  <c r="T287" i="1" s="1"/>
  <c r="T288" i="1" a="1"/>
  <c r="T288" i="1"/>
  <c r="T289" i="1" a="1"/>
  <c r="T289" i="1"/>
  <c r="T290" i="1" a="1"/>
  <c r="T290" i="1"/>
  <c r="T291" i="1" a="1"/>
  <c r="T291" i="1" s="1"/>
  <c r="T292" i="1" a="1"/>
  <c r="T292" i="1" s="1"/>
  <c r="T293" i="1" a="1"/>
  <c r="T293" i="1" s="1"/>
  <c r="T294" i="1" a="1"/>
  <c r="T294" i="1"/>
  <c r="T295" i="1" a="1"/>
  <c r="T295" i="1" s="1"/>
  <c r="T296" i="1" a="1"/>
  <c r="T296" i="1" s="1"/>
  <c r="T297" i="1" a="1"/>
  <c r="T297" i="1" s="1"/>
  <c r="T298" i="1" a="1"/>
  <c r="T298" i="1"/>
  <c r="T299" i="1" a="1"/>
  <c r="T299" i="1" s="1"/>
  <c r="T300" i="1" a="1"/>
  <c r="T300" i="1" s="1"/>
  <c r="T301" i="1" a="1"/>
  <c r="T301" i="1" s="1"/>
  <c r="T302" i="1" a="1"/>
  <c r="T302" i="1"/>
  <c r="T303" i="1" a="1"/>
  <c r="T303" i="1"/>
  <c r="T304" i="1" a="1"/>
  <c r="T304" i="1" s="1"/>
  <c r="T305" i="1" a="1"/>
  <c r="T305" i="1"/>
  <c r="T306" i="1" a="1"/>
  <c r="T306" i="1" s="1"/>
  <c r="T307" i="1" a="1"/>
  <c r="T307" i="1" s="1"/>
  <c r="T308" i="1" a="1"/>
  <c r="T308" i="1" s="1"/>
  <c r="T309" i="1" a="1"/>
  <c r="T309" i="1" s="1"/>
  <c r="T310" i="1" a="1"/>
  <c r="T310" i="1"/>
  <c r="T311" i="1" a="1"/>
  <c r="T311" i="1"/>
  <c r="T312" i="1" a="1"/>
  <c r="T312" i="1"/>
  <c r="T313" i="1" a="1"/>
  <c r="T313" i="1"/>
  <c r="T314" i="1" a="1"/>
  <c r="T314" i="1" s="1"/>
  <c r="T315" i="1" a="1"/>
  <c r="T315" i="1" s="1"/>
  <c r="T316" i="1" a="1"/>
  <c r="T316" i="1" s="1"/>
  <c r="T317" i="1" a="1"/>
  <c r="T317" i="1" s="1"/>
  <c r="T318" i="1" a="1"/>
  <c r="T318" i="1"/>
  <c r="T319" i="1" a="1"/>
  <c r="T319" i="1"/>
  <c r="T320" i="1" a="1"/>
  <c r="T320" i="1"/>
  <c r="T321" i="1" a="1"/>
  <c r="T321" i="1"/>
  <c r="T322" i="1" a="1"/>
  <c r="T322" i="1"/>
  <c r="T323" i="1" a="1"/>
  <c r="T323" i="1" s="1"/>
  <c r="T324" i="1" a="1"/>
  <c r="T324" i="1" s="1"/>
  <c r="T325" i="1" a="1"/>
  <c r="T325" i="1" s="1"/>
  <c r="T326" i="1" a="1"/>
  <c r="T326" i="1" s="1"/>
  <c r="T327" i="1" a="1"/>
  <c r="T327" i="1" s="1"/>
  <c r="T328" i="1" a="1"/>
  <c r="T328" i="1"/>
  <c r="T329" i="1" a="1"/>
  <c r="T329" i="1"/>
  <c r="T330" i="1" a="1"/>
  <c r="T330" i="1"/>
  <c r="T331" i="1" a="1"/>
  <c r="T331" i="1" s="1"/>
  <c r="T332" i="1" a="1"/>
  <c r="T332" i="1" s="1"/>
  <c r="T333" i="1" a="1"/>
  <c r="T333" i="1" s="1"/>
  <c r="T334" i="1" a="1"/>
  <c r="T334" i="1" s="1"/>
  <c r="T335" i="1" a="1"/>
  <c r="T335" i="1"/>
  <c r="T336" i="1" a="1"/>
  <c r="T336" i="1" s="1"/>
  <c r="T337" i="1" a="1"/>
  <c r="T337" i="1"/>
  <c r="T338" i="1" a="1"/>
  <c r="T338" i="1"/>
  <c r="T339" i="1" a="1"/>
  <c r="T339" i="1" s="1"/>
  <c r="T340" i="1" a="1"/>
  <c r="T340" i="1" s="1"/>
  <c r="T341" i="1" a="1"/>
  <c r="T341" i="1" s="1"/>
  <c r="T342" i="1" a="1"/>
  <c r="T342" i="1"/>
  <c r="T343" i="1" a="1"/>
  <c r="T343" i="1"/>
  <c r="T344" i="1" a="1"/>
  <c r="T344" i="1" s="1"/>
  <c r="T345" i="1" a="1"/>
  <c r="T345" i="1" s="1"/>
  <c r="T346" i="1" a="1"/>
  <c r="T346" i="1" s="1"/>
  <c r="T347" i="1" a="1"/>
  <c r="T347" i="1" s="1"/>
  <c r="T348" i="1" a="1"/>
  <c r="T348" i="1" s="1"/>
  <c r="T349" i="1" a="1"/>
  <c r="T349" i="1" s="1"/>
  <c r="T350" i="1" a="1"/>
  <c r="T350" i="1"/>
  <c r="T351" i="1" a="1"/>
  <c r="T351" i="1"/>
  <c r="T352" i="1" a="1"/>
  <c r="T352" i="1"/>
  <c r="T353" i="1" a="1"/>
  <c r="T353" i="1" s="1"/>
  <c r="T354" i="1" a="1"/>
  <c r="T354" i="1"/>
  <c r="T355" i="1" a="1"/>
  <c r="T355" i="1" s="1"/>
  <c r="T356" i="1" a="1"/>
  <c r="T356" i="1" s="1"/>
  <c r="T357" i="1" a="1"/>
  <c r="T357" i="1" s="1"/>
  <c r="T358" i="1" a="1"/>
  <c r="T358" i="1"/>
  <c r="T359" i="1" a="1"/>
  <c r="T359" i="1"/>
  <c r="T360" i="1" a="1"/>
  <c r="T360" i="1"/>
  <c r="T361" i="1" a="1"/>
  <c r="T361" i="1"/>
  <c r="T362" i="1" a="1"/>
  <c r="T362" i="1"/>
  <c r="T363" i="1" a="1"/>
  <c r="T363" i="1" s="1"/>
  <c r="T364" i="1" a="1"/>
  <c r="T364" i="1" s="1"/>
  <c r="T365" i="1" a="1"/>
  <c r="T365" i="1" s="1"/>
  <c r="T366" i="1" a="1"/>
  <c r="T366" i="1" s="1"/>
  <c r="T367" i="1" a="1"/>
  <c r="T367" i="1"/>
  <c r="T368" i="1" a="1"/>
  <c r="T368" i="1"/>
  <c r="T369" i="1" a="1"/>
  <c r="T369" i="1"/>
  <c r="T370" i="1" a="1"/>
  <c r="T370" i="1"/>
  <c r="T371" i="1" a="1"/>
  <c r="T371" i="1" s="1"/>
  <c r="T372" i="1" a="1"/>
  <c r="T372" i="1" s="1"/>
  <c r="T373" i="1" a="1"/>
  <c r="T373" i="1" s="1"/>
  <c r="T374" i="1" a="1"/>
  <c r="T374" i="1" s="1"/>
  <c r="T375" i="1" a="1"/>
  <c r="T375" i="1" s="1"/>
  <c r="T376" i="1" a="1"/>
  <c r="T376" i="1" s="1"/>
  <c r="T377" i="1" a="1"/>
  <c r="T377" i="1"/>
  <c r="T378" i="1" a="1"/>
  <c r="T378" i="1"/>
  <c r="T379" i="1" a="1"/>
  <c r="T379" i="1" s="1"/>
  <c r="T380" i="1" a="1"/>
  <c r="T380" i="1" s="1"/>
  <c r="T381" i="1" a="1"/>
  <c r="T381" i="1"/>
  <c r="T382" i="1" a="1"/>
  <c r="T382" i="1"/>
  <c r="T383" i="1" a="1"/>
  <c r="T383" i="1" s="1"/>
  <c r="T384" i="1" a="1"/>
  <c r="T384" i="1" s="1"/>
  <c r="T385" i="1" a="1"/>
  <c r="T385" i="1" s="1"/>
  <c r="T386" i="1" a="1"/>
  <c r="T386" i="1"/>
  <c r="T387" i="1" a="1"/>
  <c r="T387" i="1" s="1"/>
  <c r="T388" i="1" a="1"/>
  <c r="T388" i="1" s="1"/>
  <c r="T389" i="1" a="1"/>
  <c r="T389" i="1"/>
  <c r="T390" i="1" a="1"/>
  <c r="T390" i="1"/>
  <c r="T391" i="1" a="1"/>
  <c r="T391" i="1"/>
  <c r="T392" i="1" a="1"/>
  <c r="T392" i="1" s="1"/>
  <c r="T393" i="1" a="1"/>
  <c r="T393" i="1" s="1"/>
  <c r="T394" i="1" a="1"/>
  <c r="T394" i="1" s="1"/>
  <c r="T395" i="1" a="1"/>
  <c r="T395" i="1" s="1"/>
  <c r="T396" i="1" a="1"/>
  <c r="T396" i="1" s="1"/>
  <c r="T397" i="1" a="1"/>
  <c r="T397" i="1"/>
  <c r="T398" i="1" a="1"/>
  <c r="T398" i="1"/>
  <c r="T399" i="1" a="1"/>
  <c r="T399" i="1"/>
  <c r="T400" i="1" a="1"/>
  <c r="T400" i="1"/>
  <c r="T401" i="1" a="1"/>
  <c r="T401" i="1" s="1"/>
  <c r="T402" i="1" a="1"/>
  <c r="T402" i="1" s="1"/>
  <c r="T403" i="1" a="1"/>
  <c r="T403" i="1" s="1"/>
  <c r="T404" i="1" a="1"/>
  <c r="T404" i="1" s="1"/>
  <c r="T405" i="1" a="1"/>
  <c r="T405" i="1"/>
  <c r="T406" i="1" a="1"/>
  <c r="T406" i="1"/>
  <c r="T407" i="1" a="1"/>
  <c r="T407" i="1"/>
  <c r="T408" i="1" a="1"/>
  <c r="T408" i="1"/>
  <c r="T409" i="1" a="1"/>
  <c r="T409" i="1"/>
  <c r="T410" i="1" a="1"/>
  <c r="T410" i="1" s="1"/>
  <c r="T411" i="1" a="1"/>
  <c r="T411" i="1" s="1"/>
  <c r="T412" i="1" a="1"/>
  <c r="T412" i="1" s="1"/>
  <c r="T413" i="1" a="1"/>
  <c r="T413" i="1" s="1"/>
  <c r="T414" i="1" a="1"/>
  <c r="T414" i="1"/>
  <c r="T415" i="1" a="1"/>
  <c r="T415" i="1"/>
  <c r="T416" i="1" a="1"/>
  <c r="T416" i="1"/>
  <c r="T417" i="1" a="1"/>
  <c r="T417" i="1"/>
  <c r="T418" i="1" a="1"/>
  <c r="T418" i="1"/>
  <c r="T419" i="1" a="1"/>
  <c r="T419" i="1" s="1"/>
  <c r="T420" i="1" a="1"/>
  <c r="T420" i="1" s="1"/>
  <c r="T421" i="1" a="1"/>
  <c r="T421" i="1" s="1"/>
  <c r="T422" i="1" a="1"/>
  <c r="T422" i="1" s="1"/>
  <c r="T423" i="1" a="1"/>
  <c r="T423" i="1"/>
  <c r="T424" i="1" a="1"/>
  <c r="T424" i="1"/>
  <c r="T425" i="1" a="1"/>
  <c r="T425" i="1"/>
  <c r="T426" i="1" a="1"/>
  <c r="T426" i="1"/>
  <c r="T427" i="1" a="1"/>
  <c r="T427" i="1" s="1"/>
  <c r="T428" i="1" a="1"/>
  <c r="T428" i="1" s="1"/>
  <c r="T429" i="1" a="1"/>
  <c r="T429" i="1" s="1"/>
  <c r="T430" i="1" a="1"/>
  <c r="T430" i="1" s="1"/>
  <c r="T431" i="1" a="1"/>
  <c r="T431" i="1" s="1"/>
  <c r="T432" i="1" a="1"/>
  <c r="T432" i="1"/>
  <c r="T433" i="1" a="1"/>
  <c r="T433" i="1"/>
  <c r="T434" i="1" a="1"/>
  <c r="T434" i="1"/>
  <c r="T435" i="1" a="1"/>
  <c r="T435" i="1" s="1"/>
  <c r="T436" i="1" a="1"/>
  <c r="T436" i="1" s="1"/>
  <c r="T437" i="1" a="1"/>
  <c r="T437" i="1"/>
  <c r="T438" i="1" a="1"/>
  <c r="T438" i="1" s="1"/>
  <c r="T439" i="1" a="1"/>
  <c r="T439" i="1" s="1"/>
  <c r="T440" i="1" a="1"/>
  <c r="T440" i="1" s="1"/>
  <c r="T441" i="1" a="1"/>
  <c r="T441" i="1"/>
  <c r="T442" i="1" a="1"/>
  <c r="T442" i="1"/>
  <c r="T443" i="1" a="1"/>
  <c r="T443" i="1" s="1"/>
  <c r="T444" i="1" a="1"/>
  <c r="T444" i="1" s="1"/>
  <c r="T445" i="1" a="1"/>
  <c r="T445" i="1"/>
  <c r="T446" i="1" a="1"/>
  <c r="T446" i="1"/>
  <c r="T447" i="1" a="1"/>
  <c r="T447" i="1" s="1"/>
  <c r="T448" i="1" a="1"/>
  <c r="T448" i="1" s="1"/>
  <c r="T449" i="1" a="1"/>
  <c r="T449" i="1" s="1"/>
  <c r="T450" i="1" a="1"/>
  <c r="T450" i="1"/>
  <c r="T451" i="1" a="1"/>
  <c r="T451" i="1" s="1"/>
  <c r="T452" i="1" a="1"/>
  <c r="T452" i="1" s="1"/>
  <c r="T453" i="1" a="1"/>
  <c r="T453" i="1"/>
  <c r="T454" i="1" a="1"/>
  <c r="T454" i="1"/>
  <c r="T455" i="1" a="1"/>
  <c r="T455" i="1"/>
  <c r="T456" i="1" a="1"/>
  <c r="T456" i="1" s="1"/>
  <c r="T457" i="1" a="1"/>
  <c r="T457" i="1" s="1"/>
  <c r="T458" i="1" a="1"/>
  <c r="T458" i="1" s="1"/>
  <c r="T459" i="1" a="1"/>
  <c r="T459" i="1" s="1"/>
  <c r="T460" i="1" a="1"/>
  <c r="T460" i="1" s="1"/>
  <c r="T461" i="1" a="1"/>
  <c r="T461" i="1"/>
  <c r="T462" i="1" a="1"/>
  <c r="T462" i="1"/>
  <c r="T463" i="1" a="1"/>
  <c r="T463" i="1"/>
  <c r="T464" i="1" a="1"/>
  <c r="T464" i="1"/>
  <c r="T465" i="1" a="1"/>
  <c r="T465" i="1" s="1"/>
  <c r="T466" i="1" a="1"/>
  <c r="T466" i="1" s="1"/>
  <c r="T467" i="1" a="1"/>
  <c r="T467" i="1" s="1"/>
  <c r="T468" i="1" a="1"/>
  <c r="T468" i="1" s="1"/>
  <c r="T469" i="1" a="1"/>
  <c r="T469" i="1"/>
  <c r="T470" i="1" a="1"/>
  <c r="T470" i="1"/>
  <c r="T471" i="1" a="1"/>
  <c r="T471" i="1"/>
  <c r="T472" i="1" a="1"/>
  <c r="T472" i="1"/>
  <c r="T473" i="1" a="1"/>
  <c r="T473" i="1"/>
  <c r="T474" i="1" a="1"/>
  <c r="T474" i="1" s="1"/>
  <c r="T475" i="1" a="1"/>
  <c r="T475" i="1" s="1"/>
  <c r="T476" i="1" a="1"/>
  <c r="T476" i="1" s="1"/>
  <c r="T477" i="1" a="1"/>
  <c r="T477" i="1" s="1"/>
  <c r="T478" i="1" a="1"/>
  <c r="T478" i="1"/>
  <c r="T479" i="1" a="1"/>
  <c r="T479" i="1"/>
  <c r="T480" i="1" a="1"/>
  <c r="T480" i="1"/>
  <c r="T481" i="1" a="1"/>
  <c r="T481" i="1"/>
  <c r="T482" i="1" a="1"/>
  <c r="T482" i="1"/>
  <c r="T483" i="1" a="1"/>
  <c r="T483" i="1" s="1"/>
  <c r="T484" i="1" a="1"/>
  <c r="T484" i="1" s="1"/>
  <c r="T485" i="1" a="1"/>
  <c r="T485" i="1" s="1"/>
  <c r="T486" i="1" a="1"/>
  <c r="T486" i="1" s="1"/>
  <c r="T487" i="1" a="1"/>
  <c r="T487" i="1"/>
  <c r="T488" i="1" a="1"/>
  <c r="T488" i="1"/>
  <c r="T489" i="1" a="1"/>
  <c r="T489" i="1"/>
  <c r="T490" i="1" a="1"/>
  <c r="T490" i="1"/>
  <c r="T491" i="1" a="1"/>
  <c r="T491" i="1" s="1"/>
  <c r="T492" i="1" a="1"/>
  <c r="T492" i="1" s="1"/>
  <c r="T493" i="1" a="1"/>
  <c r="T493" i="1" s="1"/>
  <c r="T494" i="1" a="1"/>
  <c r="T494" i="1" s="1"/>
  <c r="T495" i="1" a="1"/>
  <c r="T495" i="1" s="1"/>
  <c r="T496" i="1" a="1"/>
  <c r="T496" i="1"/>
  <c r="T497" i="1" a="1"/>
  <c r="T497" i="1"/>
  <c r="T498" i="1" a="1"/>
  <c r="T498" i="1"/>
  <c r="T499" i="1" a="1"/>
  <c r="T499" i="1" s="1"/>
  <c r="T500" i="1" a="1"/>
  <c r="T500" i="1" s="1"/>
  <c r="T501" i="1" a="1"/>
  <c r="T501" i="1"/>
  <c r="T502" i="1" a="1"/>
  <c r="T502" i="1" s="1"/>
  <c r="T503" i="1" a="1"/>
  <c r="T503" i="1" s="1"/>
  <c r="T504" i="1" a="1"/>
  <c r="T504" i="1" s="1"/>
  <c r="T505" i="1" a="1"/>
  <c r="T505" i="1"/>
  <c r="T506" i="1" a="1"/>
  <c r="T506" i="1"/>
  <c r="T507" i="1" a="1"/>
  <c r="T507" i="1" s="1"/>
  <c r="T508" i="1" a="1"/>
  <c r="T508" i="1" s="1"/>
  <c r="T509" i="1" a="1"/>
  <c r="T509" i="1"/>
  <c r="T510" i="1" a="1"/>
  <c r="T510" i="1"/>
  <c r="T511" i="1" a="1"/>
  <c r="T511" i="1" s="1"/>
  <c r="T512" i="1" a="1"/>
  <c r="T512" i="1" s="1"/>
  <c r="T513" i="1" a="1"/>
  <c r="T513" i="1" s="1"/>
  <c r="T514" i="1" a="1"/>
  <c r="T514" i="1"/>
  <c r="T515" i="1" a="1"/>
  <c r="T515" i="1" s="1"/>
  <c r="T516" i="1" a="1"/>
  <c r="T516" i="1" s="1"/>
  <c r="T517" i="1" a="1"/>
  <c r="T517" i="1"/>
  <c r="T518" i="1" a="1"/>
  <c r="T518" i="1"/>
  <c r="T519" i="1" a="1"/>
  <c r="T519" i="1"/>
  <c r="T520" i="1" a="1"/>
  <c r="T520" i="1" s="1"/>
  <c r="T521" i="1" a="1"/>
  <c r="T521" i="1" s="1"/>
  <c r="T522" i="1" a="1"/>
  <c r="T522" i="1" s="1"/>
  <c r="T523" i="1" a="1"/>
  <c r="T523" i="1" s="1"/>
  <c r="T524" i="1" a="1"/>
  <c r="T524" i="1" s="1"/>
  <c r="T525" i="1" a="1"/>
  <c r="T525" i="1"/>
  <c r="T526" i="1" a="1"/>
  <c r="T526" i="1"/>
  <c r="T527" i="1" a="1"/>
  <c r="T527" i="1"/>
  <c r="T528" i="1" a="1"/>
  <c r="T528" i="1"/>
  <c r="T529" i="1" a="1"/>
  <c r="T529" i="1" s="1"/>
  <c r="T530" i="1" a="1"/>
  <c r="T530" i="1" s="1"/>
  <c r="T531" i="1" a="1"/>
  <c r="T531" i="1" s="1"/>
  <c r="T532" i="1" a="1"/>
  <c r="T532" i="1" s="1"/>
  <c r="T533" i="1" a="1"/>
  <c r="T533" i="1"/>
  <c r="T534" i="1" a="1"/>
  <c r="T534" i="1"/>
  <c r="T535" i="1" a="1"/>
  <c r="T535" i="1"/>
  <c r="T536" i="1" a="1"/>
  <c r="T536" i="1"/>
  <c r="T537" i="1" a="1"/>
  <c r="T537" i="1"/>
  <c r="T538" i="1" a="1"/>
  <c r="T538" i="1" s="1"/>
  <c r="T539" i="1" a="1"/>
  <c r="T539" i="1" s="1"/>
  <c r="T540" i="1" a="1"/>
  <c r="T540" i="1" s="1"/>
  <c r="T541" i="1" a="1"/>
  <c r="T541" i="1" s="1"/>
  <c r="T542" i="1" a="1"/>
  <c r="T542" i="1"/>
  <c r="T543" i="1" a="1"/>
  <c r="T543" i="1"/>
  <c r="T544" i="1" a="1"/>
  <c r="T544" i="1"/>
  <c r="T545" i="1" a="1"/>
  <c r="T545" i="1"/>
  <c r="T546" i="1" a="1"/>
  <c r="T546" i="1"/>
  <c r="T547" i="1" a="1"/>
  <c r="T547" i="1" s="1"/>
  <c r="T548" i="1" a="1"/>
  <c r="T548" i="1" s="1"/>
  <c r="T549" i="1" a="1"/>
  <c r="T549" i="1" s="1"/>
  <c r="T550" i="1" a="1"/>
  <c r="T550" i="1" s="1"/>
  <c r="T551" i="1" a="1"/>
  <c r="T551" i="1"/>
  <c r="T552" i="1" a="1"/>
  <c r="T552" i="1"/>
  <c r="T553" i="1" a="1"/>
  <c r="T553" i="1"/>
  <c r="T554" i="1" a="1"/>
  <c r="T554" i="1"/>
  <c r="T555" i="1" a="1"/>
  <c r="T555" i="1" s="1"/>
  <c r="T556" i="1" a="1"/>
  <c r="T556" i="1" s="1"/>
  <c r="T557" i="1" a="1"/>
  <c r="T557" i="1" s="1"/>
  <c r="T558" i="1" a="1"/>
  <c r="T558" i="1" s="1"/>
  <c r="T559" i="1" a="1"/>
  <c r="T559" i="1" s="1"/>
  <c r="T560" i="1" a="1"/>
  <c r="T560" i="1"/>
  <c r="T561" i="1" a="1"/>
  <c r="T561" i="1"/>
  <c r="T562" i="1" a="1"/>
  <c r="T562" i="1"/>
  <c r="T563" i="1" a="1"/>
  <c r="T563" i="1" s="1"/>
  <c r="T564" i="1" a="1"/>
  <c r="T564" i="1" s="1"/>
  <c r="T565" i="1" a="1"/>
  <c r="T565" i="1"/>
  <c r="T566" i="1" a="1"/>
  <c r="T566" i="1" s="1"/>
  <c r="T567" i="1" a="1"/>
  <c r="T567" i="1" s="1"/>
  <c r="T568" i="1" a="1"/>
  <c r="T568" i="1" s="1"/>
  <c r="T569" i="1" a="1"/>
  <c r="T569" i="1"/>
  <c r="T570" i="1" a="1"/>
  <c r="T570" i="1"/>
  <c r="T571" i="1" a="1"/>
  <c r="T571" i="1" s="1"/>
  <c r="T572" i="1" a="1"/>
  <c r="T572" i="1" s="1"/>
  <c r="T573" i="1" a="1"/>
  <c r="T573" i="1"/>
  <c r="T574" i="1" a="1"/>
  <c r="T574" i="1"/>
  <c r="T575" i="1" a="1"/>
  <c r="T575" i="1" s="1"/>
  <c r="T576" i="1" a="1"/>
  <c r="T576" i="1" s="1"/>
  <c r="T577" i="1" a="1"/>
  <c r="T577" i="1" s="1"/>
  <c r="T578" i="1" a="1"/>
  <c r="T578" i="1"/>
  <c r="T579" i="1" a="1"/>
  <c r="T579" i="1" s="1"/>
  <c r="T580" i="1" a="1"/>
  <c r="T580" i="1" s="1"/>
  <c r="T581" i="1" a="1"/>
  <c r="T581" i="1"/>
  <c r="T582" i="1" a="1"/>
  <c r="T582" i="1"/>
  <c r="T583" i="1" a="1"/>
  <c r="T583" i="1"/>
  <c r="T584" i="1" a="1"/>
  <c r="T584" i="1" s="1"/>
  <c r="T585" i="1" a="1"/>
  <c r="T585" i="1" s="1"/>
  <c r="T586" i="1" a="1"/>
  <c r="T586" i="1" s="1"/>
  <c r="T587" i="1" a="1"/>
  <c r="T587" i="1" s="1"/>
  <c r="T588" i="1" a="1"/>
  <c r="T588" i="1" s="1"/>
  <c r="T589" i="1" a="1"/>
  <c r="T589" i="1"/>
  <c r="T590" i="1" a="1"/>
  <c r="T590" i="1"/>
  <c r="T591" i="1" a="1"/>
  <c r="T591" i="1"/>
  <c r="T592" i="1" a="1"/>
  <c r="T592" i="1"/>
  <c r="T593" i="1" a="1"/>
  <c r="T593" i="1" s="1"/>
  <c r="T594" i="1" a="1"/>
  <c r="T594" i="1" s="1"/>
  <c r="T595" i="1" a="1"/>
  <c r="T595" i="1" s="1"/>
  <c r="T596" i="1" a="1"/>
  <c r="T596" i="1" s="1"/>
  <c r="T597" i="1" a="1"/>
  <c r="T597" i="1"/>
  <c r="T598" i="1" a="1"/>
  <c r="T598" i="1"/>
  <c r="T599" i="1" a="1"/>
  <c r="T599" i="1"/>
  <c r="T600" i="1" a="1"/>
  <c r="T600" i="1"/>
  <c r="T601" i="1" a="1"/>
  <c r="T601" i="1"/>
  <c r="T602" i="1" a="1"/>
  <c r="T602" i="1" s="1"/>
  <c r="T603" i="1" a="1"/>
  <c r="T603" i="1" s="1"/>
  <c r="T604" i="1" a="1"/>
  <c r="T604" i="1" s="1"/>
  <c r="T605" i="1" a="1"/>
  <c r="T605" i="1" s="1"/>
  <c r="T606" i="1" a="1"/>
  <c r="T606" i="1"/>
  <c r="T607" i="1" a="1"/>
  <c r="T607" i="1"/>
  <c r="T608" i="1" a="1"/>
  <c r="T608" i="1"/>
  <c r="T609" i="1" a="1"/>
  <c r="T609" i="1"/>
  <c r="T610" i="1" a="1"/>
  <c r="T610" i="1"/>
  <c r="T611" i="1" a="1"/>
  <c r="T611" i="1" s="1"/>
  <c r="T612" i="1" a="1"/>
  <c r="T612" i="1" s="1"/>
  <c r="T613" i="1" a="1"/>
  <c r="T613" i="1" s="1"/>
  <c r="T614" i="1" a="1"/>
  <c r="T614" i="1" s="1"/>
  <c r="T615" i="1" a="1"/>
  <c r="T615" i="1"/>
  <c r="T616" i="1" a="1"/>
  <c r="T616" i="1"/>
  <c r="T617" i="1" a="1"/>
  <c r="T617" i="1"/>
  <c r="T618" i="1" a="1"/>
  <c r="T618" i="1"/>
  <c r="T619" i="1" a="1"/>
  <c r="T619" i="1" s="1"/>
  <c r="T620" i="1" a="1"/>
  <c r="T620" i="1" s="1"/>
  <c r="T621" i="1" a="1"/>
  <c r="T621" i="1" s="1"/>
  <c r="T622" i="1" a="1"/>
  <c r="T622" i="1" s="1"/>
  <c r="T623" i="1" a="1"/>
  <c r="T623" i="1" s="1"/>
  <c r="T624" i="1" a="1"/>
  <c r="T624" i="1"/>
  <c r="T625" i="1" a="1"/>
  <c r="T625" i="1"/>
  <c r="T626" i="1" a="1"/>
  <c r="T626" i="1"/>
  <c r="T627" i="1" a="1"/>
  <c r="T627" i="1" s="1"/>
  <c r="T628" i="1" a="1"/>
  <c r="T628" i="1" s="1"/>
  <c r="T629" i="1" a="1"/>
  <c r="T629" i="1"/>
  <c r="T630" i="1" a="1"/>
  <c r="T630" i="1" s="1"/>
  <c r="T631" i="1" a="1"/>
  <c r="T631" i="1" s="1"/>
  <c r="T632" i="1" a="1"/>
  <c r="T632" i="1" s="1"/>
  <c r="T633" i="1" a="1"/>
  <c r="T633" i="1"/>
  <c r="T634" i="1" a="1"/>
  <c r="T634" i="1"/>
  <c r="T635" i="1" a="1"/>
  <c r="T635" i="1" s="1"/>
  <c r="T636" i="1" a="1"/>
  <c r="T636" i="1" s="1"/>
  <c r="T637" i="1" a="1"/>
  <c r="T637" i="1"/>
  <c r="T638" i="1" a="1"/>
  <c r="T638" i="1"/>
  <c r="T639" i="1" a="1"/>
  <c r="T639" i="1" s="1"/>
  <c r="T640" i="1" a="1"/>
  <c r="T640" i="1" s="1"/>
  <c r="T641" i="1" a="1"/>
  <c r="T641" i="1" s="1"/>
  <c r="T642" i="1" a="1"/>
  <c r="T642" i="1"/>
  <c r="T643" i="1" a="1"/>
  <c r="T643" i="1" s="1"/>
  <c r="T644" i="1" a="1"/>
  <c r="T644" i="1" s="1"/>
  <c r="T645" i="1" a="1"/>
  <c r="T645" i="1"/>
  <c r="T646" i="1" a="1"/>
  <c r="T646" i="1"/>
  <c r="T647" i="1" a="1"/>
  <c r="T647" i="1"/>
  <c r="T648" i="1" a="1"/>
  <c r="T648" i="1" s="1"/>
  <c r="T649" i="1" a="1"/>
  <c r="T649" i="1" s="1"/>
  <c r="T650" i="1" a="1"/>
  <c r="T650" i="1" s="1"/>
  <c r="T651" i="1" a="1"/>
  <c r="T651" i="1" s="1"/>
  <c r="T652" i="1" a="1"/>
  <c r="T652" i="1" s="1"/>
  <c r="T653" i="1" a="1"/>
  <c r="T653" i="1"/>
  <c r="T654" i="1" a="1"/>
  <c r="T654" i="1"/>
  <c r="T655" i="1" a="1"/>
  <c r="T655" i="1"/>
  <c r="T656" i="1" a="1"/>
  <c r="T656" i="1"/>
  <c r="T657" i="1" a="1"/>
  <c r="T657" i="1" s="1"/>
  <c r="T658" i="1" a="1"/>
  <c r="T658" i="1" s="1"/>
  <c r="T659" i="1" a="1"/>
  <c r="T659" i="1" s="1"/>
  <c r="T660" i="1" a="1"/>
  <c r="T660" i="1" s="1"/>
  <c r="T661" i="1" a="1"/>
  <c r="T661" i="1"/>
  <c r="T662" i="1" a="1"/>
  <c r="T662" i="1"/>
  <c r="T663" i="1" a="1"/>
  <c r="T663" i="1"/>
  <c r="T664" i="1" a="1"/>
  <c r="T664" i="1"/>
  <c r="T665" i="1" a="1"/>
  <c r="T665" i="1"/>
  <c r="T666" i="1" a="1"/>
  <c r="T666" i="1" s="1"/>
  <c r="T667" i="1" a="1"/>
  <c r="T667" i="1" s="1"/>
  <c r="T668" i="1" a="1"/>
  <c r="T668" i="1" s="1"/>
  <c r="T669" i="1" a="1"/>
  <c r="T669" i="1" s="1"/>
  <c r="T670" i="1" a="1"/>
  <c r="T670" i="1"/>
  <c r="T671" i="1" a="1"/>
  <c r="T671" i="1"/>
  <c r="T672" i="1" a="1"/>
  <c r="T672" i="1"/>
  <c r="T673" i="1" a="1"/>
  <c r="T673" i="1"/>
  <c r="T674" i="1" a="1"/>
  <c r="T674" i="1"/>
  <c r="T675" i="1" a="1"/>
  <c r="T675" i="1" s="1"/>
  <c r="T676" i="1" a="1"/>
  <c r="T676" i="1" s="1"/>
  <c r="T677" i="1" a="1"/>
  <c r="T677" i="1" s="1"/>
  <c r="T678" i="1" a="1"/>
  <c r="T678" i="1" s="1"/>
  <c r="T679" i="1" a="1"/>
  <c r="T679" i="1"/>
  <c r="T680" i="1" a="1"/>
  <c r="T680" i="1"/>
  <c r="T681" i="1" a="1"/>
  <c r="T681" i="1"/>
  <c r="T682" i="1" a="1"/>
  <c r="T682" i="1"/>
  <c r="T683" i="1" a="1"/>
  <c r="T683" i="1"/>
  <c r="T684" i="1" a="1"/>
  <c r="T684" i="1" s="1"/>
  <c r="T685" i="1" a="1"/>
  <c r="T685" i="1" s="1"/>
  <c r="T686" i="1" a="1"/>
  <c r="T686" i="1" s="1"/>
  <c r="T687" i="1" a="1"/>
  <c r="T687" i="1"/>
  <c r="T688" i="1" a="1"/>
  <c r="T688" i="1"/>
  <c r="T689" i="1" a="1"/>
  <c r="T689" i="1"/>
  <c r="T690" i="1" a="1"/>
  <c r="T690" i="1"/>
  <c r="T691" i="1" a="1"/>
  <c r="T691" i="1"/>
  <c r="T692" i="1" a="1"/>
  <c r="T692" i="1" s="1"/>
  <c r="T693" i="1" a="1"/>
  <c r="T693" i="1" s="1"/>
  <c r="T694" i="1" a="1"/>
  <c r="T694" i="1" s="1"/>
  <c r="T695" i="1" a="1"/>
  <c r="T695" i="1"/>
  <c r="T696" i="1" a="1"/>
  <c r="T696" i="1"/>
  <c r="T697" i="1" a="1"/>
  <c r="T697" i="1"/>
  <c r="T698" i="1" a="1"/>
  <c r="T698" i="1"/>
  <c r="T699" i="1" a="1"/>
  <c r="T699" i="1"/>
  <c r="T700" i="1" a="1"/>
  <c r="T700" i="1" s="1"/>
  <c r="T701" i="1" a="1"/>
  <c r="T701" i="1" s="1"/>
  <c r="T702" i="1" a="1"/>
  <c r="T702" i="1" s="1"/>
  <c r="T703" i="1" a="1"/>
  <c r="T703" i="1"/>
  <c r="T704" i="1" a="1"/>
  <c r="T704" i="1"/>
  <c r="T705" i="1" a="1"/>
  <c r="T705" i="1"/>
  <c r="T706" i="1" a="1"/>
  <c r="T706" i="1"/>
  <c r="T707" i="1" a="1"/>
  <c r="T707" i="1"/>
  <c r="T708" i="1" a="1"/>
  <c r="T708" i="1" s="1"/>
  <c r="T709" i="1" a="1"/>
  <c r="T709" i="1" s="1"/>
  <c r="T710" i="1" a="1"/>
  <c r="T710" i="1" s="1"/>
  <c r="T711" i="1" a="1"/>
  <c r="T711" i="1"/>
  <c r="T712" i="1" a="1"/>
  <c r="T712" i="1"/>
  <c r="T713" i="1" a="1"/>
  <c r="T713" i="1"/>
  <c r="T714" i="1" a="1"/>
  <c r="T714" i="1"/>
  <c r="T715" i="1" a="1"/>
  <c r="T715" i="1"/>
  <c r="T716" i="1" a="1"/>
  <c r="T716" i="1" s="1"/>
  <c r="T717" i="1" a="1"/>
  <c r="T717" i="1" s="1"/>
  <c r="T718" i="1" a="1"/>
  <c r="T718" i="1" s="1"/>
  <c r="T719" i="1" a="1"/>
  <c r="T719" i="1"/>
  <c r="T720" i="1" a="1"/>
  <c r="T720" i="1"/>
  <c r="T721" i="1" a="1"/>
  <c r="T721" i="1"/>
  <c r="T722" i="1" a="1"/>
  <c r="T722" i="1"/>
  <c r="T723" i="1" a="1"/>
  <c r="T723" i="1"/>
  <c r="T724" i="1" a="1"/>
  <c r="T724" i="1" s="1"/>
  <c r="T725" i="1" a="1"/>
  <c r="T725" i="1" s="1"/>
  <c r="T726" i="1" a="1"/>
  <c r="T726" i="1" s="1"/>
  <c r="T727" i="1" a="1"/>
  <c r="T727" i="1"/>
  <c r="T728" i="1" a="1"/>
  <c r="T728" i="1"/>
  <c r="T729" i="1" a="1"/>
  <c r="T729" i="1"/>
  <c r="T730" i="1" a="1"/>
  <c r="T730" i="1"/>
  <c r="T731" i="1" a="1"/>
  <c r="T731" i="1"/>
  <c r="T732" i="1" a="1"/>
  <c r="T732" i="1" s="1"/>
  <c r="T733" i="1" a="1"/>
  <c r="T733" i="1" s="1"/>
  <c r="T734" i="1" a="1"/>
  <c r="T734" i="1" s="1"/>
  <c r="T735" i="1" a="1"/>
  <c r="T735" i="1"/>
  <c r="T736" i="1" a="1"/>
  <c r="T736" i="1"/>
  <c r="T737" i="1" a="1"/>
  <c r="T737" i="1"/>
  <c r="T738" i="1" a="1"/>
  <c r="T738" i="1"/>
  <c r="T739" i="1" a="1"/>
  <c r="T739" i="1"/>
  <c r="T740" i="1" a="1"/>
  <c r="T740" i="1" s="1"/>
  <c r="T741" i="1" a="1"/>
  <c r="T741" i="1" s="1"/>
  <c r="T742" i="1" a="1"/>
  <c r="T742" i="1" s="1"/>
  <c r="T743" i="1" a="1"/>
  <c r="T743" i="1"/>
  <c r="T744" i="1" a="1"/>
  <c r="T744" i="1"/>
  <c r="T745" i="1" a="1"/>
  <c r="T745" i="1"/>
  <c r="T746" i="1" a="1"/>
  <c r="T746" i="1"/>
  <c r="T747" i="1" a="1"/>
  <c r="T747" i="1"/>
  <c r="T748" i="1" a="1"/>
  <c r="T748" i="1" s="1"/>
  <c r="T749" i="1" a="1"/>
  <c r="T749" i="1" s="1"/>
  <c r="T750" i="1" a="1"/>
  <c r="T750" i="1" s="1"/>
  <c r="T751" i="1" a="1"/>
  <c r="T751" i="1"/>
  <c r="T752" i="1" a="1"/>
  <c r="T752" i="1"/>
  <c r="T753" i="1" a="1"/>
  <c r="T753" i="1"/>
  <c r="T754" i="1" a="1"/>
  <c r="T754" i="1"/>
  <c r="T755" i="1" a="1"/>
  <c r="T755" i="1"/>
  <c r="T756" i="1" a="1"/>
  <c r="T756" i="1" s="1"/>
  <c r="T757" i="1" a="1"/>
  <c r="T757" i="1" s="1"/>
  <c r="T758" i="1" a="1"/>
  <c r="T758" i="1" s="1"/>
  <c r="T759" i="1" a="1"/>
  <c r="T759" i="1"/>
  <c r="T760" i="1" a="1"/>
  <c r="T760" i="1"/>
  <c r="T761" i="1" a="1"/>
  <c r="T761" i="1"/>
  <c r="T762" i="1" a="1"/>
  <c r="T762" i="1"/>
  <c r="T763" i="1" a="1"/>
  <c r="T763" i="1"/>
  <c r="T764" i="1" a="1"/>
  <c r="T764" i="1" s="1"/>
  <c r="T765" i="1" a="1"/>
  <c r="T765" i="1" s="1"/>
  <c r="T766" i="1" a="1"/>
  <c r="T766" i="1" s="1"/>
  <c r="T767" i="1" a="1"/>
  <c r="T767" i="1"/>
  <c r="T768" i="1" a="1"/>
  <c r="T768" i="1"/>
  <c r="T769" i="1" a="1"/>
  <c r="T769" i="1"/>
  <c r="T770" i="1" a="1"/>
  <c r="T770" i="1"/>
  <c r="T771" i="1" a="1"/>
  <c r="T771" i="1"/>
  <c r="T772" i="1" a="1"/>
  <c r="T772" i="1" s="1"/>
  <c r="T773" i="1" a="1"/>
  <c r="T773" i="1" s="1"/>
  <c r="T774" i="1" a="1"/>
  <c r="T774" i="1" s="1"/>
  <c r="T775" i="1" a="1"/>
  <c r="T775" i="1"/>
  <c r="T776" i="1" a="1"/>
  <c r="T776" i="1"/>
  <c r="T777" i="1" a="1"/>
  <c r="T777" i="1"/>
  <c r="T778" i="1" a="1"/>
  <c r="T778" i="1"/>
  <c r="T779" i="1" a="1"/>
  <c r="T779" i="1"/>
  <c r="T780" i="1" a="1"/>
  <c r="T780" i="1" s="1"/>
  <c r="T781" i="1" a="1"/>
  <c r="T781" i="1" s="1"/>
  <c r="T782" i="1" a="1"/>
  <c r="T782" i="1" s="1"/>
  <c r="T783" i="1" a="1"/>
  <c r="T783" i="1"/>
  <c r="T784" i="1" a="1"/>
  <c r="T784" i="1"/>
  <c r="T785" i="1" a="1"/>
  <c r="T785" i="1"/>
  <c r="T786" i="1" a="1"/>
  <c r="T786" i="1"/>
  <c r="T787" i="1" a="1"/>
  <c r="T787" i="1"/>
  <c r="T788" i="1" a="1"/>
  <c r="T788" i="1" s="1"/>
  <c r="T789" i="1" a="1"/>
  <c r="T789" i="1" s="1"/>
  <c r="T790" i="1" a="1"/>
  <c r="T790" i="1" s="1"/>
  <c r="T791" i="1" a="1"/>
  <c r="T791" i="1"/>
  <c r="T792" i="1" a="1"/>
  <c r="T792" i="1"/>
  <c r="T793" i="1" a="1"/>
  <c r="T793" i="1"/>
  <c r="T794" i="1" a="1"/>
  <c r="T794" i="1"/>
  <c r="T795" i="1" a="1"/>
  <c r="T795" i="1"/>
  <c r="T796" i="1" a="1"/>
  <c r="T796" i="1" s="1"/>
  <c r="T797" i="1" a="1"/>
  <c r="T797" i="1" s="1"/>
  <c r="T798" i="1" a="1"/>
  <c r="T798" i="1" s="1"/>
  <c r="T799" i="1" a="1"/>
  <c r="T799" i="1"/>
  <c r="T800" i="1" a="1"/>
  <c r="T800" i="1"/>
  <c r="T801" i="1" a="1"/>
  <c r="T801" i="1"/>
  <c r="T802" i="1" a="1"/>
  <c r="T802" i="1"/>
  <c r="T803" i="1" a="1"/>
  <c r="T803" i="1"/>
  <c r="T804" i="1" a="1"/>
  <c r="T804" i="1" s="1"/>
  <c r="T805" i="1" a="1"/>
  <c r="T805" i="1" s="1"/>
  <c r="T806" i="1" a="1"/>
  <c r="T806" i="1" s="1"/>
  <c r="T807" i="1" a="1"/>
  <c r="T807" i="1"/>
  <c r="T808" i="1" a="1"/>
  <c r="T808" i="1"/>
  <c r="T809" i="1" a="1"/>
  <c r="T809" i="1"/>
  <c r="T810" i="1" a="1"/>
  <c r="T810" i="1"/>
  <c r="T811" i="1" a="1"/>
  <c r="T811" i="1"/>
  <c r="T812" i="1" a="1"/>
  <c r="T812" i="1" s="1"/>
  <c r="T813" i="1" a="1"/>
  <c r="T813" i="1" s="1"/>
  <c r="T814" i="1" a="1"/>
  <c r="T814" i="1" s="1"/>
  <c r="T815" i="1" a="1"/>
  <c r="T815" i="1"/>
  <c r="T816" i="1" a="1"/>
  <c r="T816" i="1"/>
  <c r="T817" i="1" a="1"/>
  <c r="T817" i="1"/>
  <c r="T818" i="1" a="1"/>
  <c r="T818" i="1"/>
  <c r="T819" i="1" a="1"/>
  <c r="T819" i="1"/>
  <c r="T820" i="1" a="1"/>
  <c r="T820" i="1" s="1"/>
  <c r="T821" i="1" a="1"/>
  <c r="T821" i="1" s="1"/>
  <c r="T822" i="1" a="1"/>
  <c r="T822" i="1" s="1"/>
  <c r="T823" i="1" a="1"/>
  <c r="T823" i="1"/>
  <c r="T824" i="1" a="1"/>
  <c r="T824" i="1"/>
  <c r="T825" i="1" a="1"/>
  <c r="T825" i="1"/>
  <c r="T826" i="1" a="1"/>
  <c r="T826" i="1"/>
  <c r="T827" i="1" a="1"/>
  <c r="T827" i="1"/>
  <c r="T828" i="1" a="1"/>
  <c r="T828" i="1" s="1"/>
  <c r="T829" i="1" a="1"/>
  <c r="T829" i="1" s="1"/>
  <c r="T830" i="1" a="1"/>
  <c r="T830" i="1" s="1"/>
  <c r="T831" i="1" a="1"/>
  <c r="T831" i="1"/>
  <c r="T832" i="1" a="1"/>
  <c r="T832" i="1"/>
  <c r="T833" i="1" a="1"/>
  <c r="T833" i="1"/>
  <c r="T834" i="1" a="1"/>
  <c r="T834" i="1"/>
  <c r="T835" i="1" a="1"/>
  <c r="T835" i="1"/>
  <c r="T836" i="1" a="1"/>
  <c r="T836" i="1" s="1"/>
  <c r="T837" i="1" a="1"/>
  <c r="T837" i="1" s="1"/>
  <c r="T838" i="1" a="1"/>
  <c r="T838" i="1" s="1"/>
  <c r="T839" i="1" a="1"/>
  <c r="T839" i="1"/>
  <c r="T840" i="1" a="1"/>
  <c r="T840" i="1"/>
  <c r="T841" i="1" a="1"/>
  <c r="T841" i="1"/>
  <c r="T842" i="1" a="1"/>
  <c r="T842" i="1"/>
  <c r="T843" i="1" a="1"/>
  <c r="T843" i="1"/>
  <c r="T844" i="1" a="1"/>
  <c r="T844" i="1" s="1"/>
  <c r="T845" i="1" a="1"/>
  <c r="T845" i="1" s="1"/>
  <c r="T846" i="1" a="1"/>
  <c r="T846" i="1" s="1"/>
  <c r="T847" i="1" a="1"/>
  <c r="T847" i="1"/>
  <c r="T848" i="1" a="1"/>
  <c r="T848" i="1"/>
  <c r="T849" i="1" a="1"/>
  <c r="T849" i="1"/>
  <c r="T850" i="1" a="1"/>
  <c r="T850" i="1"/>
  <c r="T851" i="1" a="1"/>
  <c r="T851" i="1"/>
  <c r="T852" i="1" a="1"/>
  <c r="T852" i="1" s="1"/>
  <c r="T853" i="1" a="1"/>
  <c r="T853" i="1" s="1"/>
  <c r="T854" i="1" a="1"/>
  <c r="T854" i="1" s="1"/>
  <c r="T855" i="1" a="1"/>
  <c r="T855" i="1"/>
  <c r="T856" i="1" a="1"/>
  <c r="T856" i="1"/>
  <c r="T857" i="1" a="1"/>
  <c r="T857" i="1"/>
  <c r="T858" i="1" a="1"/>
  <c r="T858" i="1"/>
  <c r="T859" i="1" a="1"/>
  <c r="T859" i="1"/>
  <c r="T860" i="1" a="1"/>
  <c r="T860" i="1" s="1"/>
  <c r="T861" i="1" a="1"/>
  <c r="T861" i="1" s="1"/>
  <c r="T862" i="1" a="1"/>
  <c r="T862" i="1" s="1"/>
  <c r="T863" i="1" a="1"/>
  <c r="T863" i="1"/>
  <c r="T864" i="1" a="1"/>
  <c r="T864" i="1"/>
  <c r="T865" i="1" a="1"/>
  <c r="T865" i="1"/>
  <c r="T866" i="1" a="1"/>
  <c r="T866" i="1"/>
  <c r="T867" i="1" a="1"/>
  <c r="T867" i="1"/>
  <c r="T868" i="1" a="1"/>
  <c r="T868" i="1" s="1"/>
  <c r="T869" i="1" a="1"/>
  <c r="T869" i="1" s="1"/>
  <c r="T870" i="1" a="1"/>
  <c r="T870" i="1" s="1"/>
  <c r="T871" i="1" a="1"/>
  <c r="T871" i="1"/>
  <c r="T872" i="1" a="1"/>
  <c r="T872" i="1"/>
  <c r="T873" i="1" a="1"/>
  <c r="T873" i="1"/>
  <c r="T874" i="1" a="1"/>
  <c r="T874" i="1"/>
  <c r="T875" i="1" a="1"/>
  <c r="T875" i="1"/>
  <c r="T876" i="1" a="1"/>
  <c r="T876" i="1" s="1"/>
  <c r="T877" i="1" a="1"/>
  <c r="T877" i="1" s="1"/>
  <c r="T878" i="1" a="1"/>
  <c r="T878" i="1" s="1"/>
  <c r="T879" i="1" a="1"/>
  <c r="T879" i="1"/>
  <c r="T880" i="1" a="1"/>
  <c r="T880" i="1"/>
  <c r="T881" i="1" a="1"/>
  <c r="T881" i="1"/>
  <c r="T882" i="1" a="1"/>
  <c r="T882" i="1"/>
  <c r="T883" i="1" a="1"/>
  <c r="T883" i="1"/>
  <c r="T884" i="1" a="1"/>
  <c r="T884" i="1" s="1"/>
  <c r="T885" i="1" a="1"/>
  <c r="T885" i="1" s="1"/>
  <c r="T886" i="1" a="1"/>
  <c r="T886" i="1" s="1"/>
  <c r="T887" i="1" a="1"/>
  <c r="T887" i="1"/>
  <c r="T888" i="1" a="1"/>
  <c r="T888" i="1"/>
  <c r="T889" i="1" a="1"/>
  <c r="T889" i="1"/>
  <c r="T890" i="1" a="1"/>
  <c r="T890" i="1"/>
  <c r="T891" i="1" a="1"/>
  <c r="T891" i="1"/>
  <c r="T892" i="1" a="1"/>
  <c r="T892" i="1" s="1"/>
  <c r="T893" i="1" a="1"/>
  <c r="T893" i="1" s="1"/>
  <c r="T894" i="1" a="1"/>
  <c r="T894" i="1" s="1"/>
  <c r="T895" i="1" a="1"/>
  <c r="T895" i="1"/>
  <c r="T896" i="1" a="1"/>
  <c r="T896" i="1"/>
  <c r="T897" i="1" a="1"/>
  <c r="T897" i="1"/>
  <c r="T898" i="1" a="1"/>
  <c r="T898" i="1"/>
  <c r="T899" i="1" a="1"/>
  <c r="T899" i="1"/>
  <c r="T900" i="1" a="1"/>
  <c r="T900" i="1" s="1"/>
  <c r="T901" i="1" a="1"/>
  <c r="T901" i="1" s="1"/>
  <c r="T902" i="1" a="1"/>
  <c r="T902" i="1" s="1"/>
  <c r="T903" i="1" a="1"/>
  <c r="T903" i="1"/>
  <c r="T904" i="1" a="1"/>
  <c r="T904" i="1"/>
  <c r="T905" i="1" a="1"/>
  <c r="T905" i="1"/>
  <c r="T906" i="1" a="1"/>
  <c r="T906" i="1"/>
  <c r="T907" i="1" a="1"/>
  <c r="T907" i="1"/>
  <c r="T908" i="1" a="1"/>
  <c r="T908" i="1" s="1"/>
  <c r="T909" i="1" a="1"/>
  <c r="T909" i="1" s="1"/>
  <c r="T910" i="1" a="1"/>
  <c r="T910" i="1" s="1"/>
  <c r="T911" i="1" a="1"/>
  <c r="T911" i="1"/>
  <c r="T912" i="1" a="1"/>
  <c r="T912" i="1"/>
  <c r="T913" i="1" a="1"/>
  <c r="T913" i="1"/>
  <c r="T914" i="1" a="1"/>
  <c r="T914" i="1"/>
  <c r="T915" i="1" a="1"/>
  <c r="T915" i="1"/>
  <c r="T916" i="1" a="1"/>
  <c r="T916" i="1" s="1"/>
  <c r="T917" i="1" a="1"/>
  <c r="T917" i="1" s="1"/>
  <c r="T918" i="1" a="1"/>
  <c r="T918" i="1" s="1"/>
  <c r="T919" i="1" a="1"/>
  <c r="T919" i="1"/>
  <c r="T920" i="1" a="1"/>
  <c r="T920" i="1"/>
  <c r="T921" i="1" a="1"/>
  <c r="T921" i="1"/>
  <c r="T922" i="1" a="1"/>
  <c r="T922" i="1"/>
  <c r="T923" i="1" a="1"/>
  <c r="T923" i="1"/>
  <c r="T924" i="1" a="1"/>
  <c r="T924" i="1" s="1"/>
  <c r="T925" i="1" a="1"/>
  <c r="T925" i="1" s="1"/>
  <c r="T926" i="1" a="1"/>
  <c r="T926" i="1" s="1"/>
  <c r="T927" i="1" a="1"/>
  <c r="T927" i="1"/>
  <c r="T928" i="1" a="1"/>
  <c r="T928" i="1"/>
  <c r="T929" i="1" a="1"/>
  <c r="T929" i="1"/>
  <c r="T930" i="1" a="1"/>
  <c r="T930" i="1"/>
  <c r="T931" i="1" a="1"/>
  <c r="T931" i="1"/>
  <c r="T932" i="1" a="1"/>
  <c r="T932" i="1" s="1"/>
  <c r="T933" i="1" a="1"/>
  <c r="T933" i="1" s="1"/>
  <c r="T934" i="1" a="1"/>
  <c r="T934" i="1" s="1"/>
  <c r="T935" i="1" a="1"/>
  <c r="T935" i="1"/>
  <c r="T936" i="1" a="1"/>
  <c r="T936" i="1"/>
  <c r="T937" i="1" a="1"/>
  <c r="T937" i="1"/>
  <c r="T938" i="1" a="1"/>
  <c r="T938" i="1"/>
  <c r="T939" i="1" a="1"/>
  <c r="T939" i="1"/>
  <c r="T940" i="1" a="1"/>
  <c r="T940" i="1" s="1"/>
  <c r="T941" i="1" a="1"/>
  <c r="T941" i="1" s="1"/>
  <c r="T942" i="1" a="1"/>
  <c r="T942" i="1" s="1"/>
  <c r="T943" i="1" a="1"/>
  <c r="T943" i="1"/>
  <c r="T944" i="1" a="1"/>
  <c r="T944" i="1"/>
  <c r="T945" i="1" a="1"/>
  <c r="T945" i="1"/>
  <c r="T946" i="1" a="1"/>
  <c r="T946" i="1"/>
  <c r="T947" i="1" a="1"/>
  <c r="T947" i="1"/>
  <c r="T948" i="1" a="1"/>
  <c r="T948" i="1" s="1"/>
  <c r="T949" i="1" a="1"/>
  <c r="T949" i="1" s="1"/>
  <c r="T950" i="1" a="1"/>
  <c r="T950" i="1" s="1"/>
  <c r="T951" i="1" a="1"/>
  <c r="T951" i="1"/>
  <c r="T952" i="1" a="1"/>
  <c r="T952" i="1"/>
  <c r="T953" i="1" a="1"/>
  <c r="T953" i="1"/>
  <c r="T954" i="1" a="1"/>
  <c r="T954" i="1"/>
  <c r="T955" i="1" a="1"/>
  <c r="T955" i="1"/>
  <c r="T956" i="1" a="1"/>
  <c r="T956" i="1" s="1"/>
  <c r="T957" i="1" a="1"/>
  <c r="T957" i="1" s="1"/>
  <c r="T958" i="1" a="1"/>
  <c r="T958" i="1" s="1"/>
  <c r="T959" i="1" a="1"/>
  <c r="T959" i="1"/>
  <c r="T960" i="1" a="1"/>
  <c r="T960" i="1"/>
  <c r="T961" i="1" a="1"/>
  <c r="T961" i="1"/>
  <c r="T962" i="1" a="1"/>
  <c r="T962" i="1"/>
  <c r="T963" i="1" a="1"/>
  <c r="T963" i="1"/>
  <c r="T964" i="1" a="1"/>
  <c r="T964" i="1" s="1"/>
  <c r="T965" i="1" a="1"/>
  <c r="T965" i="1" s="1"/>
  <c r="T966" i="1" a="1"/>
  <c r="T966" i="1" s="1"/>
  <c r="T967" i="1" a="1"/>
  <c r="T967" i="1"/>
  <c r="T968" i="1" a="1"/>
  <c r="T968" i="1"/>
  <c r="T969" i="1" a="1"/>
  <c r="T969" i="1"/>
  <c r="T970" i="1" a="1"/>
  <c r="T970" i="1"/>
  <c r="T971" i="1" a="1"/>
  <c r="T971" i="1"/>
  <c r="T972" i="1" a="1"/>
  <c r="T972" i="1" s="1"/>
  <c r="T973" i="1" a="1"/>
  <c r="T973" i="1" s="1"/>
  <c r="T974" i="1" a="1"/>
  <c r="T974" i="1" s="1"/>
  <c r="T2" i="1" a="1"/>
  <c r="T2" i="1" s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2" i="1"/>
  <c r="R2" i="1" a="1"/>
  <c r="R2" i="1" s="1"/>
  <c r="R3" i="1" a="1"/>
  <c r="R3" i="1"/>
  <c r="R4" i="1" a="1"/>
  <c r="R4" i="1"/>
  <c r="R5" i="1" a="1"/>
  <c r="R5" i="1"/>
  <c r="R6" i="1" a="1"/>
  <c r="R6" i="1"/>
  <c r="R7" i="1" a="1"/>
  <c r="R7" i="1"/>
  <c r="R8" i="1" a="1"/>
  <c r="R8" i="1"/>
  <c r="R9" i="1" a="1"/>
  <c r="R9" i="1"/>
  <c r="R10" i="1" a="1"/>
  <c r="R10" i="1"/>
  <c r="R11" i="1" a="1"/>
  <c r="R11" i="1"/>
  <c r="R12" i="1" a="1"/>
  <c r="R12" i="1"/>
  <c r="R13" i="1" a="1"/>
  <c r="R13" i="1"/>
  <c r="R14" i="1" a="1"/>
  <c r="R14" i="1"/>
  <c r="R15" i="1" a="1"/>
  <c r="R15" i="1"/>
  <c r="R16" i="1" a="1"/>
  <c r="R16" i="1"/>
  <c r="R17" i="1" a="1"/>
  <c r="R17" i="1"/>
  <c r="R18" i="1" a="1"/>
  <c r="R18" i="1"/>
  <c r="R19" i="1" a="1"/>
  <c r="R19" i="1"/>
  <c r="R20" i="1" a="1"/>
  <c r="R20" i="1"/>
  <c r="R21" i="1" a="1"/>
  <c r="R21" i="1"/>
  <c r="R22" i="1" a="1"/>
  <c r="R22" i="1"/>
  <c r="R23" i="1" a="1"/>
  <c r="R23" i="1"/>
  <c r="R24" i="1" a="1"/>
  <c r="R24" i="1"/>
  <c r="R25" i="1" a="1"/>
  <c r="R25" i="1"/>
  <c r="R26" i="1" a="1"/>
  <c r="R26" i="1"/>
  <c r="R27" i="1" a="1"/>
  <c r="R27" i="1"/>
  <c r="R28" i="1" a="1"/>
  <c r="R28" i="1"/>
  <c r="R29" i="1" a="1"/>
  <c r="R29" i="1"/>
  <c r="R30" i="1" a="1"/>
  <c r="R30" i="1"/>
  <c r="R31" i="1" a="1"/>
  <c r="R31" i="1"/>
  <c r="R32" i="1" a="1"/>
  <c r="R32" i="1"/>
  <c r="R33" i="1" a="1"/>
  <c r="R33" i="1"/>
  <c r="R34" i="1" a="1"/>
  <c r="R34" i="1"/>
  <c r="R35" i="1" a="1"/>
  <c r="R35" i="1" s="1"/>
  <c r="R36" i="1" a="1"/>
  <c r="R36" i="1"/>
  <c r="R37" i="1" a="1"/>
  <c r="R37" i="1"/>
  <c r="R38" i="1" a="1"/>
  <c r="R38" i="1"/>
  <c r="R39" i="1" a="1"/>
  <c r="R39" i="1"/>
  <c r="R40" i="1" a="1"/>
  <c r="R40" i="1"/>
  <c r="R41" i="1" a="1"/>
  <c r="R41" i="1"/>
  <c r="R42" i="1" a="1"/>
  <c r="R42" i="1"/>
  <c r="R43" i="1" a="1"/>
  <c r="R43" i="1" s="1"/>
  <c r="R44" i="1" a="1"/>
  <c r="R44" i="1"/>
  <c r="R45" i="1" a="1"/>
  <c r="R45" i="1"/>
  <c r="R46" i="1" a="1"/>
  <c r="R46" i="1"/>
  <c r="R47" i="1" a="1"/>
  <c r="R47" i="1"/>
  <c r="R48" i="1" a="1"/>
  <c r="R48" i="1"/>
  <c r="R49" i="1" a="1"/>
  <c r="R49" i="1"/>
  <c r="R50" i="1" a="1"/>
  <c r="R50" i="1"/>
  <c r="R51" i="1" a="1"/>
  <c r="R51" i="1" s="1"/>
  <c r="R52" i="1" a="1"/>
  <c r="R52" i="1" s="1"/>
  <c r="R53" i="1" a="1"/>
  <c r="R53" i="1"/>
  <c r="R54" i="1" a="1"/>
  <c r="R54" i="1"/>
  <c r="R55" i="1" a="1"/>
  <c r="R55" i="1"/>
  <c r="R56" i="1" a="1"/>
  <c r="R56" i="1"/>
  <c r="R57" i="1" a="1"/>
  <c r="R57" i="1"/>
  <c r="R58" i="1" a="1"/>
  <c r="R58" i="1"/>
  <c r="R59" i="1" a="1"/>
  <c r="R59" i="1" s="1"/>
  <c r="R60" i="1" a="1"/>
  <c r="R60" i="1"/>
  <c r="R61" i="1" a="1"/>
  <c r="R61" i="1"/>
  <c r="R62" i="1" a="1"/>
  <c r="R62" i="1"/>
  <c r="R63" i="1" a="1"/>
  <c r="R63" i="1"/>
  <c r="R64" i="1" a="1"/>
  <c r="R64" i="1"/>
  <c r="R65" i="1" a="1"/>
  <c r="R65" i="1"/>
  <c r="R66" i="1" a="1"/>
  <c r="R66" i="1"/>
  <c r="R67" i="1" a="1"/>
  <c r="R67" i="1" s="1"/>
  <c r="R68" i="1" a="1"/>
  <c r="R68" i="1"/>
  <c r="R69" i="1" a="1"/>
  <c r="R69" i="1" s="1"/>
  <c r="R70" i="1" a="1"/>
  <c r="R70" i="1"/>
  <c r="R71" i="1" a="1"/>
  <c r="R71" i="1"/>
  <c r="R72" i="1" a="1"/>
  <c r="R72" i="1"/>
  <c r="R73" i="1" a="1"/>
  <c r="R73" i="1"/>
  <c r="R74" i="1" a="1"/>
  <c r="R74" i="1"/>
  <c r="R75" i="1" a="1"/>
  <c r="R75" i="1" s="1"/>
  <c r="R76" i="1" a="1"/>
  <c r="R76" i="1"/>
  <c r="R77" i="1" a="1"/>
  <c r="R77" i="1"/>
  <c r="R78" i="1" a="1"/>
  <c r="R78" i="1"/>
  <c r="R79" i="1" a="1"/>
  <c r="R79" i="1"/>
  <c r="R80" i="1" a="1"/>
  <c r="R80" i="1"/>
  <c r="R81" i="1" a="1"/>
  <c r="R81" i="1"/>
  <c r="R82" i="1" a="1"/>
  <c r="R82" i="1"/>
  <c r="R83" i="1" a="1"/>
  <c r="R83" i="1" s="1"/>
  <c r="R84" i="1" a="1"/>
  <c r="R84" i="1"/>
  <c r="R85" i="1" a="1"/>
  <c r="R85" i="1"/>
  <c r="R86" i="1" a="1"/>
  <c r="R86" i="1" s="1"/>
  <c r="R87" i="1" a="1"/>
  <c r="R87" i="1"/>
  <c r="R88" i="1" a="1"/>
  <c r="R88" i="1"/>
  <c r="R89" i="1" a="1"/>
  <c r="R89" i="1"/>
  <c r="R90" i="1" a="1"/>
  <c r="R90" i="1"/>
  <c r="R91" i="1" a="1"/>
  <c r="R91" i="1" s="1"/>
  <c r="R92" i="1" a="1"/>
  <c r="R92" i="1"/>
  <c r="R93" i="1" a="1"/>
  <c r="R93" i="1"/>
  <c r="R94" i="1" a="1"/>
  <c r="R94" i="1"/>
  <c r="R95" i="1" a="1"/>
  <c r="R95" i="1"/>
  <c r="R96" i="1" a="1"/>
  <c r="R96" i="1"/>
  <c r="R97" i="1" a="1"/>
  <c r="R97" i="1"/>
  <c r="R98" i="1" a="1"/>
  <c r="R98" i="1"/>
  <c r="R99" i="1" a="1"/>
  <c r="R99" i="1" s="1"/>
  <c r="R100" i="1" a="1"/>
  <c r="R100" i="1"/>
  <c r="R101" i="1" a="1"/>
  <c r="R101" i="1"/>
  <c r="R102" i="1" a="1"/>
  <c r="R102" i="1"/>
  <c r="R103" i="1" a="1"/>
  <c r="R103" i="1" s="1"/>
  <c r="R104" i="1" a="1"/>
  <c r="R104" i="1"/>
  <c r="R105" i="1" a="1"/>
  <c r="R105" i="1"/>
  <c r="R106" i="1" a="1"/>
  <c r="R106" i="1"/>
  <c r="R107" i="1" a="1"/>
  <c r="R107" i="1" s="1"/>
  <c r="R108" i="1" a="1"/>
  <c r="R108" i="1"/>
  <c r="R109" i="1" a="1"/>
  <c r="R109" i="1"/>
  <c r="R110" i="1" a="1"/>
  <c r="R110" i="1"/>
  <c r="R111" i="1" a="1"/>
  <c r="R111" i="1"/>
  <c r="R112" i="1" a="1"/>
  <c r="R112" i="1"/>
  <c r="R113" i="1" a="1"/>
  <c r="R113" i="1"/>
  <c r="R114" i="1" a="1"/>
  <c r="R114" i="1"/>
  <c r="R115" i="1" a="1"/>
  <c r="R115" i="1" s="1"/>
  <c r="R116" i="1" a="1"/>
  <c r="R116" i="1"/>
  <c r="R117" i="1" a="1"/>
  <c r="R117" i="1"/>
  <c r="R118" i="1" a="1"/>
  <c r="R118" i="1"/>
  <c r="R119" i="1" a="1"/>
  <c r="R119" i="1"/>
  <c r="R120" i="1" a="1"/>
  <c r="R120" i="1" s="1"/>
  <c r="R121" i="1" a="1"/>
  <c r="R121" i="1"/>
  <c r="R122" i="1" a="1"/>
  <c r="R122" i="1"/>
  <c r="R123" i="1" a="1"/>
  <c r="R123" i="1" s="1"/>
  <c r="R124" i="1" a="1"/>
  <c r="R124" i="1"/>
  <c r="R125" i="1" a="1"/>
  <c r="R125" i="1"/>
  <c r="R126" i="1" a="1"/>
  <c r="R126" i="1"/>
  <c r="R127" i="1" a="1"/>
  <c r="R127" i="1"/>
  <c r="R128" i="1" a="1"/>
  <c r="R128" i="1"/>
  <c r="R129" i="1" a="1"/>
  <c r="R129" i="1"/>
  <c r="R130" i="1" a="1"/>
  <c r="R130" i="1"/>
  <c r="R131" i="1" a="1"/>
  <c r="R131" i="1" s="1"/>
  <c r="R132" i="1" a="1"/>
  <c r="R132" i="1"/>
  <c r="R133" i="1" a="1"/>
  <c r="R133" i="1"/>
  <c r="R134" i="1" a="1"/>
  <c r="R134" i="1"/>
  <c r="R135" i="1" a="1"/>
  <c r="R135" i="1"/>
  <c r="R136" i="1" a="1"/>
  <c r="R136" i="1"/>
  <c r="R137" i="1" a="1"/>
  <c r="R137" i="1" s="1"/>
  <c r="R138" i="1" a="1"/>
  <c r="R138" i="1"/>
  <c r="R139" i="1" a="1"/>
  <c r="R139" i="1" s="1"/>
  <c r="R140" i="1" a="1"/>
  <c r="R140" i="1"/>
  <c r="R141" i="1" a="1"/>
  <c r="R141" i="1"/>
  <c r="R142" i="1" a="1"/>
  <c r="R142" i="1"/>
  <c r="R143" i="1" a="1"/>
  <c r="R143" i="1"/>
  <c r="R144" i="1" a="1"/>
  <c r="R144" i="1"/>
  <c r="R145" i="1" a="1"/>
  <c r="R145" i="1"/>
  <c r="R146" i="1" a="1"/>
  <c r="R146" i="1"/>
  <c r="R147" i="1" a="1"/>
  <c r="R147" i="1" s="1"/>
  <c r="R148" i="1" a="1"/>
  <c r="R148" i="1"/>
  <c r="R149" i="1" a="1"/>
  <c r="R149" i="1"/>
  <c r="R150" i="1" a="1"/>
  <c r="R150" i="1"/>
  <c r="R151" i="1" a="1"/>
  <c r="R151" i="1"/>
  <c r="R152" i="1" a="1"/>
  <c r="R152" i="1"/>
  <c r="R153" i="1" a="1"/>
  <c r="R153" i="1"/>
  <c r="R154" i="1" a="1"/>
  <c r="R154" i="1" s="1"/>
  <c r="R155" i="1" a="1"/>
  <c r="R155" i="1" s="1"/>
  <c r="R156" i="1" a="1"/>
  <c r="R156" i="1"/>
  <c r="R157" i="1" a="1"/>
  <c r="R157" i="1"/>
  <c r="R158" i="1" a="1"/>
  <c r="R158" i="1"/>
  <c r="R159" i="1" a="1"/>
  <c r="R159" i="1"/>
  <c r="R160" i="1" a="1"/>
  <c r="R160" i="1"/>
  <c r="R161" i="1" a="1"/>
  <c r="R161" i="1"/>
  <c r="R162" i="1" a="1"/>
  <c r="R162" i="1"/>
  <c r="R163" i="1" a="1"/>
  <c r="R163" i="1" s="1"/>
  <c r="R164" i="1" a="1"/>
  <c r="R164" i="1"/>
  <c r="R165" i="1" a="1"/>
  <c r="R165" i="1"/>
  <c r="R166" i="1" a="1"/>
  <c r="R166" i="1"/>
  <c r="R167" i="1" a="1"/>
  <c r="R167" i="1"/>
  <c r="R168" i="1" a="1"/>
  <c r="R168" i="1"/>
  <c r="R169" i="1" a="1"/>
  <c r="R169" i="1"/>
  <c r="R170" i="1" a="1"/>
  <c r="R170" i="1"/>
  <c r="R171" i="1" a="1"/>
  <c r="R171" i="1" s="1"/>
  <c r="R172" i="1" a="1"/>
  <c r="R172" i="1"/>
  <c r="R173" i="1" a="1"/>
  <c r="R173" i="1"/>
  <c r="R174" i="1" a="1"/>
  <c r="R174" i="1"/>
  <c r="R175" i="1" a="1"/>
  <c r="R175" i="1"/>
  <c r="R176" i="1" a="1"/>
  <c r="R176" i="1"/>
  <c r="R177" i="1" a="1"/>
  <c r="R177" i="1"/>
  <c r="R178" i="1" a="1"/>
  <c r="R178" i="1"/>
  <c r="R179" i="1" a="1"/>
  <c r="R179" i="1" s="1"/>
  <c r="R180" i="1" a="1"/>
  <c r="R180" i="1" s="1"/>
  <c r="R181" i="1" a="1"/>
  <c r="R181" i="1"/>
  <c r="R182" i="1" a="1"/>
  <c r="R182" i="1"/>
  <c r="R183" i="1" a="1"/>
  <c r="R183" i="1"/>
  <c r="R184" i="1" a="1"/>
  <c r="R184" i="1"/>
  <c r="R185" i="1" a="1"/>
  <c r="R185" i="1"/>
  <c r="R186" i="1" a="1"/>
  <c r="R186" i="1"/>
  <c r="R187" i="1" a="1"/>
  <c r="R187" i="1" s="1"/>
  <c r="R188" i="1" a="1"/>
  <c r="R188" i="1"/>
  <c r="R189" i="1" a="1"/>
  <c r="R189" i="1"/>
  <c r="R190" i="1" a="1"/>
  <c r="R190" i="1"/>
  <c r="R191" i="1" a="1"/>
  <c r="R191" i="1"/>
  <c r="R192" i="1" a="1"/>
  <c r="R192" i="1"/>
  <c r="R193" i="1" a="1"/>
  <c r="R193" i="1"/>
  <c r="R194" i="1" a="1"/>
  <c r="R194" i="1"/>
  <c r="R195" i="1" a="1"/>
  <c r="R195" i="1" s="1"/>
  <c r="R196" i="1" a="1"/>
  <c r="R196" i="1"/>
  <c r="R197" i="1" a="1"/>
  <c r="R197" i="1" s="1"/>
  <c r="R198" i="1" a="1"/>
  <c r="R198" i="1"/>
  <c r="R199" i="1" a="1"/>
  <c r="R199" i="1"/>
  <c r="R200" i="1" a="1"/>
  <c r="R200" i="1"/>
  <c r="R201" i="1" a="1"/>
  <c r="R201" i="1"/>
  <c r="R202" i="1" a="1"/>
  <c r="R202" i="1"/>
  <c r="R203" i="1" a="1"/>
  <c r="R203" i="1" s="1"/>
  <c r="R204" i="1" a="1"/>
  <c r="R204" i="1"/>
  <c r="R205" i="1" a="1"/>
  <c r="R205" i="1"/>
  <c r="R206" i="1" a="1"/>
  <c r="R206" i="1"/>
  <c r="R207" i="1" a="1"/>
  <c r="R207" i="1"/>
  <c r="R208" i="1" a="1"/>
  <c r="R208" i="1"/>
  <c r="R209" i="1" a="1"/>
  <c r="R209" i="1"/>
  <c r="R210" i="1" a="1"/>
  <c r="R210" i="1"/>
  <c r="R211" i="1" a="1"/>
  <c r="R211" i="1" s="1"/>
  <c r="R212" i="1" a="1"/>
  <c r="R212" i="1"/>
  <c r="R213" i="1" a="1"/>
  <c r="R213" i="1"/>
  <c r="R214" i="1" a="1"/>
  <c r="R214" i="1" s="1"/>
  <c r="R215" i="1" a="1"/>
  <c r="R215" i="1"/>
  <c r="R216" i="1" a="1"/>
  <c r="R216" i="1"/>
  <c r="R217" i="1" a="1"/>
  <c r="R217" i="1"/>
  <c r="R218" i="1" a="1"/>
  <c r="R218" i="1"/>
  <c r="R219" i="1" a="1"/>
  <c r="R219" i="1" s="1"/>
  <c r="R220" i="1" a="1"/>
  <c r="R220" i="1"/>
  <c r="R221" i="1" a="1"/>
  <c r="R221" i="1"/>
  <c r="R222" i="1" a="1"/>
  <c r="R222" i="1"/>
  <c r="R223" i="1" a="1"/>
  <c r="R223" i="1"/>
  <c r="R224" i="1" a="1"/>
  <c r="R224" i="1"/>
  <c r="R225" i="1" a="1"/>
  <c r="R225" i="1"/>
  <c r="R226" i="1" a="1"/>
  <c r="R226" i="1"/>
  <c r="R227" i="1" a="1"/>
  <c r="R227" i="1" s="1"/>
  <c r="R228" i="1" a="1"/>
  <c r="R228" i="1"/>
  <c r="R229" i="1" a="1"/>
  <c r="R229" i="1"/>
  <c r="R230" i="1" a="1"/>
  <c r="R230" i="1"/>
  <c r="R231" i="1" a="1"/>
  <c r="R231" i="1" s="1"/>
  <c r="R232" i="1" a="1"/>
  <c r="R232" i="1"/>
  <c r="R233" i="1" a="1"/>
  <c r="R233" i="1"/>
  <c r="R234" i="1" a="1"/>
  <c r="R234" i="1"/>
  <c r="R235" i="1" a="1"/>
  <c r="R235" i="1" s="1"/>
  <c r="R236" i="1" a="1"/>
  <c r="R236" i="1"/>
  <c r="R237" i="1" a="1"/>
  <c r="R237" i="1"/>
  <c r="R238" i="1" a="1"/>
  <c r="R238" i="1"/>
  <c r="R239" i="1" a="1"/>
  <c r="R239" i="1"/>
  <c r="R240" i="1" a="1"/>
  <c r="R240" i="1"/>
  <c r="R241" i="1" a="1"/>
  <c r="R241" i="1"/>
  <c r="R242" i="1" a="1"/>
  <c r="R242" i="1"/>
  <c r="R243" i="1" a="1"/>
  <c r="R243" i="1" s="1"/>
  <c r="R244" i="1" a="1"/>
  <c r="R244" i="1"/>
  <c r="R245" i="1" a="1"/>
  <c r="R245" i="1"/>
  <c r="R246" i="1" a="1"/>
  <c r="R246" i="1"/>
  <c r="R247" i="1" a="1"/>
  <c r="R247" i="1"/>
  <c r="R248" i="1" a="1"/>
  <c r="R248" i="1" s="1"/>
  <c r="R249" i="1" a="1"/>
  <c r="R249" i="1"/>
  <c r="R250" i="1" a="1"/>
  <c r="R250" i="1"/>
  <c r="R251" i="1" a="1"/>
  <c r="R251" i="1" s="1"/>
  <c r="R252" i="1" a="1"/>
  <c r="R252" i="1"/>
  <c r="R253" i="1" a="1"/>
  <c r="R253" i="1"/>
  <c r="R254" i="1" a="1"/>
  <c r="R254" i="1"/>
  <c r="R255" i="1" a="1"/>
  <c r="R255" i="1"/>
  <c r="R256" i="1" a="1"/>
  <c r="R256" i="1"/>
  <c r="R257" i="1" a="1"/>
  <c r="R257" i="1"/>
  <c r="R258" i="1" a="1"/>
  <c r="R258" i="1"/>
  <c r="R259" i="1" a="1"/>
  <c r="R259" i="1" s="1"/>
  <c r="R260" i="1" a="1"/>
  <c r="R260" i="1"/>
  <c r="R261" i="1" a="1"/>
  <c r="R261" i="1"/>
  <c r="R262" i="1" a="1"/>
  <c r="R262" i="1"/>
  <c r="R263" i="1" a="1"/>
  <c r="R263" i="1"/>
  <c r="R264" i="1" a="1"/>
  <c r="R264" i="1"/>
  <c r="R265" i="1" a="1"/>
  <c r="R265" i="1" s="1"/>
  <c r="R266" i="1" a="1"/>
  <c r="R266" i="1"/>
  <c r="R267" i="1" a="1"/>
  <c r="R267" i="1" s="1"/>
  <c r="R268" i="1" a="1"/>
  <c r="R268" i="1"/>
  <c r="R269" i="1" a="1"/>
  <c r="R269" i="1"/>
  <c r="R270" i="1" a="1"/>
  <c r="R270" i="1"/>
  <c r="R271" i="1" a="1"/>
  <c r="R271" i="1"/>
  <c r="R272" i="1" a="1"/>
  <c r="R272" i="1"/>
  <c r="R273" i="1" a="1"/>
  <c r="R273" i="1"/>
  <c r="R274" i="1" a="1"/>
  <c r="R274" i="1"/>
  <c r="R275" i="1" a="1"/>
  <c r="R275" i="1" s="1"/>
  <c r="R276" i="1" a="1"/>
  <c r="R276" i="1"/>
  <c r="R277" i="1" a="1"/>
  <c r="R277" i="1"/>
  <c r="R278" i="1" a="1"/>
  <c r="R278" i="1"/>
  <c r="R279" i="1" a="1"/>
  <c r="R279" i="1"/>
  <c r="R280" i="1" a="1"/>
  <c r="R280" i="1"/>
  <c r="R281" i="1" a="1"/>
  <c r="R281" i="1"/>
  <c r="R282" i="1" a="1"/>
  <c r="R282" i="1" s="1"/>
  <c r="R283" i="1" a="1"/>
  <c r="R283" i="1" s="1"/>
  <c r="R284" i="1" a="1"/>
  <c r="R284" i="1"/>
  <c r="R285" i="1" a="1"/>
  <c r="R285" i="1"/>
  <c r="R286" i="1" a="1"/>
  <c r="R286" i="1"/>
  <c r="R287" i="1" a="1"/>
  <c r="R287" i="1"/>
  <c r="R288" i="1" a="1"/>
  <c r="R288" i="1"/>
  <c r="R289" i="1" a="1"/>
  <c r="R289" i="1"/>
  <c r="R290" i="1" a="1"/>
  <c r="R290" i="1"/>
  <c r="R291" i="1" a="1"/>
  <c r="R291" i="1" s="1"/>
  <c r="R292" i="1" a="1"/>
  <c r="R292" i="1"/>
  <c r="R293" i="1" a="1"/>
  <c r="R293" i="1"/>
  <c r="R294" i="1" a="1"/>
  <c r="R294" i="1"/>
  <c r="R295" i="1" a="1"/>
  <c r="R295" i="1"/>
  <c r="R296" i="1" a="1"/>
  <c r="R296" i="1"/>
  <c r="R297" i="1" a="1"/>
  <c r="R297" i="1"/>
  <c r="R298" i="1" a="1"/>
  <c r="R298" i="1"/>
  <c r="R299" i="1" a="1"/>
  <c r="R299" i="1" s="1"/>
  <c r="R300" i="1" a="1"/>
  <c r="R300" i="1"/>
  <c r="R301" i="1" a="1"/>
  <c r="R301" i="1"/>
  <c r="R302" i="1" a="1"/>
  <c r="R302" i="1"/>
  <c r="R303" i="1" a="1"/>
  <c r="R303" i="1"/>
  <c r="R304" i="1" a="1"/>
  <c r="R304" i="1"/>
  <c r="R305" i="1" a="1"/>
  <c r="R305" i="1"/>
  <c r="R306" i="1" a="1"/>
  <c r="R306" i="1"/>
  <c r="R307" i="1" a="1"/>
  <c r="R307" i="1" s="1"/>
  <c r="R308" i="1" a="1"/>
  <c r="R308" i="1" s="1"/>
  <c r="R309" i="1" a="1"/>
  <c r="R309" i="1"/>
  <c r="R310" i="1" a="1"/>
  <c r="R310" i="1"/>
  <c r="R311" i="1" a="1"/>
  <c r="R311" i="1"/>
  <c r="R312" i="1" a="1"/>
  <c r="R312" i="1"/>
  <c r="R313" i="1" a="1"/>
  <c r="R313" i="1"/>
  <c r="R314" i="1" a="1"/>
  <c r="R314" i="1"/>
  <c r="R315" i="1" a="1"/>
  <c r="R315" i="1" s="1"/>
  <c r="R316" i="1" a="1"/>
  <c r="R316" i="1"/>
  <c r="R317" i="1" a="1"/>
  <c r="R317" i="1"/>
  <c r="R318" i="1" a="1"/>
  <c r="R318" i="1"/>
  <c r="R319" i="1" a="1"/>
  <c r="R319" i="1"/>
  <c r="R320" i="1" a="1"/>
  <c r="R320" i="1"/>
  <c r="R321" i="1" a="1"/>
  <c r="R321" i="1"/>
  <c r="R322" i="1" a="1"/>
  <c r="R322" i="1"/>
  <c r="R323" i="1" a="1"/>
  <c r="R323" i="1" s="1"/>
  <c r="R324" i="1" a="1"/>
  <c r="R324" i="1"/>
  <c r="R325" i="1" a="1"/>
  <c r="R325" i="1" s="1"/>
  <c r="R326" i="1" a="1"/>
  <c r="R326" i="1"/>
  <c r="R327" i="1" a="1"/>
  <c r="R327" i="1"/>
  <c r="R328" i="1" a="1"/>
  <c r="R328" i="1"/>
  <c r="R329" i="1" a="1"/>
  <c r="R329" i="1"/>
  <c r="R330" i="1" a="1"/>
  <c r="R330" i="1"/>
  <c r="R331" i="1" a="1"/>
  <c r="R331" i="1" s="1"/>
  <c r="R332" i="1" a="1"/>
  <c r="R332" i="1"/>
  <c r="R333" i="1" a="1"/>
  <c r="R333" i="1"/>
  <c r="R334" i="1" a="1"/>
  <c r="R334" i="1"/>
  <c r="R335" i="1" a="1"/>
  <c r="R335" i="1"/>
  <c r="R336" i="1" a="1"/>
  <c r="R336" i="1"/>
  <c r="R337" i="1" a="1"/>
  <c r="R337" i="1"/>
  <c r="R338" i="1" a="1"/>
  <c r="R338" i="1"/>
  <c r="R339" i="1" a="1"/>
  <c r="R339" i="1" s="1"/>
  <c r="R340" i="1" a="1"/>
  <c r="R340" i="1"/>
  <c r="R341" i="1" a="1"/>
  <c r="R341" i="1"/>
  <c r="R342" i="1" a="1"/>
  <c r="R342" i="1" s="1"/>
  <c r="R343" i="1" a="1"/>
  <c r="R343" i="1"/>
  <c r="R344" i="1" a="1"/>
  <c r="R344" i="1"/>
  <c r="R345" i="1" a="1"/>
  <c r="R345" i="1"/>
  <c r="R346" i="1" a="1"/>
  <c r="R346" i="1"/>
  <c r="R347" i="1" a="1"/>
  <c r="R347" i="1" s="1"/>
  <c r="R348" i="1" a="1"/>
  <c r="R348" i="1"/>
  <c r="R349" i="1" a="1"/>
  <c r="R349" i="1"/>
  <c r="R350" i="1" a="1"/>
  <c r="R350" i="1"/>
  <c r="R351" i="1" a="1"/>
  <c r="R351" i="1"/>
  <c r="R352" i="1" a="1"/>
  <c r="R352" i="1"/>
  <c r="R353" i="1" a="1"/>
  <c r="R353" i="1"/>
  <c r="R354" i="1" a="1"/>
  <c r="R354" i="1"/>
  <c r="R355" i="1" a="1"/>
  <c r="R355" i="1" s="1"/>
  <c r="R356" i="1" a="1"/>
  <c r="R356" i="1"/>
  <c r="R357" i="1" a="1"/>
  <c r="R357" i="1"/>
  <c r="R358" i="1" a="1"/>
  <c r="R358" i="1"/>
  <c r="R359" i="1" a="1"/>
  <c r="R359" i="1" s="1"/>
  <c r="R360" i="1" a="1"/>
  <c r="R360" i="1"/>
  <c r="R361" i="1" a="1"/>
  <c r="R361" i="1"/>
  <c r="R362" i="1" a="1"/>
  <c r="R362" i="1"/>
  <c r="R363" i="1" a="1"/>
  <c r="R363" i="1" s="1"/>
  <c r="R364" i="1" a="1"/>
  <c r="R364" i="1"/>
  <c r="R365" i="1" a="1"/>
  <c r="R365" i="1"/>
  <c r="R366" i="1" a="1"/>
  <c r="R366" i="1"/>
  <c r="R367" i="1" a="1"/>
  <c r="R367" i="1"/>
  <c r="R368" i="1" a="1"/>
  <c r="R368" i="1"/>
  <c r="R369" i="1" a="1"/>
  <c r="R369" i="1"/>
  <c r="R370" i="1" a="1"/>
  <c r="R370" i="1"/>
  <c r="R371" i="1" a="1"/>
  <c r="R371" i="1" s="1"/>
  <c r="R372" i="1" a="1"/>
  <c r="R372" i="1"/>
  <c r="R373" i="1" a="1"/>
  <c r="R373" i="1"/>
  <c r="R374" i="1" a="1"/>
  <c r="R374" i="1"/>
  <c r="R375" i="1" a="1"/>
  <c r="R375" i="1"/>
  <c r="R376" i="1" a="1"/>
  <c r="R376" i="1" s="1"/>
  <c r="R377" i="1" a="1"/>
  <c r="R377" i="1"/>
  <c r="R378" i="1" a="1"/>
  <c r="R378" i="1"/>
  <c r="R379" i="1" a="1"/>
  <c r="R379" i="1" s="1"/>
  <c r="R380" i="1" a="1"/>
  <c r="R380" i="1"/>
  <c r="R381" i="1" a="1"/>
  <c r="R381" i="1"/>
  <c r="R382" i="1" a="1"/>
  <c r="R382" i="1"/>
  <c r="R383" i="1" a="1"/>
  <c r="R383" i="1"/>
  <c r="R384" i="1" a="1"/>
  <c r="R384" i="1"/>
  <c r="R385" i="1" a="1"/>
  <c r="R385" i="1"/>
  <c r="R386" i="1" a="1"/>
  <c r="R386" i="1"/>
  <c r="R387" i="1" a="1"/>
  <c r="R387" i="1" s="1"/>
  <c r="R388" i="1" a="1"/>
  <c r="R388" i="1"/>
  <c r="R389" i="1" a="1"/>
  <c r="R389" i="1"/>
  <c r="R390" i="1" a="1"/>
  <c r="R390" i="1"/>
  <c r="R391" i="1" a="1"/>
  <c r="R391" i="1"/>
  <c r="R392" i="1" a="1"/>
  <c r="R392" i="1"/>
  <c r="R393" i="1" a="1"/>
  <c r="R393" i="1" s="1"/>
  <c r="R394" i="1" a="1"/>
  <c r="R394" i="1"/>
  <c r="R395" i="1" a="1"/>
  <c r="R395" i="1" s="1"/>
  <c r="R396" i="1" a="1"/>
  <c r="R396" i="1"/>
  <c r="R397" i="1" a="1"/>
  <c r="R397" i="1"/>
  <c r="R398" i="1" a="1"/>
  <c r="R398" i="1"/>
  <c r="R399" i="1" a="1"/>
  <c r="R399" i="1"/>
  <c r="R400" i="1" a="1"/>
  <c r="R400" i="1"/>
  <c r="R401" i="1" a="1"/>
  <c r="R401" i="1"/>
  <c r="R402" i="1" a="1"/>
  <c r="R402" i="1"/>
  <c r="R403" i="1" a="1"/>
  <c r="R403" i="1" s="1"/>
  <c r="R404" i="1" a="1"/>
  <c r="R404" i="1"/>
  <c r="R405" i="1" a="1"/>
  <c r="R405" i="1"/>
  <c r="R406" i="1" a="1"/>
  <c r="R406" i="1"/>
  <c r="R407" i="1" a="1"/>
  <c r="R407" i="1"/>
  <c r="R408" i="1" a="1"/>
  <c r="R408" i="1"/>
  <c r="R409" i="1" a="1"/>
  <c r="R409" i="1"/>
  <c r="R410" i="1" a="1"/>
  <c r="R410" i="1" s="1"/>
  <c r="R411" i="1" a="1"/>
  <c r="R411" i="1" s="1"/>
  <c r="R412" i="1" a="1"/>
  <c r="R412" i="1"/>
  <c r="R413" i="1" a="1"/>
  <c r="R413" i="1"/>
  <c r="R414" i="1" a="1"/>
  <c r="R414" i="1"/>
  <c r="R415" i="1" a="1"/>
  <c r="R415" i="1"/>
  <c r="R416" i="1" a="1"/>
  <c r="R416" i="1"/>
  <c r="R417" i="1" a="1"/>
  <c r="R417" i="1"/>
  <c r="R418" i="1" a="1"/>
  <c r="R418" i="1"/>
  <c r="R419" i="1" a="1"/>
  <c r="R419" i="1" s="1"/>
  <c r="R420" i="1" a="1"/>
  <c r="R420" i="1"/>
  <c r="R421" i="1" a="1"/>
  <c r="R421" i="1"/>
  <c r="R422" i="1" a="1"/>
  <c r="R422" i="1"/>
  <c r="R423" i="1" a="1"/>
  <c r="R423" i="1"/>
  <c r="R424" i="1" a="1"/>
  <c r="R424" i="1"/>
  <c r="R425" i="1" a="1"/>
  <c r="R425" i="1"/>
  <c r="R426" i="1" a="1"/>
  <c r="R426" i="1"/>
  <c r="R427" i="1" a="1"/>
  <c r="R427" i="1" s="1"/>
  <c r="R428" i="1" a="1"/>
  <c r="R428" i="1"/>
  <c r="R429" i="1" a="1"/>
  <c r="R429" i="1"/>
  <c r="R430" i="1" a="1"/>
  <c r="R430" i="1"/>
  <c r="R431" i="1" a="1"/>
  <c r="R431" i="1"/>
  <c r="R432" i="1" a="1"/>
  <c r="R432" i="1"/>
  <c r="R433" i="1" a="1"/>
  <c r="R433" i="1"/>
  <c r="R434" i="1" a="1"/>
  <c r="R434" i="1"/>
  <c r="R435" i="1" a="1"/>
  <c r="R435" i="1" s="1"/>
  <c r="R436" i="1" a="1"/>
  <c r="R436" i="1" s="1"/>
  <c r="R437" i="1" a="1"/>
  <c r="R437" i="1"/>
  <c r="R438" i="1" a="1"/>
  <c r="R438" i="1"/>
  <c r="R439" i="1" a="1"/>
  <c r="R439" i="1"/>
  <c r="R440" i="1" a="1"/>
  <c r="R440" i="1"/>
  <c r="R441" i="1" a="1"/>
  <c r="R441" i="1"/>
  <c r="R442" i="1" a="1"/>
  <c r="R442" i="1"/>
  <c r="R443" i="1" a="1"/>
  <c r="R443" i="1" s="1"/>
  <c r="R444" i="1" a="1"/>
  <c r="R444" i="1"/>
  <c r="R445" i="1" a="1"/>
  <c r="R445" i="1"/>
  <c r="R446" i="1" a="1"/>
  <c r="R446" i="1"/>
  <c r="R447" i="1" a="1"/>
  <c r="R447" i="1"/>
  <c r="R448" i="1" a="1"/>
  <c r="R448" i="1"/>
  <c r="R449" i="1" a="1"/>
  <c r="R449" i="1"/>
  <c r="R450" i="1" a="1"/>
  <c r="R450" i="1"/>
  <c r="R451" i="1" a="1"/>
  <c r="R451" i="1" s="1"/>
  <c r="R452" i="1" a="1"/>
  <c r="R452" i="1"/>
  <c r="R453" i="1" a="1"/>
  <c r="R453" i="1" s="1"/>
  <c r="R454" i="1" a="1"/>
  <c r="R454" i="1"/>
  <c r="R455" i="1" a="1"/>
  <c r="R455" i="1"/>
  <c r="R456" i="1" a="1"/>
  <c r="R456" i="1"/>
  <c r="R457" i="1" a="1"/>
  <c r="R457" i="1"/>
  <c r="R458" i="1" a="1"/>
  <c r="R458" i="1"/>
  <c r="R459" i="1" a="1"/>
  <c r="R459" i="1" s="1"/>
  <c r="R460" i="1" a="1"/>
  <c r="R460" i="1"/>
  <c r="R461" i="1" a="1"/>
  <c r="R461" i="1"/>
  <c r="R462" i="1" a="1"/>
  <c r="R462" i="1"/>
  <c r="R463" i="1" a="1"/>
  <c r="R463" i="1"/>
  <c r="R464" i="1" a="1"/>
  <c r="R464" i="1"/>
  <c r="R465" i="1" a="1"/>
  <c r="R465" i="1"/>
  <c r="R466" i="1" a="1"/>
  <c r="R466" i="1"/>
  <c r="R467" i="1" a="1"/>
  <c r="R467" i="1" s="1"/>
  <c r="R468" i="1" a="1"/>
  <c r="R468" i="1"/>
  <c r="R469" i="1" a="1"/>
  <c r="R469" i="1"/>
  <c r="R470" i="1" a="1"/>
  <c r="R470" i="1" s="1"/>
  <c r="R471" i="1" a="1"/>
  <c r="R471" i="1"/>
  <c r="R472" i="1" a="1"/>
  <c r="R472" i="1"/>
  <c r="R473" i="1" a="1"/>
  <c r="R473" i="1"/>
  <c r="R474" i="1" a="1"/>
  <c r="R474" i="1"/>
  <c r="R475" i="1" a="1"/>
  <c r="R475" i="1" s="1"/>
  <c r="R476" i="1" a="1"/>
  <c r="R476" i="1"/>
  <c r="R477" i="1" a="1"/>
  <c r="R477" i="1"/>
  <c r="R478" i="1" a="1"/>
  <c r="R478" i="1"/>
  <c r="R479" i="1" a="1"/>
  <c r="R479" i="1"/>
  <c r="R480" i="1" a="1"/>
  <c r="R480" i="1"/>
  <c r="R481" i="1" a="1"/>
  <c r="R481" i="1"/>
  <c r="R482" i="1" a="1"/>
  <c r="R482" i="1"/>
  <c r="R483" i="1" a="1"/>
  <c r="R483" i="1" s="1"/>
  <c r="R484" i="1" a="1"/>
  <c r="R484" i="1"/>
  <c r="R485" i="1" a="1"/>
  <c r="R485" i="1"/>
  <c r="R486" i="1" a="1"/>
  <c r="R486" i="1"/>
  <c r="R487" i="1" a="1"/>
  <c r="R487" i="1" s="1"/>
  <c r="R488" i="1" a="1"/>
  <c r="R488" i="1"/>
  <c r="R489" i="1" a="1"/>
  <c r="R489" i="1"/>
  <c r="R490" i="1" a="1"/>
  <c r="R490" i="1"/>
  <c r="R491" i="1" a="1"/>
  <c r="R491" i="1" s="1"/>
  <c r="R492" i="1" a="1"/>
  <c r="R492" i="1"/>
  <c r="R493" i="1" a="1"/>
  <c r="R493" i="1"/>
  <c r="R494" i="1" a="1"/>
  <c r="R494" i="1"/>
  <c r="R495" i="1" a="1"/>
  <c r="R495" i="1"/>
  <c r="R496" i="1" a="1"/>
  <c r="R496" i="1"/>
  <c r="R497" i="1" a="1"/>
  <c r="R497" i="1"/>
  <c r="R498" i="1" a="1"/>
  <c r="R498" i="1"/>
  <c r="R499" i="1" a="1"/>
  <c r="R499" i="1" s="1"/>
  <c r="R500" i="1" a="1"/>
  <c r="R500" i="1"/>
  <c r="R501" i="1" a="1"/>
  <c r="R501" i="1"/>
  <c r="R502" i="1" a="1"/>
  <c r="R502" i="1"/>
  <c r="R503" i="1" a="1"/>
  <c r="R503" i="1"/>
  <c r="R504" i="1" a="1"/>
  <c r="R504" i="1" s="1"/>
  <c r="R505" i="1" a="1"/>
  <c r="R505" i="1"/>
  <c r="R506" i="1" a="1"/>
  <c r="R506" i="1"/>
  <c r="R507" i="1" a="1"/>
  <c r="R507" i="1" s="1"/>
  <c r="R508" i="1" a="1"/>
  <c r="R508" i="1"/>
  <c r="R509" i="1" a="1"/>
  <c r="R509" i="1"/>
  <c r="R510" i="1" a="1"/>
  <c r="R510" i="1"/>
  <c r="R511" i="1" a="1"/>
  <c r="R511" i="1"/>
  <c r="R512" i="1" a="1"/>
  <c r="R512" i="1"/>
  <c r="R513" i="1" a="1"/>
  <c r="R513" i="1"/>
  <c r="R514" i="1" a="1"/>
  <c r="R514" i="1"/>
  <c r="R515" i="1" a="1"/>
  <c r="R515" i="1" s="1"/>
  <c r="R516" i="1" a="1"/>
  <c r="R516" i="1"/>
  <c r="R517" i="1" a="1"/>
  <c r="R517" i="1"/>
  <c r="R518" i="1" a="1"/>
  <c r="R518" i="1"/>
  <c r="R519" i="1" a="1"/>
  <c r="R519" i="1"/>
  <c r="R520" i="1" a="1"/>
  <c r="R520" i="1"/>
  <c r="R521" i="1" a="1"/>
  <c r="R521" i="1" s="1"/>
  <c r="R522" i="1" a="1"/>
  <c r="R522" i="1"/>
  <c r="R523" i="1" a="1"/>
  <c r="R523" i="1" s="1"/>
  <c r="R524" i="1" a="1"/>
  <c r="R524" i="1"/>
  <c r="R525" i="1" a="1"/>
  <c r="R525" i="1"/>
  <c r="R526" i="1" a="1"/>
  <c r="R526" i="1"/>
  <c r="R527" i="1" a="1"/>
  <c r="R527" i="1"/>
  <c r="R528" i="1" a="1"/>
  <c r="R528" i="1"/>
  <c r="R529" i="1" a="1"/>
  <c r="R529" i="1"/>
  <c r="R530" i="1" a="1"/>
  <c r="R530" i="1"/>
  <c r="R531" i="1" a="1"/>
  <c r="R531" i="1" s="1"/>
  <c r="R532" i="1" a="1"/>
  <c r="R532" i="1"/>
  <c r="R533" i="1" a="1"/>
  <c r="R533" i="1"/>
  <c r="R534" i="1" a="1"/>
  <c r="R534" i="1"/>
  <c r="R535" i="1" a="1"/>
  <c r="R535" i="1"/>
  <c r="R536" i="1" a="1"/>
  <c r="R536" i="1"/>
  <c r="R537" i="1" a="1"/>
  <c r="R537" i="1"/>
  <c r="R538" i="1" a="1"/>
  <c r="R538" i="1" s="1"/>
  <c r="R539" i="1" a="1"/>
  <c r="R539" i="1" s="1"/>
  <c r="R540" i="1" a="1"/>
  <c r="R540" i="1"/>
  <c r="R541" i="1" a="1"/>
  <c r="R541" i="1"/>
  <c r="R542" i="1" a="1"/>
  <c r="R542" i="1"/>
  <c r="R543" i="1" a="1"/>
  <c r="R543" i="1"/>
  <c r="R544" i="1" a="1"/>
  <c r="R544" i="1"/>
  <c r="R545" i="1" a="1"/>
  <c r="R545" i="1"/>
  <c r="R546" i="1" a="1"/>
  <c r="R546" i="1"/>
  <c r="R547" i="1" a="1"/>
  <c r="R547" i="1" s="1"/>
  <c r="R548" i="1" a="1"/>
  <c r="R548" i="1"/>
  <c r="R549" i="1" a="1"/>
  <c r="R549" i="1"/>
  <c r="R550" i="1" a="1"/>
  <c r="R550" i="1"/>
  <c r="R551" i="1" a="1"/>
  <c r="R551" i="1"/>
  <c r="R552" i="1" a="1"/>
  <c r="R552" i="1"/>
  <c r="R553" i="1" a="1"/>
  <c r="R553" i="1"/>
  <c r="R554" i="1" a="1"/>
  <c r="R554" i="1"/>
  <c r="R555" i="1" a="1"/>
  <c r="R555" i="1" s="1"/>
  <c r="R556" i="1" a="1"/>
  <c r="R556" i="1"/>
  <c r="R557" i="1" a="1"/>
  <c r="R557" i="1"/>
  <c r="R558" i="1" a="1"/>
  <c r="R558" i="1"/>
  <c r="R559" i="1" a="1"/>
  <c r="R559" i="1"/>
  <c r="R560" i="1" a="1"/>
  <c r="R560" i="1"/>
  <c r="R561" i="1" a="1"/>
  <c r="R561" i="1"/>
  <c r="R562" i="1" a="1"/>
  <c r="R562" i="1"/>
  <c r="R563" i="1" a="1"/>
  <c r="R563" i="1" s="1"/>
  <c r="R564" i="1" a="1"/>
  <c r="R564" i="1" s="1"/>
  <c r="R565" i="1" a="1"/>
  <c r="R565" i="1"/>
  <c r="R566" i="1" a="1"/>
  <c r="R566" i="1"/>
  <c r="R567" i="1" a="1"/>
  <c r="R567" i="1"/>
  <c r="R568" i="1" a="1"/>
  <c r="R568" i="1"/>
  <c r="R569" i="1" a="1"/>
  <c r="R569" i="1"/>
  <c r="R570" i="1" a="1"/>
  <c r="R570" i="1"/>
  <c r="R571" i="1" a="1"/>
  <c r="R571" i="1" s="1"/>
  <c r="R572" i="1" a="1"/>
  <c r="R572" i="1"/>
  <c r="R573" i="1" a="1"/>
  <c r="R573" i="1"/>
  <c r="R574" i="1" a="1"/>
  <c r="R574" i="1"/>
  <c r="R575" i="1" a="1"/>
  <c r="R575" i="1"/>
  <c r="R576" i="1" a="1"/>
  <c r="R576" i="1"/>
  <c r="R577" i="1" a="1"/>
  <c r="R577" i="1"/>
  <c r="R578" i="1" a="1"/>
  <c r="R578" i="1"/>
  <c r="R579" i="1" a="1"/>
  <c r="R579" i="1" s="1"/>
  <c r="R580" i="1" a="1"/>
  <c r="R580" i="1"/>
  <c r="R581" i="1" a="1"/>
  <c r="R581" i="1" s="1"/>
  <c r="R582" i="1" a="1"/>
  <c r="R582" i="1"/>
  <c r="R583" i="1" a="1"/>
  <c r="R583" i="1"/>
  <c r="R584" i="1" a="1"/>
  <c r="R584" i="1"/>
  <c r="R585" i="1" a="1"/>
  <c r="R585" i="1"/>
  <c r="R586" i="1" a="1"/>
  <c r="R586" i="1"/>
  <c r="R587" i="1" a="1"/>
  <c r="R587" i="1" s="1"/>
  <c r="R588" i="1" a="1"/>
  <c r="R588" i="1"/>
  <c r="R589" i="1" a="1"/>
  <c r="R589" i="1"/>
  <c r="R590" i="1" a="1"/>
  <c r="R590" i="1"/>
  <c r="R591" i="1" a="1"/>
  <c r="R591" i="1"/>
  <c r="R592" i="1" a="1"/>
  <c r="R592" i="1"/>
  <c r="R593" i="1" a="1"/>
  <c r="R593" i="1"/>
  <c r="R594" i="1" a="1"/>
  <c r="R594" i="1"/>
  <c r="R595" i="1" a="1"/>
  <c r="R595" i="1" s="1"/>
  <c r="R596" i="1" a="1"/>
  <c r="R596" i="1"/>
  <c r="R597" i="1" a="1"/>
  <c r="R597" i="1"/>
  <c r="R598" i="1" a="1"/>
  <c r="R598" i="1" s="1"/>
  <c r="R599" i="1" a="1"/>
  <c r="R599" i="1"/>
  <c r="R600" i="1" a="1"/>
  <c r="R600" i="1"/>
  <c r="R601" i="1" a="1"/>
  <c r="R601" i="1"/>
  <c r="R602" i="1" a="1"/>
  <c r="R602" i="1"/>
  <c r="R603" i="1" a="1"/>
  <c r="R603" i="1" s="1"/>
  <c r="R604" i="1" a="1"/>
  <c r="R604" i="1"/>
  <c r="R605" i="1" a="1"/>
  <c r="R605" i="1"/>
  <c r="R606" i="1" a="1"/>
  <c r="R606" i="1"/>
  <c r="R607" i="1" a="1"/>
  <c r="R607" i="1"/>
  <c r="R608" i="1" a="1"/>
  <c r="R608" i="1"/>
  <c r="R609" i="1" a="1"/>
  <c r="R609" i="1"/>
  <c r="R610" i="1" a="1"/>
  <c r="R610" i="1"/>
  <c r="R611" i="1" a="1"/>
  <c r="R611" i="1" s="1"/>
  <c r="R612" i="1" a="1"/>
  <c r="R612" i="1"/>
  <c r="R613" i="1" a="1"/>
  <c r="R613" i="1"/>
  <c r="R614" i="1" a="1"/>
  <c r="R614" i="1"/>
  <c r="R615" i="1" a="1"/>
  <c r="R615" i="1" s="1"/>
  <c r="R616" i="1" a="1"/>
  <c r="R616" i="1"/>
  <c r="R617" i="1" a="1"/>
  <c r="R617" i="1"/>
  <c r="R618" i="1" a="1"/>
  <c r="R618" i="1"/>
  <c r="R619" i="1" a="1"/>
  <c r="R619" i="1" s="1"/>
  <c r="R620" i="1" a="1"/>
  <c r="R620" i="1"/>
  <c r="R621" i="1" a="1"/>
  <c r="R621" i="1"/>
  <c r="R622" i="1" a="1"/>
  <c r="R622" i="1"/>
  <c r="R623" i="1" a="1"/>
  <c r="R623" i="1"/>
  <c r="R624" i="1" a="1"/>
  <c r="R624" i="1"/>
  <c r="R625" i="1" a="1"/>
  <c r="R625" i="1"/>
  <c r="R626" i="1" a="1"/>
  <c r="R626" i="1"/>
  <c r="R627" i="1" a="1"/>
  <c r="R627" i="1" s="1"/>
  <c r="R628" i="1" a="1"/>
  <c r="R628" i="1"/>
  <c r="R629" i="1" a="1"/>
  <c r="R629" i="1"/>
  <c r="R630" i="1" a="1"/>
  <c r="R630" i="1"/>
  <c r="R631" i="1" a="1"/>
  <c r="R631" i="1"/>
  <c r="R632" i="1" a="1"/>
  <c r="R632" i="1" s="1"/>
  <c r="R633" i="1" a="1"/>
  <c r="R633" i="1"/>
  <c r="R634" i="1" a="1"/>
  <c r="R634" i="1"/>
  <c r="R635" i="1" a="1"/>
  <c r="R635" i="1" s="1"/>
  <c r="R636" i="1" a="1"/>
  <c r="R636" i="1"/>
  <c r="R637" i="1" a="1"/>
  <c r="R637" i="1"/>
  <c r="R638" i="1" a="1"/>
  <c r="R638" i="1"/>
  <c r="R639" i="1" a="1"/>
  <c r="R639" i="1"/>
  <c r="R640" i="1" a="1"/>
  <c r="R640" i="1"/>
  <c r="R641" i="1" a="1"/>
  <c r="R641" i="1"/>
  <c r="R642" i="1" a="1"/>
  <c r="R642" i="1"/>
  <c r="R643" i="1" a="1"/>
  <c r="R643" i="1" s="1"/>
  <c r="R644" i="1" a="1"/>
  <c r="R644" i="1"/>
  <c r="R645" i="1" a="1"/>
  <c r="R645" i="1"/>
  <c r="R646" i="1" a="1"/>
  <c r="R646" i="1"/>
  <c r="R647" i="1" a="1"/>
  <c r="R647" i="1"/>
  <c r="R648" i="1" a="1"/>
  <c r="R648" i="1"/>
  <c r="R649" i="1" a="1"/>
  <c r="R649" i="1" s="1"/>
  <c r="R650" i="1" a="1"/>
  <c r="R650" i="1"/>
  <c r="R651" i="1" a="1"/>
  <c r="R651" i="1" s="1"/>
  <c r="R652" i="1" a="1"/>
  <c r="R652" i="1"/>
  <c r="R653" i="1" a="1"/>
  <c r="R653" i="1"/>
  <c r="R654" i="1" a="1"/>
  <c r="R654" i="1"/>
  <c r="R655" i="1" a="1"/>
  <c r="R655" i="1"/>
  <c r="R656" i="1" a="1"/>
  <c r="R656" i="1"/>
  <c r="R657" i="1" a="1"/>
  <c r="R657" i="1"/>
  <c r="R658" i="1" a="1"/>
  <c r="R658" i="1"/>
  <c r="R659" i="1" a="1"/>
  <c r="R659" i="1" s="1"/>
  <c r="R660" i="1" a="1"/>
  <c r="R660" i="1"/>
  <c r="R661" i="1" a="1"/>
  <c r="R661" i="1"/>
  <c r="R662" i="1" a="1"/>
  <c r="R662" i="1"/>
  <c r="R663" i="1" a="1"/>
  <c r="R663" i="1"/>
  <c r="R664" i="1" a="1"/>
  <c r="R664" i="1"/>
  <c r="R665" i="1" a="1"/>
  <c r="R665" i="1"/>
  <c r="R666" i="1" a="1"/>
  <c r="R666" i="1" s="1"/>
  <c r="R667" i="1" a="1"/>
  <c r="R667" i="1" s="1"/>
  <c r="R668" i="1" a="1"/>
  <c r="R668" i="1"/>
  <c r="R669" i="1" a="1"/>
  <c r="R669" i="1"/>
  <c r="R670" i="1" a="1"/>
  <c r="R670" i="1"/>
  <c r="R671" i="1" a="1"/>
  <c r="R671" i="1"/>
  <c r="R672" i="1" a="1"/>
  <c r="R672" i="1"/>
  <c r="R673" i="1" a="1"/>
  <c r="R673" i="1"/>
  <c r="R674" i="1" a="1"/>
  <c r="R674" i="1"/>
  <c r="R675" i="1" a="1"/>
  <c r="R675" i="1" s="1"/>
  <c r="R676" i="1" a="1"/>
  <c r="R676" i="1"/>
  <c r="R677" i="1" a="1"/>
  <c r="R677" i="1"/>
  <c r="R678" i="1" a="1"/>
  <c r="R678" i="1"/>
  <c r="R679" i="1" a="1"/>
  <c r="R679" i="1"/>
  <c r="R680" i="1" a="1"/>
  <c r="R680" i="1"/>
  <c r="R681" i="1" a="1"/>
  <c r="R681" i="1"/>
  <c r="R682" i="1" a="1"/>
  <c r="R682" i="1"/>
  <c r="R683" i="1" a="1"/>
  <c r="R683" i="1" s="1"/>
  <c r="R684" i="1" a="1"/>
  <c r="R684" i="1"/>
  <c r="R685" i="1" a="1"/>
  <c r="R685" i="1"/>
  <c r="R686" i="1" a="1"/>
  <c r="R686" i="1"/>
  <c r="R687" i="1" a="1"/>
  <c r="R687" i="1"/>
  <c r="R688" i="1" a="1"/>
  <c r="R688" i="1"/>
  <c r="R689" i="1" a="1"/>
  <c r="R689" i="1"/>
  <c r="R690" i="1" a="1"/>
  <c r="R690" i="1"/>
  <c r="R691" i="1" a="1"/>
  <c r="R691" i="1" s="1"/>
  <c r="R692" i="1" a="1"/>
  <c r="R692" i="1" s="1"/>
  <c r="R693" i="1" a="1"/>
  <c r="R693" i="1"/>
  <c r="R694" i="1" a="1"/>
  <c r="R694" i="1"/>
  <c r="R695" i="1" a="1"/>
  <c r="R695" i="1"/>
  <c r="R696" i="1" a="1"/>
  <c r="R696" i="1"/>
  <c r="R697" i="1" a="1"/>
  <c r="R697" i="1"/>
  <c r="R698" i="1" a="1"/>
  <c r="R698" i="1"/>
  <c r="R699" i="1" a="1"/>
  <c r="R699" i="1" s="1"/>
  <c r="R700" i="1" a="1"/>
  <c r="R700" i="1"/>
  <c r="R701" i="1" a="1"/>
  <c r="R701" i="1"/>
  <c r="R702" i="1" a="1"/>
  <c r="R702" i="1"/>
  <c r="R703" i="1" a="1"/>
  <c r="R703" i="1"/>
  <c r="R704" i="1" a="1"/>
  <c r="R704" i="1"/>
  <c r="R705" i="1" a="1"/>
  <c r="R705" i="1"/>
  <c r="R706" i="1" a="1"/>
  <c r="R706" i="1"/>
  <c r="R707" i="1" a="1"/>
  <c r="R707" i="1" s="1"/>
  <c r="R708" i="1" a="1"/>
  <c r="R708" i="1"/>
  <c r="R709" i="1" a="1"/>
  <c r="R709" i="1" s="1"/>
  <c r="R710" i="1" a="1"/>
  <c r="R710" i="1"/>
  <c r="R711" i="1" a="1"/>
  <c r="R711" i="1"/>
  <c r="R712" i="1" a="1"/>
  <c r="R712" i="1"/>
  <c r="R713" i="1" a="1"/>
  <c r="R713" i="1"/>
  <c r="R714" i="1" a="1"/>
  <c r="R714" i="1"/>
  <c r="R715" i="1" a="1"/>
  <c r="R715" i="1"/>
  <c r="R716" i="1" a="1"/>
  <c r="R716" i="1"/>
  <c r="R717" i="1" a="1"/>
  <c r="R717" i="1" s="1"/>
  <c r="R718" i="1" a="1"/>
  <c r="R718" i="1"/>
  <c r="R719" i="1" a="1"/>
  <c r="R719" i="1"/>
  <c r="R720" i="1" a="1"/>
  <c r="R720" i="1"/>
  <c r="R721" i="1" a="1"/>
  <c r="R721" i="1"/>
  <c r="R722" i="1" a="1"/>
  <c r="R722" i="1"/>
  <c r="R723" i="1" a="1"/>
  <c r="R723" i="1"/>
  <c r="R724" i="1" a="1"/>
  <c r="R724" i="1"/>
  <c r="R725" i="1" a="1"/>
  <c r="R725" i="1" s="1"/>
  <c r="R726" i="1" a="1"/>
  <c r="R726" i="1"/>
  <c r="R727" i="1" a="1"/>
  <c r="R727" i="1"/>
  <c r="R728" i="1" a="1"/>
  <c r="R728" i="1"/>
  <c r="R729" i="1" a="1"/>
  <c r="R729" i="1"/>
  <c r="R730" i="1" a="1"/>
  <c r="R730" i="1"/>
  <c r="R731" i="1" a="1"/>
  <c r="R731" i="1"/>
  <c r="R732" i="1" a="1"/>
  <c r="R732" i="1"/>
  <c r="R733" i="1" a="1"/>
  <c r="R733" i="1" s="1"/>
  <c r="R734" i="1" a="1"/>
  <c r="R734" i="1"/>
  <c r="R735" i="1" a="1"/>
  <c r="R735" i="1"/>
  <c r="R736" i="1" a="1"/>
  <c r="R736" i="1"/>
  <c r="R737" i="1" a="1"/>
  <c r="R737" i="1"/>
  <c r="R738" i="1" a="1"/>
  <c r="R738" i="1"/>
  <c r="R739" i="1" a="1"/>
  <c r="R739" i="1"/>
  <c r="R740" i="1" a="1"/>
  <c r="R740" i="1"/>
  <c r="R741" i="1" a="1"/>
  <c r="R741" i="1" s="1"/>
  <c r="R742" i="1" a="1"/>
  <c r="R742" i="1"/>
  <c r="R743" i="1" a="1"/>
  <c r="R743" i="1"/>
  <c r="R744" i="1" a="1"/>
  <c r="R744" i="1"/>
  <c r="R745" i="1" a="1"/>
  <c r="R745" i="1"/>
  <c r="R746" i="1" a="1"/>
  <c r="R746" i="1"/>
  <c r="R747" i="1" a="1"/>
  <c r="R747" i="1"/>
  <c r="R748" i="1" a="1"/>
  <c r="R748" i="1"/>
  <c r="R749" i="1" a="1"/>
  <c r="R749" i="1" s="1"/>
  <c r="R750" i="1" a="1"/>
  <c r="R750" i="1"/>
  <c r="R751" i="1" a="1"/>
  <c r="R751" i="1"/>
  <c r="R752" i="1" a="1"/>
  <c r="R752" i="1"/>
  <c r="R753" i="1" a="1"/>
  <c r="R753" i="1"/>
  <c r="R754" i="1" a="1"/>
  <c r="R754" i="1"/>
  <c r="R755" i="1" a="1"/>
  <c r="R755" i="1"/>
  <c r="R756" i="1" a="1"/>
  <c r="R756" i="1"/>
  <c r="R757" i="1" a="1"/>
  <c r="R757" i="1" s="1"/>
  <c r="R758" i="1" a="1"/>
  <c r="R758" i="1"/>
  <c r="R759" i="1" a="1"/>
  <c r="R759" i="1"/>
  <c r="R760" i="1" a="1"/>
  <c r="R760" i="1"/>
  <c r="R761" i="1" a="1"/>
  <c r="R761" i="1"/>
  <c r="R762" i="1" a="1"/>
  <c r="R762" i="1"/>
  <c r="R763" i="1" a="1"/>
  <c r="R763" i="1"/>
  <c r="R764" i="1" a="1"/>
  <c r="R764" i="1"/>
  <c r="R765" i="1" a="1"/>
  <c r="R765" i="1" s="1"/>
  <c r="R766" i="1" a="1"/>
  <c r="R766" i="1"/>
  <c r="R767" i="1" a="1"/>
  <c r="R767" i="1"/>
  <c r="R768" i="1" a="1"/>
  <c r="R768" i="1"/>
  <c r="R769" i="1" a="1"/>
  <c r="R769" i="1"/>
  <c r="R770" i="1" a="1"/>
  <c r="R770" i="1"/>
  <c r="R771" i="1" a="1"/>
  <c r="R771" i="1"/>
  <c r="R772" i="1" a="1"/>
  <c r="R772" i="1"/>
  <c r="R773" i="1" a="1"/>
  <c r="R773" i="1" s="1"/>
  <c r="R774" i="1" a="1"/>
  <c r="R774" i="1"/>
  <c r="R775" i="1" a="1"/>
  <c r="R775" i="1"/>
  <c r="R776" i="1" a="1"/>
  <c r="R776" i="1"/>
  <c r="R777" i="1" a="1"/>
  <c r="R777" i="1"/>
  <c r="R778" i="1" a="1"/>
  <c r="R778" i="1"/>
  <c r="R779" i="1" a="1"/>
  <c r="R779" i="1"/>
  <c r="R780" i="1" a="1"/>
  <c r="R780" i="1"/>
  <c r="R781" i="1" a="1"/>
  <c r="R781" i="1" s="1"/>
  <c r="R782" i="1" a="1"/>
  <c r="R782" i="1"/>
  <c r="R783" i="1" a="1"/>
  <c r="R783" i="1"/>
  <c r="R784" i="1" a="1"/>
  <c r="R784" i="1"/>
  <c r="R785" i="1" a="1"/>
  <c r="R785" i="1"/>
  <c r="R786" i="1" a="1"/>
  <c r="R786" i="1"/>
  <c r="R787" i="1" a="1"/>
  <c r="R787" i="1"/>
  <c r="R788" i="1" a="1"/>
  <c r="R788" i="1"/>
  <c r="R789" i="1" a="1"/>
  <c r="R789" i="1" s="1"/>
  <c r="R790" i="1" a="1"/>
  <c r="R790" i="1"/>
  <c r="R791" i="1" a="1"/>
  <c r="R791" i="1"/>
  <c r="R792" i="1" a="1"/>
  <c r="R792" i="1"/>
  <c r="R793" i="1" a="1"/>
  <c r="R793" i="1"/>
  <c r="R794" i="1" a="1"/>
  <c r="R794" i="1"/>
  <c r="R795" i="1" a="1"/>
  <c r="R795" i="1"/>
  <c r="R796" i="1" a="1"/>
  <c r="R796" i="1"/>
  <c r="R797" i="1" a="1"/>
  <c r="R797" i="1" s="1"/>
  <c r="R798" i="1" a="1"/>
  <c r="R798" i="1"/>
  <c r="R799" i="1" a="1"/>
  <c r="R799" i="1"/>
  <c r="R800" i="1" a="1"/>
  <c r="R800" i="1"/>
  <c r="R801" i="1" a="1"/>
  <c r="R801" i="1"/>
  <c r="R802" i="1" a="1"/>
  <c r="R802" i="1"/>
  <c r="R803" i="1" a="1"/>
  <c r="R803" i="1"/>
  <c r="R804" i="1" a="1"/>
  <c r="R804" i="1"/>
  <c r="R805" i="1" a="1"/>
  <c r="R805" i="1" s="1"/>
  <c r="R806" i="1" a="1"/>
  <c r="R806" i="1"/>
  <c r="R807" i="1" a="1"/>
  <c r="R807" i="1"/>
  <c r="R808" i="1" a="1"/>
  <c r="R808" i="1"/>
  <c r="R809" i="1" a="1"/>
  <c r="R809" i="1"/>
  <c r="R810" i="1" a="1"/>
  <c r="R810" i="1"/>
  <c r="R811" i="1" a="1"/>
  <c r="R811" i="1"/>
  <c r="R812" i="1" a="1"/>
  <c r="R812" i="1"/>
  <c r="R813" i="1" a="1"/>
  <c r="R813" i="1" s="1"/>
  <c r="R814" i="1" a="1"/>
  <c r="R814" i="1"/>
  <c r="R815" i="1" a="1"/>
  <c r="R815" i="1"/>
  <c r="R816" i="1" a="1"/>
  <c r="R816" i="1"/>
  <c r="R817" i="1" a="1"/>
  <c r="R817" i="1"/>
  <c r="R818" i="1" a="1"/>
  <c r="R818" i="1"/>
  <c r="R819" i="1" a="1"/>
  <c r="R819" i="1"/>
  <c r="R820" i="1" a="1"/>
  <c r="R820" i="1"/>
  <c r="R821" i="1" a="1"/>
  <c r="R821" i="1" s="1"/>
  <c r="R822" i="1" a="1"/>
  <c r="R822" i="1"/>
  <c r="R823" i="1" a="1"/>
  <c r="R823" i="1"/>
  <c r="R824" i="1" a="1"/>
  <c r="R824" i="1"/>
  <c r="R825" i="1" a="1"/>
  <c r="R825" i="1"/>
  <c r="R826" i="1" a="1"/>
  <c r="R826" i="1"/>
  <c r="R827" i="1" a="1"/>
  <c r="R827" i="1"/>
  <c r="R828" i="1" a="1"/>
  <c r="R828" i="1"/>
  <c r="R829" i="1" a="1"/>
  <c r="R829" i="1" s="1"/>
  <c r="R830" i="1" a="1"/>
  <c r="R830" i="1"/>
  <c r="R831" i="1" a="1"/>
  <c r="R831" i="1"/>
  <c r="R832" i="1" a="1"/>
  <c r="R832" i="1"/>
  <c r="R833" i="1" a="1"/>
  <c r="R833" i="1"/>
  <c r="R834" i="1" a="1"/>
  <c r="R834" i="1"/>
  <c r="R835" i="1" a="1"/>
  <c r="R835" i="1"/>
  <c r="R836" i="1" a="1"/>
  <c r="R836" i="1"/>
  <c r="R837" i="1" a="1"/>
  <c r="R837" i="1" s="1"/>
  <c r="R838" i="1" a="1"/>
  <c r="R838" i="1"/>
  <c r="R839" i="1" a="1"/>
  <c r="R839" i="1"/>
  <c r="R840" i="1" a="1"/>
  <c r="R840" i="1"/>
  <c r="R841" i="1" a="1"/>
  <c r="R841" i="1"/>
  <c r="R842" i="1" a="1"/>
  <c r="R842" i="1"/>
  <c r="R843" i="1" a="1"/>
  <c r="R843" i="1"/>
  <c r="R844" i="1" a="1"/>
  <c r="R844" i="1"/>
  <c r="R845" i="1" a="1"/>
  <c r="R845" i="1" s="1"/>
  <c r="R846" i="1" a="1"/>
  <c r="R846" i="1"/>
  <c r="R847" i="1" a="1"/>
  <c r="R847" i="1"/>
  <c r="R848" i="1" a="1"/>
  <c r="R848" i="1"/>
  <c r="R849" i="1" a="1"/>
  <c r="R849" i="1"/>
  <c r="R850" i="1" a="1"/>
  <c r="R850" i="1"/>
  <c r="R851" i="1" a="1"/>
  <c r="R851" i="1"/>
  <c r="R852" i="1" a="1"/>
  <c r="R852" i="1"/>
  <c r="R853" i="1" a="1"/>
  <c r="R853" i="1" s="1"/>
  <c r="R854" i="1" a="1"/>
  <c r="R854" i="1"/>
  <c r="R855" i="1" a="1"/>
  <c r="R855" i="1"/>
  <c r="R856" i="1" a="1"/>
  <c r="R856" i="1"/>
  <c r="R857" i="1" a="1"/>
  <c r="R857" i="1"/>
  <c r="R858" i="1" a="1"/>
  <c r="R858" i="1"/>
  <c r="R859" i="1" a="1"/>
  <c r="R859" i="1"/>
  <c r="R860" i="1" a="1"/>
  <c r="R860" i="1"/>
  <c r="R861" i="1" a="1"/>
  <c r="R861" i="1" s="1"/>
  <c r="R862" i="1" a="1"/>
  <c r="R862" i="1"/>
  <c r="R863" i="1" a="1"/>
  <c r="R863" i="1"/>
  <c r="R864" i="1" a="1"/>
  <c r="R864" i="1"/>
  <c r="R865" i="1" a="1"/>
  <c r="R865" i="1"/>
  <c r="R866" i="1" a="1"/>
  <c r="R866" i="1"/>
  <c r="R867" i="1" a="1"/>
  <c r="R867" i="1"/>
  <c r="R868" i="1" a="1"/>
  <c r="R868" i="1"/>
  <c r="R869" i="1" a="1"/>
  <c r="R869" i="1" s="1"/>
  <c r="R870" i="1" a="1"/>
  <c r="R870" i="1"/>
  <c r="R871" i="1" a="1"/>
  <c r="R871" i="1"/>
  <c r="R872" i="1" a="1"/>
  <c r="R872" i="1"/>
  <c r="R873" i="1" a="1"/>
  <c r="R873" i="1"/>
  <c r="R874" i="1" a="1"/>
  <c r="R874" i="1"/>
  <c r="R875" i="1" a="1"/>
  <c r="R875" i="1"/>
  <c r="R876" i="1" a="1"/>
  <c r="R876" i="1"/>
  <c r="R877" i="1" a="1"/>
  <c r="R877" i="1" s="1"/>
  <c r="R878" i="1" a="1"/>
  <c r="R878" i="1"/>
  <c r="R879" i="1" a="1"/>
  <c r="R879" i="1"/>
  <c r="R880" i="1" a="1"/>
  <c r="R880" i="1"/>
  <c r="R881" i="1" a="1"/>
  <c r="R881" i="1"/>
  <c r="R882" i="1" a="1"/>
  <c r="R882" i="1"/>
  <c r="R883" i="1" a="1"/>
  <c r="R883" i="1"/>
  <c r="R884" i="1" a="1"/>
  <c r="R884" i="1"/>
  <c r="R885" i="1" a="1"/>
  <c r="R885" i="1" s="1"/>
  <c r="R886" i="1" a="1"/>
  <c r="R886" i="1"/>
  <c r="R887" i="1" a="1"/>
  <c r="R887" i="1"/>
  <c r="R888" i="1" a="1"/>
  <c r="R888" i="1"/>
  <c r="R889" i="1" a="1"/>
  <c r="R889" i="1"/>
  <c r="R890" i="1" a="1"/>
  <c r="R890" i="1"/>
  <c r="R891" i="1" a="1"/>
  <c r="R891" i="1"/>
  <c r="R892" i="1" a="1"/>
  <c r="R892" i="1"/>
  <c r="R893" i="1" a="1"/>
  <c r="R893" i="1" s="1"/>
  <c r="R894" i="1" a="1"/>
  <c r="R894" i="1"/>
  <c r="R895" i="1" a="1"/>
  <c r="R895" i="1"/>
  <c r="R896" i="1" a="1"/>
  <c r="R896" i="1"/>
  <c r="R897" i="1" a="1"/>
  <c r="R897" i="1"/>
  <c r="R898" i="1" a="1"/>
  <c r="R898" i="1"/>
  <c r="R899" i="1" a="1"/>
  <c r="R899" i="1"/>
  <c r="R900" i="1" a="1"/>
  <c r="R900" i="1"/>
  <c r="R901" i="1" a="1"/>
  <c r="R901" i="1" s="1"/>
  <c r="R902" i="1" a="1"/>
  <c r="R902" i="1"/>
  <c r="R903" i="1" a="1"/>
  <c r="R903" i="1"/>
  <c r="R904" i="1" a="1"/>
  <c r="R904" i="1"/>
  <c r="R905" i="1" a="1"/>
  <c r="R905" i="1"/>
  <c r="R906" i="1" a="1"/>
  <c r="R906" i="1"/>
  <c r="R907" i="1" a="1"/>
  <c r="R907" i="1"/>
  <c r="R908" i="1" a="1"/>
  <c r="R908" i="1"/>
  <c r="R909" i="1" a="1"/>
  <c r="R909" i="1" s="1"/>
  <c r="R910" i="1" a="1"/>
  <c r="R910" i="1"/>
  <c r="R911" i="1" a="1"/>
  <c r="R911" i="1"/>
  <c r="R912" i="1" a="1"/>
  <c r="R912" i="1"/>
  <c r="R913" i="1" a="1"/>
  <c r="R913" i="1"/>
  <c r="R914" i="1" a="1"/>
  <c r="R914" i="1"/>
  <c r="R915" i="1" a="1"/>
  <c r="R915" i="1"/>
  <c r="R916" i="1" a="1"/>
  <c r="R916" i="1"/>
  <c r="R917" i="1" a="1"/>
  <c r="R917" i="1" s="1"/>
  <c r="R918" i="1" a="1"/>
  <c r="R918" i="1"/>
  <c r="R919" i="1" a="1"/>
  <c r="R919" i="1"/>
  <c r="R920" i="1" a="1"/>
  <c r="R920" i="1"/>
  <c r="R921" i="1" a="1"/>
  <c r="R921" i="1"/>
  <c r="R922" i="1" a="1"/>
  <c r="R922" i="1"/>
  <c r="R923" i="1" a="1"/>
  <c r="R923" i="1"/>
  <c r="R924" i="1" a="1"/>
  <c r="R924" i="1"/>
  <c r="R925" i="1" a="1"/>
  <c r="R925" i="1" s="1"/>
  <c r="R926" i="1" a="1"/>
  <c r="R926" i="1"/>
  <c r="R927" i="1" a="1"/>
  <c r="R927" i="1"/>
  <c r="R928" i="1" a="1"/>
  <c r="R928" i="1"/>
  <c r="R929" i="1" a="1"/>
  <c r="R929" i="1"/>
  <c r="R930" i="1" a="1"/>
  <c r="R930" i="1"/>
  <c r="R931" i="1" a="1"/>
  <c r="R931" i="1"/>
  <c r="R932" i="1" a="1"/>
  <c r="R932" i="1"/>
  <c r="R933" i="1" a="1"/>
  <c r="R933" i="1" s="1"/>
  <c r="R934" i="1" a="1"/>
  <c r="R934" i="1"/>
  <c r="R935" i="1" a="1"/>
  <c r="R935" i="1"/>
  <c r="R936" i="1" a="1"/>
  <c r="R936" i="1"/>
  <c r="R937" i="1" a="1"/>
  <c r="R937" i="1"/>
  <c r="R938" i="1" a="1"/>
  <c r="R938" i="1"/>
  <c r="R939" i="1" a="1"/>
  <c r="R939" i="1"/>
  <c r="R940" i="1" a="1"/>
  <c r="R940" i="1"/>
  <c r="R941" i="1" a="1"/>
  <c r="R941" i="1" s="1"/>
  <c r="R942" i="1" a="1"/>
  <c r="R942" i="1"/>
  <c r="R943" i="1" a="1"/>
  <c r="R943" i="1"/>
  <c r="R944" i="1" a="1"/>
  <c r="R944" i="1"/>
  <c r="R945" i="1" a="1"/>
  <c r="R945" i="1"/>
  <c r="R946" i="1" a="1"/>
  <c r="R946" i="1"/>
  <c r="R947" i="1" a="1"/>
  <c r="R947" i="1"/>
  <c r="R948" i="1" a="1"/>
  <c r="R948" i="1"/>
  <c r="R949" i="1" a="1"/>
  <c r="R949" i="1" s="1"/>
  <c r="R950" i="1" a="1"/>
  <c r="R950" i="1"/>
  <c r="R951" i="1" a="1"/>
  <c r="R951" i="1"/>
  <c r="R952" i="1" a="1"/>
  <c r="R952" i="1"/>
  <c r="R953" i="1" a="1"/>
  <c r="R953" i="1"/>
  <c r="R954" i="1" a="1"/>
  <c r="R954" i="1"/>
  <c r="R955" i="1" a="1"/>
  <c r="R955" i="1"/>
  <c r="R956" i="1" a="1"/>
  <c r="R956" i="1"/>
  <c r="R957" i="1" a="1"/>
  <c r="R957" i="1" s="1"/>
  <c r="R958" i="1" a="1"/>
  <c r="R958" i="1"/>
  <c r="R959" i="1" a="1"/>
  <c r="R959" i="1"/>
  <c r="R960" i="1" a="1"/>
  <c r="R960" i="1"/>
  <c r="R961" i="1" a="1"/>
  <c r="R961" i="1"/>
  <c r="R962" i="1" a="1"/>
  <c r="R962" i="1"/>
  <c r="R963" i="1" a="1"/>
  <c r="R963" i="1"/>
  <c r="R964" i="1" a="1"/>
  <c r="R964" i="1"/>
  <c r="R965" i="1" a="1"/>
  <c r="R965" i="1" s="1"/>
  <c r="R966" i="1" a="1"/>
  <c r="R966" i="1"/>
  <c r="R967" i="1" a="1"/>
  <c r="R967" i="1"/>
  <c r="R968" i="1" a="1"/>
  <c r="R968" i="1"/>
  <c r="R969" i="1" a="1"/>
  <c r="R969" i="1"/>
  <c r="R970" i="1" a="1"/>
  <c r="R970" i="1"/>
  <c r="R971" i="1" a="1"/>
  <c r="R971" i="1"/>
  <c r="R972" i="1" a="1"/>
  <c r="R972" i="1"/>
  <c r="R973" i="1" a="1"/>
  <c r="R973" i="1" s="1"/>
  <c r="R974" i="1" a="1"/>
  <c r="R974" i="1"/>
  <c r="L10" i="2"/>
  <c r="L11" i="2"/>
  <c r="L12" i="2"/>
  <c r="L13" i="2"/>
  <c r="L14" i="2"/>
  <c r="L15" i="2"/>
  <c r="L16" i="2"/>
  <c r="L17" i="2"/>
  <c r="L18" i="2"/>
  <c r="L19" i="2"/>
  <c r="L2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<sst xmlns="http://schemas.openxmlformats.org/spreadsheetml/2006/main" count="3086" uniqueCount="64">
  <si>
    <t>Sr. No.</t>
  </si>
  <si>
    <t>Age</t>
  </si>
  <si>
    <t>Gender</t>
  </si>
  <si>
    <t>Weight (kg)</t>
  </si>
  <si>
    <t>Height (m)</t>
  </si>
  <si>
    <t>Max_BPM</t>
  </si>
  <si>
    <t>Avg_BPM</t>
  </si>
  <si>
    <t>Session_Duration (hours)</t>
  </si>
  <si>
    <t>Calories_Burned</t>
  </si>
  <si>
    <t>Workout_Type</t>
  </si>
  <si>
    <t>Fat_Percentage</t>
  </si>
  <si>
    <t>Water_Intake (liters)</t>
  </si>
  <si>
    <t>Experience_Level</t>
  </si>
  <si>
    <t>BMI</t>
  </si>
  <si>
    <t>City</t>
  </si>
  <si>
    <t>Male</t>
  </si>
  <si>
    <t>Female</t>
  </si>
  <si>
    <t>Yoga</t>
  </si>
  <si>
    <t>HIIT</t>
  </si>
  <si>
    <t>Cardio</t>
  </si>
  <si>
    <t>Strength</t>
  </si>
  <si>
    <t>Kolkata</t>
  </si>
  <si>
    <t>Hyderabad</t>
  </si>
  <si>
    <t>Ahmedabad</t>
  </si>
  <si>
    <t>Pune</t>
  </si>
  <si>
    <t>Noida</t>
  </si>
  <si>
    <t>Bengaluru</t>
  </si>
  <si>
    <t>Chennai</t>
  </si>
  <si>
    <t>Delhi</t>
  </si>
  <si>
    <t>Mumbai</t>
  </si>
  <si>
    <t>Gurgaon</t>
  </si>
  <si>
    <t>Resting BPM</t>
  </si>
  <si>
    <t>Workout_Frequency (days)</t>
  </si>
  <si>
    <t>Grand Total</t>
  </si>
  <si>
    <t>Average of Age</t>
  </si>
  <si>
    <t>Cities</t>
  </si>
  <si>
    <t>Number of Members</t>
  </si>
  <si>
    <t>Column Labels</t>
  </si>
  <si>
    <t>Ratio</t>
  </si>
  <si>
    <t>Ratio of Genders</t>
  </si>
  <si>
    <t>Row Labels</t>
  </si>
  <si>
    <t>Average of BMI</t>
  </si>
  <si>
    <t>BMI_Categories</t>
  </si>
  <si>
    <t>Normal Weight</t>
  </si>
  <si>
    <t>Obesity</t>
  </si>
  <si>
    <t>Overweight</t>
  </si>
  <si>
    <t>Underweight</t>
  </si>
  <si>
    <t>Count of BMI_Categories</t>
  </si>
  <si>
    <t>Count of Workout Types</t>
  </si>
  <si>
    <t>Average of Session_Duration (hours)</t>
  </si>
  <si>
    <t>Average of Calories_Burned</t>
  </si>
  <si>
    <t>Calories _Burned (per hour)</t>
  </si>
  <si>
    <t>Average of Calories _Burned (per hour)</t>
  </si>
  <si>
    <t>Average of Avg_BPM</t>
  </si>
  <si>
    <t>Workout_type</t>
  </si>
  <si>
    <t>Average of Resting BPM</t>
  </si>
  <si>
    <t>Workout_Frequency(days)</t>
  </si>
  <si>
    <t>Average of Water_Intake (liters)</t>
  </si>
  <si>
    <t>Water_Intake_Gorup</t>
  </si>
  <si>
    <t>High</t>
  </si>
  <si>
    <t>Low</t>
  </si>
  <si>
    <t>Medium</t>
  </si>
  <si>
    <t>Average of Fat_Percentage</t>
  </si>
  <si>
    <t>Water Intake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</si>
</sst>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1" fillId="2" borderId="1" xfId="0" applyFont="1" applyFill="1" applyBorder="1"/>
    <xf numFmtId="0" fontId="1" fillId="0" borderId="0" xfId="0" applyFont="1" applyAlignment="1">
      <alignment horizontal="left"/>
    </xf>
    <xf numFmtId="2" fontId="0" fillId="0" borderId="1" xfId="0" applyNumberFormat="1" applyBorder="1"/>
    <xf numFmtId="0" fontId="0" fillId="0" borderId="0" xfId="0" applyAlignment="1">
      <alignment horizontal="center" vertical="center"/>
    </xf>
    <xf numFmtId="0" fontId="0" fillId="0" borderId="1" xfId="0" applyNumberFormat="1" applyBorder="1"/>
    <xf numFmtId="0" fontId="1" fillId="3" borderId="1" xfId="0" applyFont="1" applyFill="1" applyBorder="1"/>
  </cellXfs>
  <cellStyles count="1">
    <cellStyle name="Normal" xfId="0" builtinId="0"/>
  </cellStyles>
  <dxfs count="11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579120</xdr:colOff>
      <xdr:row>0</xdr:row>
      <xdr:rowOff>15240</xdr:rowOff>
    </xdr:from>
    <xdr:ext cx="7858177" cy="651069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271AAA-2EFC-3C29-CCD3-F81120DB0CE5}"/>
            </a:ext>
          </a:extLst>
        </xdr:cNvPr>
        <xdr:cNvSpPr txBox="1"/>
      </xdr:nvSpPr>
      <xdr:spPr>
        <a:xfrm>
          <a:off x="1188720" y="15240"/>
          <a:ext cx="7858177" cy="6510693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400" b="1"/>
        </a:p>
        <a:p>
          <a:r>
            <a:rPr lang="en-IN" sz="1800" b="1"/>
            <a:t>Questions We Have to Solve.</a:t>
          </a:r>
        </a:p>
        <a:p>
          <a:endParaRPr lang="en-IN" sz="1400" b="1"/>
        </a:p>
        <a:p>
          <a:r>
            <a:rPr lang="en-IN" sz="1400" b="1"/>
            <a:t>1.Demographics &amp; Distribution </a:t>
          </a:r>
          <a:endParaRPr lang="en-IN" sz="1400"/>
        </a:p>
        <a:p>
          <a:r>
            <a:rPr lang="en-IN" sz="1400"/>
            <a:t>    -What is the average age of gym members in each city?</a:t>
          </a:r>
        </a:p>
        <a:p>
          <a:r>
            <a:rPr lang="en-IN" sz="1400"/>
            <a:t>    -Which city has the maximum number of members?</a:t>
          </a:r>
        </a:p>
        <a:p>
          <a:r>
            <a:rPr lang="en-IN" sz="1400"/>
            <a:t>    -What is the gender ratio in each city?</a:t>
          </a:r>
        </a:p>
        <a:p>
          <a:r>
            <a:rPr lang="en-IN" sz="1400" b="1"/>
            <a:t>2.Health &amp; Fitness Analysis</a:t>
          </a:r>
          <a:endParaRPr lang="en-IN" sz="1400"/>
        </a:p>
        <a:p>
          <a:r>
            <a:rPr lang="en-IN" sz="1400"/>
            <a:t>   -What is the average BMI of members per city?</a:t>
          </a:r>
        </a:p>
        <a:p>
          <a:r>
            <a:rPr lang="en-IN" sz="1400"/>
            <a:t>   -How many members fall into categories: Underweight, Normal, Overweight, and Obese based on BMI?</a:t>
          </a:r>
        </a:p>
        <a:p>
          <a:r>
            <a:rPr lang="en-IN" sz="1400"/>
            <a:t>   -Does BMI vary significantly with </a:t>
          </a:r>
          <a:r>
            <a:rPr lang="en-IN" sz="1400" b="1"/>
            <a:t>workout type</a:t>
          </a:r>
          <a:r>
            <a:rPr lang="en-IN" sz="1400"/>
            <a:t> (Cardio, Strength, Yoga, HIIT)?</a:t>
          </a:r>
        </a:p>
        <a:p>
          <a:r>
            <a:rPr lang="en-IN" sz="1400" b="1"/>
            <a:t>3.Workout Habits</a:t>
          </a:r>
          <a:endParaRPr lang="en-IN" sz="1400"/>
        </a:p>
        <a:p>
          <a:r>
            <a:rPr lang="en-IN" sz="1400"/>
            <a:t>   -Which workout type is most popular in each city?</a:t>
          </a:r>
        </a:p>
        <a:p>
          <a:r>
            <a:rPr lang="en-IN" sz="1400"/>
            <a:t>   -What is the average workout session duration across genders?</a:t>
          </a:r>
        </a:p>
        <a:p>
          <a:r>
            <a:rPr lang="en-IN" sz="1400"/>
            <a:t>   -Do people with higher experience levels work out longer?</a:t>
          </a:r>
        </a:p>
        <a:p>
          <a:r>
            <a:rPr lang="en-IN" sz="1400" b="1"/>
            <a:t>4.Calories &amp; Performance</a:t>
          </a:r>
          <a:endParaRPr lang="en-IN" sz="1400"/>
        </a:p>
        <a:p>
          <a:r>
            <a:rPr lang="en-IN" sz="1400"/>
            <a:t>   -What is the relationship between </a:t>
          </a:r>
          <a:r>
            <a:rPr lang="en-IN" sz="1400" b="1"/>
            <a:t>session duration</a:t>
          </a:r>
          <a:r>
            <a:rPr lang="en-IN" sz="1400"/>
            <a:t> and </a:t>
          </a:r>
          <a:r>
            <a:rPr lang="en-IN" sz="1400" b="1"/>
            <a:t>calories burned</a:t>
          </a:r>
          <a:r>
            <a:rPr lang="en-IN" sz="1400"/>
            <a:t>?</a:t>
          </a:r>
        </a:p>
        <a:p>
          <a:r>
            <a:rPr lang="en-IN" sz="1400"/>
            <a:t>   -Do men burn more calories than women on average?</a:t>
          </a:r>
        </a:p>
        <a:p>
          <a:r>
            <a:rPr lang="en-IN" sz="1400"/>
            <a:t>   -Which workout type burns the most calories per hour?</a:t>
          </a:r>
        </a:p>
        <a:p>
          <a:r>
            <a:rPr lang="en-IN" sz="1400" b="1"/>
            <a:t>5.Heart Rate &amp; Endurance</a:t>
          </a:r>
          <a:endParaRPr lang="en-IN" sz="1400"/>
        </a:p>
        <a:p>
          <a:r>
            <a:rPr lang="en-IN" sz="1400"/>
            <a:t>   -How does average BPM compare across different workout types?</a:t>
          </a:r>
        </a:p>
        <a:p>
          <a:r>
            <a:rPr lang="en-IN" sz="1400"/>
            <a:t>   -Do members with higher workout frequency (days per week) have lower resting BPM?</a:t>
          </a:r>
        </a:p>
        <a:p>
          <a:r>
            <a:rPr lang="en-IN" sz="1400" b="1"/>
            <a:t>6.Hydration &amp; Fat Percentage</a:t>
          </a:r>
          <a:endParaRPr lang="en-IN" sz="1400"/>
        </a:p>
        <a:p>
          <a:r>
            <a:rPr lang="en-IN" sz="1400"/>
            <a:t>   -What is the average daily water intake by city and gender?</a:t>
          </a:r>
        </a:p>
        <a:p>
          <a:r>
            <a:rPr lang="en-IN" sz="1400"/>
            <a:t>   -Is there a correlation between water intake and fat percentage?</a:t>
          </a:r>
        </a:p>
        <a:p>
          <a:r>
            <a:rPr lang="en-IN" sz="1400" b="1"/>
            <a:t>7.Comparative Analysis</a:t>
          </a:r>
          <a:endParaRPr lang="en-IN" sz="1400"/>
        </a:p>
        <a:p>
          <a:r>
            <a:rPr lang="en-IN" sz="1400"/>
            <a:t>   -Which city has the fittest members (lowest fat percentage &amp; BMI)?</a:t>
          </a:r>
        </a:p>
        <a:p>
          <a:r>
            <a:rPr lang="en-IN" sz="1400"/>
            <a:t>   -Which experience level group burns the most calories on average?</a:t>
          </a:r>
        </a:p>
        <a:p>
          <a:endParaRPr lang="en-IN" sz="14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4442460" cy="5562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F8B33D2-B4D4-9970-6D5D-9F04215F68FD}"/>
            </a:ext>
          </a:extLst>
        </xdr:cNvPr>
        <xdr:cNvSpPr txBox="1"/>
      </xdr:nvSpPr>
      <xdr:spPr>
        <a:xfrm>
          <a:off x="3032760" y="182880"/>
          <a:ext cx="4442460" cy="55626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2400" b="1"/>
            <a:t>Demographics &amp; Distribution</a:t>
          </a:r>
          <a:endParaRPr lang="en-IN" sz="2400"/>
        </a:p>
        <a:p>
          <a:pPr algn="ctr"/>
          <a:endParaRPr lang="en-IN" sz="1100"/>
        </a:p>
      </xdr:txBody>
    </xdr:sp>
    <xdr:clientData/>
  </xdr:oneCellAnchor>
  <xdr:twoCellAnchor>
    <xdr:from>
      <xdr:col>1</xdr:col>
      <xdr:colOff>723900</xdr:colOff>
      <xdr:row>17</xdr:row>
      <xdr:rowOff>175260</xdr:rowOff>
    </xdr:from>
    <xdr:to>
      <xdr:col>2</xdr:col>
      <xdr:colOff>0</xdr:colOff>
      <xdr:row>23</xdr:row>
      <xdr:rowOff>167640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2F03C8E3-2EE0-254C-9811-DA91E53F5366}"/>
            </a:ext>
          </a:extLst>
        </xdr:cNvPr>
        <xdr:cNvCxnSpPr/>
      </xdr:nvCxnSpPr>
      <xdr:spPr>
        <a:xfrm flipH="1">
          <a:off x="1333500" y="3284220"/>
          <a:ext cx="7620" cy="10896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396240</xdr:colOff>
      <xdr:row>23</xdr:row>
      <xdr:rowOff>175260</xdr:rowOff>
    </xdr:from>
    <xdr:to>
      <xdr:col>2</xdr:col>
      <xdr:colOff>876300</xdr:colOff>
      <xdr:row>28</xdr:row>
      <xdr:rowOff>83820</xdr:rowOff>
    </xdr:to>
    <xdr:sp macro="" textlink="">
      <xdr:nvSpPr>
        <xdr:cNvPr id="11" name="Rectangle: Single Corner Rounded 10">
          <a:extLst>
            <a:ext uri="{FF2B5EF4-FFF2-40B4-BE49-F238E27FC236}">
              <a16:creationId xmlns:a16="http://schemas.microsoft.com/office/drawing/2014/main" id="{5089E254-29E3-1DDB-87DD-25F681D5382A}"/>
            </a:ext>
          </a:extLst>
        </xdr:cNvPr>
        <xdr:cNvSpPr/>
      </xdr:nvSpPr>
      <xdr:spPr>
        <a:xfrm>
          <a:off x="396240" y="4381500"/>
          <a:ext cx="1821180" cy="822960"/>
        </a:xfrm>
        <a:prstGeom prst="round1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  <a:p>
          <a:r>
            <a:rPr lang="en-IN" sz="1200" b="1"/>
            <a:t>What is the average age of gym members in each city?</a:t>
          </a:r>
        </a:p>
        <a:p>
          <a:pPr algn="l"/>
          <a:endParaRPr lang="en-IN" sz="1100"/>
        </a:p>
      </xdr:txBody>
    </xdr:sp>
    <xdr:clientData/>
  </xdr:twoCellAnchor>
  <xdr:twoCellAnchor>
    <xdr:from>
      <xdr:col>5</xdr:col>
      <xdr:colOff>0</xdr:colOff>
      <xdr:row>19</xdr:row>
      <xdr:rowOff>15240</xdr:rowOff>
    </xdr:from>
    <xdr:to>
      <xdr:col>5</xdr:col>
      <xdr:colOff>731520</xdr:colOff>
      <xdr:row>25</xdr:row>
      <xdr:rowOff>15240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63350310-4005-BEAE-1C04-76DC20557467}"/>
            </a:ext>
          </a:extLst>
        </xdr:cNvPr>
        <xdr:cNvCxnSpPr/>
      </xdr:nvCxnSpPr>
      <xdr:spPr>
        <a:xfrm rot="16200000" flipH="1">
          <a:off x="3589020" y="3672840"/>
          <a:ext cx="1097280" cy="73152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525780</xdr:colOff>
      <xdr:row>25</xdr:row>
      <xdr:rowOff>22860</xdr:rowOff>
    </xdr:from>
    <xdr:to>
      <xdr:col>6</xdr:col>
      <xdr:colOff>449580</xdr:colOff>
      <xdr:row>29</xdr:row>
      <xdr:rowOff>160020</xdr:rowOff>
    </xdr:to>
    <xdr:sp macro="" textlink="">
      <xdr:nvSpPr>
        <xdr:cNvPr id="20" name="Rectangle: Single Corner Rounded 19">
          <a:extLst>
            <a:ext uri="{FF2B5EF4-FFF2-40B4-BE49-F238E27FC236}">
              <a16:creationId xmlns:a16="http://schemas.microsoft.com/office/drawing/2014/main" id="{581AB22C-E838-4A2C-9B2F-3F045E58F698}"/>
            </a:ext>
          </a:extLst>
        </xdr:cNvPr>
        <xdr:cNvSpPr/>
      </xdr:nvSpPr>
      <xdr:spPr>
        <a:xfrm>
          <a:off x="3436620" y="4594860"/>
          <a:ext cx="1950720" cy="868680"/>
        </a:xfrm>
        <a:prstGeom prst="round1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endParaRPr lang="en-IN"/>
        </a:p>
        <a:p>
          <a:pPr algn="ctr"/>
          <a:r>
            <a:rPr lang="en-IN" sz="1200" b="1"/>
            <a:t>Which city has the maximum number of members?</a:t>
          </a:r>
        </a:p>
      </xdr:txBody>
    </xdr:sp>
    <xdr:clientData/>
  </xdr:twoCellAnchor>
  <xdr:twoCellAnchor>
    <xdr:from>
      <xdr:col>8</xdr:col>
      <xdr:colOff>807720</xdr:colOff>
      <xdr:row>20</xdr:row>
      <xdr:rowOff>15240</xdr:rowOff>
    </xdr:from>
    <xdr:to>
      <xdr:col>8</xdr:col>
      <xdr:colOff>815340</xdr:colOff>
      <xdr:row>26</xdr:row>
      <xdr:rowOff>7620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274F1029-9CD5-4DB9-A01B-EC4765E09FE2}"/>
            </a:ext>
          </a:extLst>
        </xdr:cNvPr>
        <xdr:cNvCxnSpPr/>
      </xdr:nvCxnSpPr>
      <xdr:spPr>
        <a:xfrm flipH="1">
          <a:off x="7505700" y="3672840"/>
          <a:ext cx="7620" cy="10896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899160</xdr:colOff>
      <xdr:row>26</xdr:row>
      <xdr:rowOff>22860</xdr:rowOff>
    </xdr:from>
    <xdr:to>
      <xdr:col>10</xdr:col>
      <xdr:colOff>396240</xdr:colOff>
      <xdr:row>30</xdr:row>
      <xdr:rowOff>114300</xdr:rowOff>
    </xdr:to>
    <xdr:sp macro="" textlink="">
      <xdr:nvSpPr>
        <xdr:cNvPr id="22" name="Rectangle: Single Corner Rounded 21">
          <a:extLst>
            <a:ext uri="{FF2B5EF4-FFF2-40B4-BE49-F238E27FC236}">
              <a16:creationId xmlns:a16="http://schemas.microsoft.com/office/drawing/2014/main" id="{07E7776F-E42E-445E-9A80-4EFDF458882E}"/>
            </a:ext>
          </a:extLst>
        </xdr:cNvPr>
        <xdr:cNvSpPr/>
      </xdr:nvSpPr>
      <xdr:spPr>
        <a:xfrm>
          <a:off x="6568440" y="4777740"/>
          <a:ext cx="1950720" cy="822960"/>
        </a:xfrm>
        <a:prstGeom prst="round1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/>
            <a:t>What is the gender ratio in each city?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601980</xdr:colOff>
      <xdr:row>1</xdr:row>
      <xdr:rowOff>7620</xdr:rowOff>
    </xdr:from>
    <xdr:ext cx="4290060" cy="5562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47B1200-F744-4CB6-B4F2-6CD4ED551C13}"/>
            </a:ext>
          </a:extLst>
        </xdr:cNvPr>
        <xdr:cNvSpPr txBox="1"/>
      </xdr:nvSpPr>
      <xdr:spPr>
        <a:xfrm>
          <a:off x="3040380" y="190500"/>
          <a:ext cx="4290060" cy="55626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N" sz="2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 &amp; Fitness Analysis</a:t>
          </a:r>
          <a:endParaRPr lang="en-IN" sz="2400"/>
        </a:p>
      </xdr:txBody>
    </xdr:sp>
    <xdr:clientData/>
  </xdr:oneCellAnchor>
  <xdr:twoCellAnchor>
    <xdr:from>
      <xdr:col>2</xdr:col>
      <xdr:colOff>0</xdr:colOff>
      <xdr:row>18</xdr:row>
      <xdr:rowOff>22860</xdr:rowOff>
    </xdr:from>
    <xdr:to>
      <xdr:col>2</xdr:col>
      <xdr:colOff>0</xdr:colOff>
      <xdr:row>22</xdr:row>
      <xdr:rowOff>167640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20BBCC7-BAC0-48A0-925D-ACD482CD2A4B}"/>
            </a:ext>
          </a:extLst>
        </xdr:cNvPr>
        <xdr:cNvCxnSpPr/>
      </xdr:nvCxnSpPr>
      <xdr:spPr>
        <a:xfrm>
          <a:off x="1470660" y="3314700"/>
          <a:ext cx="0" cy="876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</xdr:row>
      <xdr:rowOff>0</xdr:rowOff>
    </xdr:from>
    <xdr:to>
      <xdr:col>5</xdr:col>
      <xdr:colOff>731520</xdr:colOff>
      <xdr:row>19</xdr:row>
      <xdr:rowOff>0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1AA38A8F-E37A-4A28-B6D4-67D3CA5544FF}"/>
            </a:ext>
          </a:extLst>
        </xdr:cNvPr>
        <xdr:cNvCxnSpPr/>
      </xdr:nvCxnSpPr>
      <xdr:spPr>
        <a:xfrm rot="16200000" flipH="1">
          <a:off x="3787140" y="2560320"/>
          <a:ext cx="1097280" cy="73152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853440</xdr:colOff>
      <xdr:row>12</xdr:row>
      <xdr:rowOff>0</xdr:rowOff>
    </xdr:from>
    <xdr:to>
      <xdr:col>8</xdr:col>
      <xdr:colOff>0</xdr:colOff>
      <xdr:row>17</xdr:row>
      <xdr:rowOff>175260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6DF968E6-9E8B-49F3-AD4F-8B52E8DD88CA}"/>
            </a:ext>
          </a:extLst>
        </xdr:cNvPr>
        <xdr:cNvCxnSpPr/>
      </xdr:nvCxnSpPr>
      <xdr:spPr>
        <a:xfrm flipH="1">
          <a:off x="6858000" y="2194560"/>
          <a:ext cx="7620" cy="10896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22</xdr:row>
      <xdr:rowOff>175260</xdr:rowOff>
    </xdr:from>
    <xdr:to>
      <xdr:col>3</xdr:col>
      <xdr:colOff>0</xdr:colOff>
      <xdr:row>27</xdr:row>
      <xdr:rowOff>83820</xdr:rowOff>
    </xdr:to>
    <xdr:sp macro="" textlink="">
      <xdr:nvSpPr>
        <xdr:cNvPr id="9" name="Rectangle: Single Corner Rounded 8">
          <a:extLst>
            <a:ext uri="{FF2B5EF4-FFF2-40B4-BE49-F238E27FC236}">
              <a16:creationId xmlns:a16="http://schemas.microsoft.com/office/drawing/2014/main" id="{828DA114-2151-4ECD-9AC2-265EAF99B5ED}"/>
            </a:ext>
          </a:extLst>
        </xdr:cNvPr>
        <xdr:cNvSpPr/>
      </xdr:nvSpPr>
      <xdr:spPr>
        <a:xfrm>
          <a:off x="609600" y="4198620"/>
          <a:ext cx="1828800" cy="822960"/>
        </a:xfrm>
        <a:prstGeom prst="round1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endParaRPr lang="en-IN"/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What is the average BMI of members per city?</a:t>
          </a:r>
          <a:endParaRPr lang="en-IN" sz="1200" b="1">
            <a:effectLst/>
          </a:endParaRPr>
        </a:p>
        <a:p>
          <a:endParaRPr lang="en-IN" sz="1200" b="1"/>
        </a:p>
        <a:p>
          <a:pPr algn="l"/>
          <a:endParaRPr lang="en-IN" sz="1100"/>
        </a:p>
      </xdr:txBody>
    </xdr:sp>
    <xdr:clientData/>
  </xdr:twoCellAnchor>
  <xdr:twoCellAnchor>
    <xdr:from>
      <xdr:col>4</xdr:col>
      <xdr:colOff>822960</xdr:colOff>
      <xdr:row>19</xdr:row>
      <xdr:rowOff>15240</xdr:rowOff>
    </xdr:from>
    <xdr:to>
      <xdr:col>6</xdr:col>
      <xdr:colOff>198120</xdr:colOff>
      <xdr:row>25</xdr:row>
      <xdr:rowOff>0</xdr:rowOff>
    </xdr:to>
    <xdr:sp macro="" textlink="">
      <xdr:nvSpPr>
        <xdr:cNvPr id="11" name="Rectangle: Single Corner Rounded 10">
          <a:extLst>
            <a:ext uri="{FF2B5EF4-FFF2-40B4-BE49-F238E27FC236}">
              <a16:creationId xmlns:a16="http://schemas.microsoft.com/office/drawing/2014/main" id="{128CFF0B-60F7-44BF-9C31-43D3BC3D4EFB}"/>
            </a:ext>
          </a:extLst>
        </xdr:cNvPr>
        <xdr:cNvSpPr/>
      </xdr:nvSpPr>
      <xdr:spPr>
        <a:xfrm>
          <a:off x="3870960" y="3489960"/>
          <a:ext cx="1828800" cy="1082040"/>
        </a:xfrm>
        <a:prstGeom prst="round1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How many members fall into categories: Underweight, Normal, Overweight, and Obese based on BMI?</a:t>
          </a:r>
          <a:endParaRPr lang="en-IN" sz="1200" b="1">
            <a:effectLst/>
          </a:endParaRPr>
        </a:p>
        <a:p>
          <a:pPr algn="ctr"/>
          <a:endParaRPr lang="en-IN" sz="1200" b="1"/>
        </a:p>
      </xdr:txBody>
    </xdr:sp>
    <xdr:clientData/>
  </xdr:twoCellAnchor>
  <xdr:twoCellAnchor>
    <xdr:from>
      <xdr:col>7</xdr:col>
      <xdr:colOff>0</xdr:colOff>
      <xdr:row>18</xdr:row>
      <xdr:rowOff>7620</xdr:rowOff>
    </xdr:from>
    <xdr:to>
      <xdr:col>9</xdr:col>
      <xdr:colOff>0</xdr:colOff>
      <xdr:row>24</xdr:row>
      <xdr:rowOff>0</xdr:rowOff>
    </xdr:to>
    <xdr:sp macro="" textlink="">
      <xdr:nvSpPr>
        <xdr:cNvPr id="12" name="Rectangle: Single Corner Rounded 11">
          <a:extLst>
            <a:ext uri="{FF2B5EF4-FFF2-40B4-BE49-F238E27FC236}">
              <a16:creationId xmlns:a16="http://schemas.microsoft.com/office/drawing/2014/main" id="{35646ACB-5EBF-42F2-A2D7-E31BAEB9C3F8}"/>
            </a:ext>
          </a:extLst>
        </xdr:cNvPr>
        <xdr:cNvSpPr/>
      </xdr:nvSpPr>
      <xdr:spPr>
        <a:xfrm>
          <a:off x="6004560" y="3299460"/>
          <a:ext cx="1828800" cy="1089660"/>
        </a:xfrm>
        <a:prstGeom prst="round1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Does BMI vary significantly with workout type (Cardio, Strength, Yoga, HIIT)?</a:t>
          </a:r>
        </a:p>
        <a:p>
          <a:pPr algn="l"/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Ans. Yes</a:t>
          </a:r>
          <a:endParaRPr lang="en-IN" sz="1200" b="1"/>
        </a:p>
        <a:p>
          <a:pPr algn="ctr"/>
          <a:endParaRPr lang="en-IN" sz="12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4442460" cy="5562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E321DF7-B07A-4701-B3CA-8C22B702718E}"/>
            </a:ext>
          </a:extLst>
        </xdr:cNvPr>
        <xdr:cNvSpPr txBox="1"/>
      </xdr:nvSpPr>
      <xdr:spPr>
        <a:xfrm>
          <a:off x="2910840" y="182880"/>
          <a:ext cx="4442460" cy="55626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2400" b="1"/>
            <a:t>Workout</a:t>
          </a:r>
          <a:r>
            <a:rPr lang="en-IN" sz="2400" b="1" baseline="0"/>
            <a:t> Habits</a:t>
          </a:r>
          <a:endParaRPr lang="en-IN" sz="2400"/>
        </a:p>
        <a:p>
          <a:pPr algn="ctr"/>
          <a:endParaRPr lang="en-IN" sz="1100"/>
        </a:p>
      </xdr:txBody>
    </xdr:sp>
    <xdr:clientData/>
  </xdr:oneCellAnchor>
  <xdr:twoCellAnchor>
    <xdr:from>
      <xdr:col>3</xdr:col>
      <xdr:colOff>0</xdr:colOff>
      <xdr:row>20</xdr:row>
      <xdr:rowOff>0</xdr:rowOff>
    </xdr:from>
    <xdr:to>
      <xdr:col>3</xdr:col>
      <xdr:colOff>7620</xdr:colOff>
      <xdr:row>25</xdr:row>
      <xdr:rowOff>175260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A426F77-60DB-4FD8-9554-4BC0454D7338}"/>
            </a:ext>
          </a:extLst>
        </xdr:cNvPr>
        <xdr:cNvCxnSpPr/>
      </xdr:nvCxnSpPr>
      <xdr:spPr>
        <a:xfrm flipH="1">
          <a:off x="2674620" y="3657600"/>
          <a:ext cx="7620" cy="10896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26</xdr:row>
      <xdr:rowOff>7620</xdr:rowOff>
    </xdr:from>
    <xdr:to>
      <xdr:col>5</xdr:col>
      <xdr:colOff>274320</xdr:colOff>
      <xdr:row>30</xdr:row>
      <xdr:rowOff>99060</xdr:rowOff>
    </xdr:to>
    <xdr:sp macro="" textlink="">
      <xdr:nvSpPr>
        <xdr:cNvPr id="4" name="Rectangle: Single Corner Rounded 3">
          <a:extLst>
            <a:ext uri="{FF2B5EF4-FFF2-40B4-BE49-F238E27FC236}">
              <a16:creationId xmlns:a16="http://schemas.microsoft.com/office/drawing/2014/main" id="{57B22BEC-D0FB-46D4-A2AC-9ED3716C65CD}"/>
            </a:ext>
          </a:extLst>
        </xdr:cNvPr>
        <xdr:cNvSpPr/>
      </xdr:nvSpPr>
      <xdr:spPr>
        <a:xfrm>
          <a:off x="1607820" y="4762500"/>
          <a:ext cx="2202180" cy="822960"/>
        </a:xfrm>
        <a:prstGeom prst="round1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endParaRPr lang="en-IN"/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Which workout type is most popular in each city?</a:t>
          </a:r>
          <a:endParaRPr lang="en-IN" sz="1200" b="1">
            <a:effectLst/>
          </a:endParaRPr>
        </a:p>
        <a:p>
          <a:endParaRPr lang="en-IN" sz="1200" b="1"/>
        </a:p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9</xdr:row>
      <xdr:rowOff>160020</xdr:rowOff>
    </xdr:from>
    <xdr:to>
      <xdr:col>9</xdr:col>
      <xdr:colOff>731520</xdr:colOff>
      <xdr:row>15</xdr:row>
      <xdr:rowOff>160020</xdr:rowOff>
    </xdr:to>
    <xdr:cxnSp macro="">
      <xdr:nvCxnSpPr>
        <xdr:cNvPr id="9" name="Connector: Elbow 8">
          <a:extLst>
            <a:ext uri="{FF2B5EF4-FFF2-40B4-BE49-F238E27FC236}">
              <a16:creationId xmlns:a16="http://schemas.microsoft.com/office/drawing/2014/main" id="{4032CA89-074F-46A2-A13F-BEE4F80EA775}"/>
            </a:ext>
          </a:extLst>
        </xdr:cNvPr>
        <xdr:cNvCxnSpPr/>
      </xdr:nvCxnSpPr>
      <xdr:spPr>
        <a:xfrm rot="16200000" flipH="1">
          <a:off x="6332220" y="1988820"/>
          <a:ext cx="1097280" cy="73152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678180</xdr:colOff>
      <xdr:row>16</xdr:row>
      <xdr:rowOff>0</xdr:rowOff>
    </xdr:from>
    <xdr:to>
      <xdr:col>9</xdr:col>
      <xdr:colOff>1645920</xdr:colOff>
      <xdr:row>20</xdr:row>
      <xdr:rowOff>99060</xdr:rowOff>
    </xdr:to>
    <xdr:sp macro="" textlink="">
      <xdr:nvSpPr>
        <xdr:cNvPr id="10" name="Rectangle: Single Corner Rounded 9">
          <a:extLst>
            <a:ext uri="{FF2B5EF4-FFF2-40B4-BE49-F238E27FC236}">
              <a16:creationId xmlns:a16="http://schemas.microsoft.com/office/drawing/2014/main" id="{80DB90ED-CF9A-401D-A21D-A9C7F1883059}"/>
            </a:ext>
          </a:extLst>
        </xdr:cNvPr>
        <xdr:cNvSpPr/>
      </xdr:nvSpPr>
      <xdr:spPr>
        <a:xfrm>
          <a:off x="6332220" y="2926080"/>
          <a:ext cx="1828800" cy="830580"/>
        </a:xfrm>
        <a:prstGeom prst="round1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What is the average workout session duration across genders?</a:t>
          </a:r>
          <a:endParaRPr lang="en-IN" sz="1200" b="1">
            <a:effectLst/>
          </a:endParaRPr>
        </a:p>
        <a:p>
          <a:pPr algn="ctr"/>
          <a:endParaRPr lang="en-IN" sz="1200" b="1"/>
        </a:p>
      </xdr:txBody>
    </xdr:sp>
    <xdr:clientData/>
  </xdr:twoCellAnchor>
  <xdr:twoCellAnchor>
    <xdr:from>
      <xdr:col>11</xdr:col>
      <xdr:colOff>853440</xdr:colOff>
      <xdr:row>11</xdr:row>
      <xdr:rowOff>0</xdr:rowOff>
    </xdr:from>
    <xdr:to>
      <xdr:col>12</xdr:col>
      <xdr:colOff>0</xdr:colOff>
      <xdr:row>16</xdr:row>
      <xdr:rowOff>175260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78A43828-37F0-433A-8805-B33D3AE9032E}"/>
            </a:ext>
          </a:extLst>
        </xdr:cNvPr>
        <xdr:cNvCxnSpPr/>
      </xdr:nvCxnSpPr>
      <xdr:spPr>
        <a:xfrm flipH="1">
          <a:off x="10317480" y="2011680"/>
          <a:ext cx="7620" cy="10896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723900</xdr:colOff>
      <xdr:row>17</xdr:row>
      <xdr:rowOff>7620</xdr:rowOff>
    </xdr:from>
    <xdr:to>
      <xdr:col>12</xdr:col>
      <xdr:colOff>952500</xdr:colOff>
      <xdr:row>21</xdr:row>
      <xdr:rowOff>144780</xdr:rowOff>
    </xdr:to>
    <xdr:sp macro="" textlink="">
      <xdr:nvSpPr>
        <xdr:cNvPr id="13" name="Rectangle: Single Corner Rounded 12">
          <a:extLst>
            <a:ext uri="{FF2B5EF4-FFF2-40B4-BE49-F238E27FC236}">
              <a16:creationId xmlns:a16="http://schemas.microsoft.com/office/drawing/2014/main" id="{541373AA-A903-4D49-BB60-2582D3B83440}"/>
            </a:ext>
          </a:extLst>
        </xdr:cNvPr>
        <xdr:cNvSpPr/>
      </xdr:nvSpPr>
      <xdr:spPr>
        <a:xfrm>
          <a:off x="9448800" y="3116580"/>
          <a:ext cx="1828800" cy="868680"/>
        </a:xfrm>
        <a:prstGeom prst="round1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Do people with higher experience levels work out longer?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Ans. Yes.</a:t>
          </a:r>
          <a:endParaRPr lang="en-IN" sz="1200" b="1">
            <a:effectLst/>
          </a:endParaRPr>
        </a:p>
        <a:p>
          <a:pPr algn="ctr"/>
          <a:endParaRPr lang="en-IN" sz="12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7620</xdr:colOff>
      <xdr:row>0</xdr:row>
      <xdr:rowOff>167640</xdr:rowOff>
    </xdr:from>
    <xdr:ext cx="4442460" cy="5562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6994C7-9DAB-4550-B315-36C4A54A2598}"/>
            </a:ext>
          </a:extLst>
        </xdr:cNvPr>
        <xdr:cNvSpPr txBox="1"/>
      </xdr:nvSpPr>
      <xdr:spPr>
        <a:xfrm>
          <a:off x="2948940" y="167640"/>
          <a:ext cx="4442460" cy="55626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2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Calories &amp; Performance</a:t>
          </a:r>
          <a:endParaRPr lang="en-IN" sz="2400"/>
        </a:p>
        <a:p>
          <a:pPr algn="ctr"/>
          <a:endParaRPr lang="en-IN" sz="1100"/>
        </a:p>
      </xdr:txBody>
    </xdr:sp>
    <xdr:clientData/>
  </xdr:oneCellAnchor>
  <xdr:twoCellAnchor>
    <xdr:from>
      <xdr:col>2</xdr:col>
      <xdr:colOff>609600</xdr:colOff>
      <xdr:row>20</xdr:row>
      <xdr:rowOff>0</xdr:rowOff>
    </xdr:from>
    <xdr:to>
      <xdr:col>2</xdr:col>
      <xdr:colOff>617220</xdr:colOff>
      <xdr:row>25</xdr:row>
      <xdr:rowOff>175260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4B46910-917B-4328-884C-EE90FF77059D}"/>
            </a:ext>
          </a:extLst>
        </xdr:cNvPr>
        <xdr:cNvCxnSpPr/>
      </xdr:nvCxnSpPr>
      <xdr:spPr>
        <a:xfrm flipH="1">
          <a:off x="2689860" y="3840480"/>
          <a:ext cx="7620" cy="10896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822960</xdr:colOff>
      <xdr:row>26</xdr:row>
      <xdr:rowOff>7620</xdr:rowOff>
    </xdr:from>
    <xdr:to>
      <xdr:col>3</xdr:col>
      <xdr:colOff>1089660</xdr:colOff>
      <xdr:row>31</xdr:row>
      <xdr:rowOff>152400</xdr:rowOff>
    </xdr:to>
    <xdr:sp macro="" textlink="">
      <xdr:nvSpPr>
        <xdr:cNvPr id="4" name="Rectangle: Single Corner Rounded 3">
          <a:extLst>
            <a:ext uri="{FF2B5EF4-FFF2-40B4-BE49-F238E27FC236}">
              <a16:creationId xmlns:a16="http://schemas.microsoft.com/office/drawing/2014/main" id="{B2192F6D-B9C4-4367-A316-4D7CEE52453B}"/>
            </a:ext>
          </a:extLst>
        </xdr:cNvPr>
        <xdr:cNvSpPr/>
      </xdr:nvSpPr>
      <xdr:spPr>
        <a:xfrm>
          <a:off x="1432560" y="4945380"/>
          <a:ext cx="2598420" cy="1059180"/>
        </a:xfrm>
        <a:prstGeom prst="round1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200" b="1"/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What is the relationship between session duration and calories burned?</a:t>
          </a:r>
          <a:endParaRPr lang="en-IN" sz="1200" b="1">
            <a:effectLst/>
          </a:endParaRPr>
        </a:p>
        <a:p>
          <a:pPr algn="ctr"/>
          <a:endParaRPr lang="en-IN" sz="1200" b="1"/>
        </a:p>
        <a:p>
          <a:pPr algn="ctr"/>
          <a:endParaRPr lang="en-IN" sz="1200" b="1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7</xdr:col>
      <xdr:colOff>731520</xdr:colOff>
      <xdr:row>16</xdr:row>
      <xdr:rowOff>0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E2D8C2ED-8E54-4293-AAD3-4E9EC9017FF2}"/>
            </a:ext>
          </a:extLst>
        </xdr:cNvPr>
        <xdr:cNvCxnSpPr/>
      </xdr:nvCxnSpPr>
      <xdr:spPr>
        <a:xfrm rot="16200000" flipH="1">
          <a:off x="6332220" y="2194560"/>
          <a:ext cx="1097280" cy="73152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754380</xdr:colOff>
      <xdr:row>16</xdr:row>
      <xdr:rowOff>22860</xdr:rowOff>
    </xdr:from>
    <xdr:to>
      <xdr:col>8</xdr:col>
      <xdr:colOff>0</xdr:colOff>
      <xdr:row>20</xdr:row>
      <xdr:rowOff>167640</xdr:rowOff>
    </xdr:to>
    <xdr:sp macro="" textlink="">
      <xdr:nvSpPr>
        <xdr:cNvPr id="6" name="Rectangle: Single Corner Rounded 5">
          <a:extLst>
            <a:ext uri="{FF2B5EF4-FFF2-40B4-BE49-F238E27FC236}">
              <a16:creationId xmlns:a16="http://schemas.microsoft.com/office/drawing/2014/main" id="{AE4C3B56-F24C-4A78-9A33-6DD45665BB5E}"/>
            </a:ext>
          </a:extLst>
        </xdr:cNvPr>
        <xdr:cNvSpPr/>
      </xdr:nvSpPr>
      <xdr:spPr>
        <a:xfrm>
          <a:off x="8740140" y="3131820"/>
          <a:ext cx="1790700" cy="876300"/>
        </a:xfrm>
        <a:prstGeom prst="round1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Do men burn more calories than women on average?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Ans. Yes</a:t>
          </a:r>
          <a:endParaRPr lang="en-IN" sz="1200" b="1">
            <a:effectLst/>
          </a:endParaRPr>
        </a:p>
        <a:p>
          <a:pPr algn="ctr"/>
          <a:endParaRPr lang="en-IN" sz="1200" b="1"/>
        </a:p>
      </xdr:txBody>
    </xdr:sp>
    <xdr:clientData/>
  </xdr:twoCellAnchor>
  <xdr:twoCellAnchor>
    <xdr:from>
      <xdr:col>9</xdr:col>
      <xdr:colOff>853440</xdr:colOff>
      <xdr:row>10</xdr:row>
      <xdr:rowOff>167640</xdr:rowOff>
    </xdr:from>
    <xdr:to>
      <xdr:col>10</xdr:col>
      <xdr:colOff>0</xdr:colOff>
      <xdr:row>16</xdr:row>
      <xdr:rowOff>160020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F72054E-6527-42B5-A58B-9945FFA3B8AA}"/>
            </a:ext>
          </a:extLst>
        </xdr:cNvPr>
        <xdr:cNvCxnSpPr/>
      </xdr:nvCxnSpPr>
      <xdr:spPr>
        <a:xfrm flipH="1">
          <a:off x="12123420" y="2179320"/>
          <a:ext cx="7620" cy="10896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16</xdr:row>
      <xdr:rowOff>167640</xdr:rowOff>
    </xdr:from>
    <xdr:to>
      <xdr:col>10</xdr:col>
      <xdr:colOff>967740</xdr:colOff>
      <xdr:row>20</xdr:row>
      <xdr:rowOff>121920</xdr:rowOff>
    </xdr:to>
    <xdr:sp macro="" textlink="">
      <xdr:nvSpPr>
        <xdr:cNvPr id="8" name="Rectangle: Single Corner Rounded 7">
          <a:extLst>
            <a:ext uri="{FF2B5EF4-FFF2-40B4-BE49-F238E27FC236}">
              <a16:creationId xmlns:a16="http://schemas.microsoft.com/office/drawing/2014/main" id="{0656EA06-3500-4F77-A389-520DDD53D6BC}"/>
            </a:ext>
          </a:extLst>
        </xdr:cNvPr>
        <xdr:cNvSpPr/>
      </xdr:nvSpPr>
      <xdr:spPr>
        <a:xfrm>
          <a:off x="11269980" y="3276600"/>
          <a:ext cx="1828800" cy="685800"/>
        </a:xfrm>
        <a:prstGeom prst="round1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Which workout type burns the most calories per hour?</a:t>
          </a:r>
          <a:endParaRPr lang="en-IN" sz="1200" b="1">
            <a:effectLst/>
          </a:endParaRPr>
        </a:p>
        <a:p>
          <a:pPr algn="ctr"/>
          <a:endParaRPr lang="en-IN" sz="1200" b="1"/>
        </a:p>
      </xdr:txBody>
    </xdr:sp>
    <xdr:clientData/>
  </xdr:twoCellAnchor>
  <xdr:twoCellAnchor editAs="oneCell">
    <xdr:from>
      <xdr:col>0</xdr:col>
      <xdr:colOff>594360</xdr:colOff>
      <xdr:row>6</xdr:row>
      <xdr:rowOff>15240</xdr:rowOff>
    </xdr:from>
    <xdr:to>
      <xdr:col>5</xdr:col>
      <xdr:colOff>0</xdr:colOff>
      <xdr:row>20</xdr:row>
      <xdr:rowOff>4811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54898D8-D7DF-336D-4762-71EE617B5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" y="1295400"/>
          <a:ext cx="4884420" cy="2549891"/>
        </a:xfrm>
        <a:prstGeom prst="rect">
          <a:avLst/>
        </a:prstGeom>
      </xdr:spPr>
    </xdr:pic>
    <xdr:clientData/>
  </xdr:twoCellAnchor>
  <xdr:twoCellAnchor>
    <xdr:from>
      <xdr:col>3</xdr:col>
      <xdr:colOff>1089660</xdr:colOff>
      <xdr:row>28</xdr:row>
      <xdr:rowOff>171450</xdr:rowOff>
    </xdr:from>
    <xdr:to>
      <xdr:col>4</xdr:col>
      <xdr:colOff>762000</xdr:colOff>
      <xdr:row>32</xdr:row>
      <xdr:rowOff>99060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843E9884-898E-1FB0-4A98-04A2FA373E86}"/>
            </a:ext>
          </a:extLst>
        </xdr:cNvPr>
        <xdr:cNvCxnSpPr>
          <a:stCxn id="4" idx="3"/>
        </xdr:cNvCxnSpPr>
      </xdr:nvCxnSpPr>
      <xdr:spPr>
        <a:xfrm>
          <a:off x="4030980" y="5474970"/>
          <a:ext cx="1143000" cy="65913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769620</xdr:colOff>
      <xdr:row>25</xdr:row>
      <xdr:rowOff>175260</xdr:rowOff>
    </xdr:from>
    <xdr:to>
      <xdr:col>7</xdr:col>
      <xdr:colOff>701040</xdr:colOff>
      <xdr:row>39</xdr:row>
      <xdr:rowOff>99060</xdr:rowOff>
    </xdr:to>
    <xdr:sp macro="" textlink="">
      <xdr:nvSpPr>
        <xdr:cNvPr id="24" name="Rectangle: Single Corner Rounded 23">
          <a:extLst>
            <a:ext uri="{FF2B5EF4-FFF2-40B4-BE49-F238E27FC236}">
              <a16:creationId xmlns:a16="http://schemas.microsoft.com/office/drawing/2014/main" id="{625DBE37-F0E0-40AD-8154-B337FC4E2E8F}"/>
            </a:ext>
          </a:extLst>
        </xdr:cNvPr>
        <xdr:cNvSpPr/>
      </xdr:nvSpPr>
      <xdr:spPr>
        <a:xfrm>
          <a:off x="5181600" y="4747260"/>
          <a:ext cx="2598420" cy="2484120"/>
        </a:xfrm>
        <a:prstGeom prst="round1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/>
            <a:t>The scatter plot analysis between workout session duration and calories burned shows a strong positive relationship (R² = 0.82). The trendline equation Calories = 721.79 × Duration – 1.45 indicates that, on average, each unit increase in session duration results in about 722 extra calories burned. This proves that longer workout sessions are strongly associated with higher calorie expenditure.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480060</xdr:colOff>
      <xdr:row>1</xdr:row>
      <xdr:rowOff>0</xdr:rowOff>
    </xdr:from>
    <xdr:ext cx="4442460" cy="5562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8E5FD0-3F94-4015-BC41-480A58E96F1B}"/>
            </a:ext>
          </a:extLst>
        </xdr:cNvPr>
        <xdr:cNvSpPr txBox="1"/>
      </xdr:nvSpPr>
      <xdr:spPr>
        <a:xfrm>
          <a:off x="2926080" y="182880"/>
          <a:ext cx="4442460" cy="55626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Heart Rate &amp; Endurance</a:t>
          </a:r>
          <a:endParaRPr lang="en-IN" sz="2400">
            <a:effectLst/>
          </a:endParaRPr>
        </a:p>
        <a:p>
          <a:pPr algn="ctr"/>
          <a:endParaRPr lang="en-IN" sz="2400"/>
        </a:p>
        <a:p>
          <a:pPr algn="ctr"/>
          <a:endParaRPr lang="en-IN" sz="1100"/>
        </a:p>
      </xdr:txBody>
    </xdr:sp>
    <xdr:clientData/>
  </xdr:oneCellAnchor>
  <xdr:twoCellAnchor>
    <xdr:from>
      <xdr:col>2</xdr:col>
      <xdr:colOff>0</xdr:colOff>
      <xdr:row>11</xdr:row>
      <xdr:rowOff>167640</xdr:rowOff>
    </xdr:from>
    <xdr:to>
      <xdr:col>2</xdr:col>
      <xdr:colOff>0</xdr:colOff>
      <xdr:row>17</xdr:row>
      <xdr:rowOff>160020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B5A3049-700F-4183-84A8-D9615D1817A5}"/>
            </a:ext>
          </a:extLst>
        </xdr:cNvPr>
        <xdr:cNvCxnSpPr/>
      </xdr:nvCxnSpPr>
      <xdr:spPr>
        <a:xfrm flipH="1">
          <a:off x="1143000" y="2179320"/>
          <a:ext cx="0" cy="10896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396240</xdr:colOff>
      <xdr:row>18</xdr:row>
      <xdr:rowOff>0</xdr:rowOff>
    </xdr:from>
    <xdr:to>
      <xdr:col>2</xdr:col>
      <xdr:colOff>876300</xdr:colOff>
      <xdr:row>22</xdr:row>
      <xdr:rowOff>91440</xdr:rowOff>
    </xdr:to>
    <xdr:sp macro="" textlink="">
      <xdr:nvSpPr>
        <xdr:cNvPr id="4" name="Rectangle: Single Corner Rounded 3">
          <a:extLst>
            <a:ext uri="{FF2B5EF4-FFF2-40B4-BE49-F238E27FC236}">
              <a16:creationId xmlns:a16="http://schemas.microsoft.com/office/drawing/2014/main" id="{4145A304-960B-48E7-B1E9-F81CFACED70C}"/>
            </a:ext>
          </a:extLst>
        </xdr:cNvPr>
        <xdr:cNvSpPr/>
      </xdr:nvSpPr>
      <xdr:spPr>
        <a:xfrm>
          <a:off x="396240" y="3291840"/>
          <a:ext cx="1623060" cy="822960"/>
        </a:xfrm>
        <a:prstGeom prst="round1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How does average BPM compare across different workout types?</a:t>
          </a:r>
          <a:endParaRPr lang="en-IN" sz="1200" b="1">
            <a:effectLst/>
          </a:endParaRPr>
        </a:p>
        <a:p>
          <a:pPr algn="ctr"/>
          <a:endParaRPr lang="en-IN" sz="1200" b="1"/>
        </a:p>
      </xdr:txBody>
    </xdr:sp>
    <xdr:clientData/>
  </xdr:twoCellAnchor>
  <xdr:twoCellAnchor>
    <xdr:from>
      <xdr:col>4</xdr:col>
      <xdr:colOff>845820</xdr:colOff>
      <xdr:row>13</xdr:row>
      <xdr:rowOff>0</xdr:rowOff>
    </xdr:from>
    <xdr:to>
      <xdr:col>5</xdr:col>
      <xdr:colOff>716280</xdr:colOff>
      <xdr:row>19</xdr:row>
      <xdr:rowOff>0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B97B4D00-7B50-443C-BCCA-CC2AA7A6FE5C}"/>
            </a:ext>
          </a:extLst>
        </xdr:cNvPr>
        <xdr:cNvCxnSpPr/>
      </xdr:nvCxnSpPr>
      <xdr:spPr>
        <a:xfrm rot="16200000" flipH="1">
          <a:off x="3718560" y="2560320"/>
          <a:ext cx="1097280" cy="73152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480060</xdr:colOff>
      <xdr:row>19</xdr:row>
      <xdr:rowOff>15240</xdr:rowOff>
    </xdr:from>
    <xdr:to>
      <xdr:col>6</xdr:col>
      <xdr:colOff>403860</xdr:colOff>
      <xdr:row>23</xdr:row>
      <xdr:rowOff>152400</xdr:rowOff>
    </xdr:to>
    <xdr:sp macro="" textlink="">
      <xdr:nvSpPr>
        <xdr:cNvPr id="6" name="Rectangle: Single Corner Rounded 5">
          <a:extLst>
            <a:ext uri="{FF2B5EF4-FFF2-40B4-BE49-F238E27FC236}">
              <a16:creationId xmlns:a16="http://schemas.microsoft.com/office/drawing/2014/main" id="{7D249DE9-CC71-4D16-9A32-D46574C2AF52}"/>
            </a:ext>
          </a:extLst>
        </xdr:cNvPr>
        <xdr:cNvSpPr/>
      </xdr:nvSpPr>
      <xdr:spPr>
        <a:xfrm>
          <a:off x="3535680" y="3489960"/>
          <a:ext cx="2255520" cy="868680"/>
        </a:xfrm>
        <a:prstGeom prst="round1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Do members with higher workout frequency (days per week) have lower resting BPM?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Ans.</a:t>
          </a:r>
          <a:r>
            <a:rPr lang="en-IN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Yes</a:t>
          </a:r>
          <a:endParaRPr lang="en-IN" sz="1200" b="1">
            <a:effectLst/>
          </a:endParaRPr>
        </a:p>
        <a:p>
          <a:pPr algn="ctr"/>
          <a:endParaRPr lang="en-IN" sz="1200" b="1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396240</xdr:colOff>
      <xdr:row>1</xdr:row>
      <xdr:rowOff>0</xdr:rowOff>
    </xdr:from>
    <xdr:ext cx="4442460" cy="5562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36661B-2295-4ABD-870F-C971E6FB59F3}"/>
            </a:ext>
          </a:extLst>
        </xdr:cNvPr>
        <xdr:cNvSpPr txBox="1"/>
      </xdr:nvSpPr>
      <xdr:spPr>
        <a:xfrm>
          <a:off x="2941320" y="182880"/>
          <a:ext cx="4442460" cy="55626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Hydration &amp; Fat Percentage</a:t>
          </a:r>
          <a:endParaRPr lang="en-IN" sz="2400" b="1">
            <a:effectLst/>
          </a:endParaRPr>
        </a:p>
        <a:p>
          <a:pPr algn="ctr"/>
          <a:endParaRPr lang="en-IN" sz="2400"/>
        </a:p>
        <a:p>
          <a:pPr algn="ctr"/>
          <a:endParaRPr lang="en-IN" sz="1100"/>
        </a:p>
      </xdr:txBody>
    </xdr:sp>
    <xdr:clientData/>
  </xdr:oneCellAnchor>
  <xdr:twoCellAnchor>
    <xdr:from>
      <xdr:col>2</xdr:col>
      <xdr:colOff>0</xdr:colOff>
      <xdr:row>19</xdr:row>
      <xdr:rowOff>15240</xdr:rowOff>
    </xdr:from>
    <xdr:to>
      <xdr:col>2</xdr:col>
      <xdr:colOff>0</xdr:colOff>
      <xdr:row>25</xdr:row>
      <xdr:rowOff>7620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A39C861-580D-4B82-B7FD-CD977B8AA21F}"/>
            </a:ext>
          </a:extLst>
        </xdr:cNvPr>
        <xdr:cNvCxnSpPr/>
      </xdr:nvCxnSpPr>
      <xdr:spPr>
        <a:xfrm flipH="1">
          <a:off x="2545080" y="3489960"/>
          <a:ext cx="0" cy="10896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472440</xdr:colOff>
      <xdr:row>25</xdr:row>
      <xdr:rowOff>15240</xdr:rowOff>
    </xdr:from>
    <xdr:to>
      <xdr:col>3</xdr:col>
      <xdr:colOff>495300</xdr:colOff>
      <xdr:row>29</xdr:row>
      <xdr:rowOff>106680</xdr:rowOff>
    </xdr:to>
    <xdr:sp macro="" textlink="">
      <xdr:nvSpPr>
        <xdr:cNvPr id="4" name="Rectangle: Single Corner Rounded 3">
          <a:extLst>
            <a:ext uri="{FF2B5EF4-FFF2-40B4-BE49-F238E27FC236}">
              <a16:creationId xmlns:a16="http://schemas.microsoft.com/office/drawing/2014/main" id="{7DAA2650-E05D-4405-8C52-AE5ADCCF6D19}"/>
            </a:ext>
          </a:extLst>
        </xdr:cNvPr>
        <xdr:cNvSpPr/>
      </xdr:nvSpPr>
      <xdr:spPr>
        <a:xfrm>
          <a:off x="1082040" y="4587240"/>
          <a:ext cx="3025140" cy="822960"/>
        </a:xfrm>
        <a:prstGeom prst="round1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What is the average daily water intake by city and gender?</a:t>
          </a:r>
          <a:endParaRPr lang="en-IN" sz="1200" b="1">
            <a:effectLst/>
          </a:endParaRPr>
        </a:p>
        <a:p>
          <a:pPr algn="ctr"/>
          <a:endParaRPr lang="en-IN" sz="1200" b="1"/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731520</xdr:colOff>
      <xdr:row>17</xdr:row>
      <xdr:rowOff>0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A21AB059-D1C3-4921-9550-2276D55CA9D0}"/>
            </a:ext>
          </a:extLst>
        </xdr:cNvPr>
        <xdr:cNvCxnSpPr/>
      </xdr:nvCxnSpPr>
      <xdr:spPr>
        <a:xfrm rot="16200000" flipH="1">
          <a:off x="6042660" y="2194560"/>
          <a:ext cx="1097280" cy="73152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617220</xdr:colOff>
      <xdr:row>17</xdr:row>
      <xdr:rowOff>30480</xdr:rowOff>
    </xdr:from>
    <xdr:to>
      <xdr:col>7</xdr:col>
      <xdr:colOff>266700</xdr:colOff>
      <xdr:row>21</xdr:row>
      <xdr:rowOff>167640</xdr:rowOff>
    </xdr:to>
    <xdr:sp macro="" textlink="">
      <xdr:nvSpPr>
        <xdr:cNvPr id="8" name="Rectangle: Single Corner Rounded 7">
          <a:extLst>
            <a:ext uri="{FF2B5EF4-FFF2-40B4-BE49-F238E27FC236}">
              <a16:creationId xmlns:a16="http://schemas.microsoft.com/office/drawing/2014/main" id="{622DDB05-0519-45AD-8BD6-201DF68910DF}"/>
            </a:ext>
          </a:extLst>
        </xdr:cNvPr>
        <xdr:cNvSpPr/>
      </xdr:nvSpPr>
      <xdr:spPr>
        <a:xfrm>
          <a:off x="5875020" y="3139440"/>
          <a:ext cx="2255520" cy="868680"/>
        </a:xfrm>
        <a:prstGeom prst="round1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Is there a correlation between water intake and fat percentage?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Ans.</a:t>
          </a:r>
          <a:r>
            <a:rPr lang="en-IN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Yes</a:t>
          </a:r>
          <a:endParaRPr lang="en-IN" sz="1400" b="1">
            <a:effectLst/>
          </a:endParaRPr>
        </a:p>
        <a:p>
          <a:pPr algn="ctr"/>
          <a:endParaRPr lang="en-IN" sz="1400" b="1"/>
        </a:p>
      </xdr:txBody>
    </xdr:sp>
    <xdr:clientData/>
  </xdr:twoCellAnchor>
  <xdr:twoCellAnchor>
    <xdr:from>
      <xdr:col>7</xdr:col>
      <xdr:colOff>266700</xdr:colOff>
      <xdr:row>19</xdr:row>
      <xdr:rowOff>99060</xdr:rowOff>
    </xdr:from>
    <xdr:to>
      <xdr:col>9</xdr:col>
      <xdr:colOff>22860</xdr:colOff>
      <xdr:row>19</xdr:row>
      <xdr:rowOff>114300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41F215ED-1581-A1B6-5939-F8CD5BE4F472}"/>
            </a:ext>
          </a:extLst>
        </xdr:cNvPr>
        <xdr:cNvCxnSpPr>
          <a:stCxn id="8" idx="3"/>
        </xdr:cNvCxnSpPr>
      </xdr:nvCxnSpPr>
      <xdr:spPr>
        <a:xfrm>
          <a:off x="8130540" y="3573780"/>
          <a:ext cx="96012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17</xdr:row>
      <xdr:rowOff>30480</xdr:rowOff>
    </xdr:from>
    <xdr:to>
      <xdr:col>13</xdr:col>
      <xdr:colOff>220980</xdr:colOff>
      <xdr:row>21</xdr:row>
      <xdr:rowOff>167640</xdr:rowOff>
    </xdr:to>
    <xdr:sp macro="" textlink="">
      <xdr:nvSpPr>
        <xdr:cNvPr id="11" name="Rectangle: Single Corner Rounded 10">
          <a:extLst>
            <a:ext uri="{FF2B5EF4-FFF2-40B4-BE49-F238E27FC236}">
              <a16:creationId xmlns:a16="http://schemas.microsoft.com/office/drawing/2014/main" id="{2A617A8C-46D4-44CC-8519-F0002181D6E8}"/>
            </a:ext>
          </a:extLst>
        </xdr:cNvPr>
        <xdr:cNvSpPr/>
      </xdr:nvSpPr>
      <xdr:spPr>
        <a:xfrm>
          <a:off x="9105900" y="3139440"/>
          <a:ext cx="2255520" cy="868680"/>
        </a:xfrm>
        <a:prstGeom prst="round1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/>
            <a:t>Those</a:t>
          </a:r>
          <a:r>
            <a:rPr lang="en-IN" sz="1200" b="1" baseline="0"/>
            <a:t> Have Higher Water Intake, They Have Lower Fat Percentage.</a:t>
          </a:r>
          <a:endParaRPr lang="en-IN" sz="12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495300</xdr:colOff>
      <xdr:row>1</xdr:row>
      <xdr:rowOff>0</xdr:rowOff>
    </xdr:from>
    <xdr:ext cx="4442460" cy="5562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FB0DC7-E89C-45A6-BDDB-80153A7E2D8C}"/>
            </a:ext>
          </a:extLst>
        </xdr:cNvPr>
        <xdr:cNvSpPr txBox="1"/>
      </xdr:nvSpPr>
      <xdr:spPr>
        <a:xfrm>
          <a:off x="2956560" y="182880"/>
          <a:ext cx="4442460" cy="55626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Comparative Analysis</a:t>
          </a:r>
          <a:endParaRPr lang="en-IN" sz="2400" b="1">
            <a:effectLst/>
          </a:endParaRPr>
        </a:p>
        <a:p>
          <a:pPr algn="ctr"/>
          <a:endParaRPr lang="en-IN" sz="2400" b="1"/>
        </a:p>
        <a:p>
          <a:pPr algn="ctr"/>
          <a:endParaRPr lang="en-IN" sz="2400" b="1"/>
        </a:p>
      </xdr:txBody>
    </xdr:sp>
    <xdr:clientData/>
  </xdr:oneCellAnchor>
  <xdr:twoCellAnchor>
    <xdr:from>
      <xdr:col>3</xdr:col>
      <xdr:colOff>0</xdr:colOff>
      <xdr:row>17</xdr:row>
      <xdr:rowOff>175260</xdr:rowOff>
    </xdr:from>
    <xdr:to>
      <xdr:col>3</xdr:col>
      <xdr:colOff>7620</xdr:colOff>
      <xdr:row>23</xdr:row>
      <xdr:rowOff>167640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FA8BD4D-23E2-4B0B-98A1-680412248556}"/>
            </a:ext>
          </a:extLst>
        </xdr:cNvPr>
        <xdr:cNvCxnSpPr/>
      </xdr:nvCxnSpPr>
      <xdr:spPr>
        <a:xfrm flipH="1">
          <a:off x="2461260" y="3284220"/>
          <a:ext cx="7620" cy="10896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617220</xdr:colOff>
      <xdr:row>24</xdr:row>
      <xdr:rowOff>0</xdr:rowOff>
    </xdr:from>
    <xdr:to>
      <xdr:col>3</xdr:col>
      <xdr:colOff>1264920</xdr:colOff>
      <xdr:row>29</xdr:row>
      <xdr:rowOff>137160</xdr:rowOff>
    </xdr:to>
    <xdr:sp macro="" textlink="">
      <xdr:nvSpPr>
        <xdr:cNvPr id="4" name="Rectangle: Single Corner Rounded 3">
          <a:extLst>
            <a:ext uri="{FF2B5EF4-FFF2-40B4-BE49-F238E27FC236}">
              <a16:creationId xmlns:a16="http://schemas.microsoft.com/office/drawing/2014/main" id="{AFE907B0-60A3-4475-983B-20F541E780A2}"/>
            </a:ext>
          </a:extLst>
        </xdr:cNvPr>
        <xdr:cNvSpPr/>
      </xdr:nvSpPr>
      <xdr:spPr>
        <a:xfrm>
          <a:off x="1226820" y="4389120"/>
          <a:ext cx="2499360" cy="1051560"/>
        </a:xfrm>
        <a:prstGeom prst="round1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200" b="1"/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Which city has the fittest members (lowest fat percentage &amp; BMI)?</a:t>
          </a:r>
          <a:endParaRPr lang="en-IN" sz="1200" b="1">
            <a:effectLst/>
          </a:endParaRPr>
        </a:p>
        <a:p>
          <a:pPr algn="ctr"/>
          <a:endParaRPr lang="en-IN" sz="1200" b="1"/>
        </a:p>
        <a:p>
          <a:pPr algn="ctr"/>
          <a:endParaRPr lang="en-IN" sz="1200" b="1"/>
        </a:p>
      </xdr:txBody>
    </xdr:sp>
    <xdr:clientData/>
  </xdr:twoCellAnchor>
  <xdr:twoCellAnchor>
    <xdr:from>
      <xdr:col>6</xdr:col>
      <xdr:colOff>7620</xdr:colOff>
      <xdr:row>11</xdr:row>
      <xdr:rowOff>30480</xdr:rowOff>
    </xdr:from>
    <xdr:to>
      <xdr:col>6</xdr:col>
      <xdr:colOff>739140</xdr:colOff>
      <xdr:row>17</xdr:row>
      <xdr:rowOff>30480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9CB44E55-68D6-4FF8-BF4E-EF8E76C6A9F2}"/>
            </a:ext>
          </a:extLst>
        </xdr:cNvPr>
        <xdr:cNvCxnSpPr/>
      </xdr:nvCxnSpPr>
      <xdr:spPr>
        <a:xfrm rot="16200000" flipH="1">
          <a:off x="6362700" y="2225040"/>
          <a:ext cx="1097280" cy="73152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822960</xdr:colOff>
      <xdr:row>17</xdr:row>
      <xdr:rowOff>60960</xdr:rowOff>
    </xdr:from>
    <xdr:to>
      <xdr:col>7</xdr:col>
      <xdr:colOff>83820</xdr:colOff>
      <xdr:row>21</xdr:row>
      <xdr:rowOff>160020</xdr:rowOff>
    </xdr:to>
    <xdr:sp macro="" textlink="">
      <xdr:nvSpPr>
        <xdr:cNvPr id="6" name="Rectangle: Single Corner Rounded 5">
          <a:extLst>
            <a:ext uri="{FF2B5EF4-FFF2-40B4-BE49-F238E27FC236}">
              <a16:creationId xmlns:a16="http://schemas.microsoft.com/office/drawing/2014/main" id="{D023472C-7BC9-445F-89EB-3A20412E4A9A}"/>
            </a:ext>
          </a:extLst>
        </xdr:cNvPr>
        <xdr:cNvSpPr/>
      </xdr:nvSpPr>
      <xdr:spPr>
        <a:xfrm>
          <a:off x="6141720" y="3169920"/>
          <a:ext cx="2164080" cy="830580"/>
        </a:xfrm>
        <a:prstGeom prst="round1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Which experience level group burns the most calories on average?</a:t>
          </a:r>
          <a:endParaRPr lang="en-IN" sz="1200" b="1">
            <a:effectLst/>
          </a:endParaRPr>
        </a:p>
        <a:p>
          <a:pPr algn="ctr"/>
          <a:endParaRPr lang="en-IN" sz="12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urav Tiwari" refreshedDate="45894.847830092593" createdVersion="8" refreshedVersion="8" minRefreshableVersion="3" recordCount="973" xr:uid="{30A18E20-17CE-4242-8C71-38DCA768DFE4}">
  <cacheSource type="worksheet">
    <worksheetSource ref="A1:Q974" sheet="Dataset"/>
  </cacheSource>
  <cacheFields count="17">
    <cacheField name="Sr. No." numFmtId="0">
      <sharedItems containsSemiMixedTypes="0" containsString="0" containsNumber="1" containsInteger="1" minValue="1" maxValue="973"/>
    </cacheField>
    <cacheField name="City" numFmtId="0">
      <sharedItems count="10">
        <s v="Kolkata"/>
        <s v="Hyderabad"/>
        <s v="Ahmedabad"/>
        <s v="Pune"/>
        <s v="Noida"/>
        <s v="Bengaluru"/>
        <s v="Chennai"/>
        <s v="Delhi"/>
        <s v="Mumbai"/>
        <s v="Gurgaon"/>
      </sharedItems>
    </cacheField>
    <cacheField name="Age" numFmtId="0">
      <sharedItems containsSemiMixedTypes="0" containsString="0" containsNumber="1" containsInteger="1" minValue="18" maxValue="59"/>
    </cacheField>
    <cacheField name="Gender" numFmtId="0">
      <sharedItems count="2">
        <s v="Male"/>
        <s v="Female"/>
      </sharedItems>
    </cacheField>
    <cacheField name="Weight (kg)" numFmtId="0">
      <sharedItems containsSemiMixedTypes="0" containsString="0" containsNumber="1" minValue="40" maxValue="129.9"/>
    </cacheField>
    <cacheField name="Height (m)" numFmtId="0">
      <sharedItems containsSemiMixedTypes="0" containsString="0" containsNumber="1" minValue="1.5" maxValue="2"/>
    </cacheField>
    <cacheField name="Max_BPM" numFmtId="0">
      <sharedItems containsSemiMixedTypes="0" containsString="0" containsNumber="1" containsInteger="1" minValue="160" maxValue="199"/>
    </cacheField>
    <cacheField name="Avg_BPM" numFmtId="0">
      <sharedItems containsSemiMixedTypes="0" containsString="0" containsNumber="1" containsInteger="1" minValue="120" maxValue="169"/>
    </cacheField>
    <cacheField name="Resting BPM" numFmtId="0">
      <sharedItems containsSemiMixedTypes="0" containsString="0" containsNumber="1" containsInteger="1" minValue="50" maxValue="74"/>
    </cacheField>
    <cacheField name="Session_Duration (hours)" numFmtId="0">
      <sharedItems containsSemiMixedTypes="0" containsString="0" containsNumber="1" minValue="0.5" maxValue="2" count="147">
        <n v="1.69"/>
        <n v="1.3"/>
        <n v="1.1100000000000001"/>
        <n v="0.59"/>
        <n v="0.64"/>
        <n v="1.59"/>
        <n v="1.49"/>
        <n v="1.27"/>
        <n v="1.03"/>
        <n v="1.08"/>
        <n v="0.82"/>
        <n v="1.1499999999999999"/>
        <n v="1.24"/>
        <n v="1.18"/>
        <n v="1.35"/>
        <n v="1.1299999999999999"/>
        <n v="1.33"/>
        <n v="1.19"/>
        <n v="1.37"/>
        <n v="1.5"/>
        <n v="1.1200000000000001"/>
        <n v="1.17"/>
        <n v="0.78"/>
        <n v="1.25"/>
        <n v="1.42"/>
        <n v="0.73"/>
        <n v="1.48"/>
        <n v="1.64"/>
        <n v="1.29"/>
        <n v="1.04"/>
        <n v="1.52"/>
        <n v="1.32"/>
        <n v="1.26"/>
        <n v="1.34"/>
        <n v="1.31"/>
        <n v="1.45"/>
        <n v="1.1399999999999999"/>
        <n v="1.2"/>
        <n v="0.84"/>
        <n v="1.41"/>
        <n v="1.23"/>
        <n v="1.67"/>
        <n v="0.81"/>
        <n v="1.47"/>
        <n v="1.4"/>
        <n v="0.56000000000000005"/>
        <n v="1.75"/>
        <n v="1.97"/>
        <n v="0.62"/>
        <n v="1.99"/>
        <n v="0.89"/>
        <n v="1.81"/>
        <n v="1.73"/>
        <n v="1.07"/>
        <n v="0.63"/>
        <n v="1.87"/>
        <n v="1.78"/>
        <n v="0.86"/>
        <n v="1.0900000000000001"/>
        <n v="1.93"/>
        <n v="1.8"/>
        <n v="0.57999999999999996"/>
        <n v="1.1599999999999999"/>
        <n v="0.54"/>
        <n v="0.97"/>
        <n v="1.79"/>
        <n v="0.51"/>
        <n v="1.74"/>
        <n v="1.39"/>
        <n v="1.01"/>
        <n v="1.44"/>
        <n v="1.72"/>
        <n v="0.55000000000000004"/>
        <n v="1.02"/>
        <n v="1.22"/>
        <n v="1"/>
        <n v="1.28"/>
        <n v="1.98"/>
        <n v="0.66"/>
        <n v="1.61"/>
        <n v="0.68"/>
        <n v="1.91"/>
        <n v="1.38"/>
        <n v="1.53"/>
        <n v="0.7"/>
        <n v="1.46"/>
        <n v="1.95"/>
        <n v="0.83"/>
        <n v="0.67"/>
        <n v="1.36"/>
        <n v="1.57"/>
        <n v="1.55"/>
        <n v="1.58"/>
        <n v="0.92"/>
        <n v="1.1000000000000001"/>
        <n v="1.05"/>
        <n v="1.54"/>
        <n v="1.66"/>
        <n v="1.71"/>
        <n v="1.84"/>
        <n v="1.83"/>
        <n v="1.21"/>
        <n v="1.6"/>
        <n v="0.99"/>
        <n v="0.77"/>
        <n v="0.93"/>
        <n v="0.52"/>
        <n v="1.06"/>
        <n v="0.96"/>
        <n v="1.63"/>
        <n v="0.8"/>
        <n v="0.9"/>
        <n v="0.53"/>
        <n v="1.62"/>
        <n v="1.94"/>
        <n v="1.85"/>
        <n v="1.43"/>
        <n v="0.69"/>
        <n v="1.82"/>
        <n v="1.7"/>
        <n v="1.56"/>
        <n v="0.56999999999999995"/>
        <n v="1.88"/>
        <n v="1.86"/>
        <n v="0.85"/>
        <n v="1.9"/>
        <n v="0.6"/>
        <n v="1.77"/>
        <n v="0.5"/>
        <n v="0.72"/>
        <n v="0.88"/>
        <n v="1.65"/>
        <n v="1.51"/>
        <n v="0.94"/>
        <n v="0.76"/>
        <n v="0.91"/>
        <n v="0.74"/>
        <n v="0.87"/>
        <n v="0.61"/>
        <n v="1.96"/>
        <n v="1.68"/>
        <n v="1.76"/>
        <n v="0.95"/>
        <n v="0.75"/>
        <n v="0.71"/>
        <n v="2"/>
        <n v="0.79"/>
      </sharedItems>
    </cacheField>
    <cacheField name="Calories_Burned" numFmtId="0">
      <sharedItems containsSemiMixedTypes="0" containsString="0" containsNumber="1" containsInteger="1" minValue="303" maxValue="1783" count="621">
        <n v="1313"/>
        <n v="883"/>
        <n v="677"/>
        <n v="532"/>
        <n v="556"/>
        <n v="1116"/>
        <n v="1385"/>
        <n v="895"/>
        <n v="719"/>
        <n v="808"/>
        <n v="593"/>
        <n v="865"/>
        <n v="1013"/>
        <n v="794"/>
        <n v="1195"/>
        <n v="740"/>
        <n v="1111"/>
        <n v="884"/>
        <n v="742"/>
        <n v="1030"/>
        <n v="1048"/>
        <n v="875"/>
        <n v="848"/>
        <n v="721"/>
        <n v="925"/>
        <n v="1080"/>
        <n v="502"/>
        <n v="989"/>
        <n v="1104"/>
        <n v="871"/>
        <n v="964"/>
        <n v="654"/>
        <n v="1046"/>
        <n v="816"/>
        <n v="1237"/>
        <n v="1162"/>
        <n v="879"/>
        <n v="1069"/>
        <n v="1072"/>
        <n v="1057"/>
        <n v="969"/>
        <n v="734"/>
        <n v="962"/>
        <n v="730"/>
        <n v="1304"/>
        <n v="956"/>
        <n v="772"/>
        <n v="1016"/>
        <n v="836"/>
        <n v="1122"/>
        <n v="1133"/>
        <n v="750"/>
        <n v="506"/>
        <n v="1318"/>
        <n v="1021"/>
        <n v="832"/>
        <n v="1150"/>
        <n v="440"/>
        <n v="580"/>
        <n v="666"/>
        <n v="1299"/>
        <n v="773"/>
        <n v="1418"/>
        <n v="421"/>
        <n v="1587"/>
        <n v="627"/>
        <n v="1358"/>
        <n v="1176"/>
        <n v="1004"/>
        <n v="963"/>
        <n v="786"/>
        <n v="743"/>
        <n v="777"/>
        <n v="663"/>
        <n v="363"/>
        <n v="864"/>
        <n v="1262"/>
        <n v="990"/>
        <n v="1129"/>
        <n v="546"/>
        <n v="751"/>
        <n v="744"/>
        <n v="1003"/>
        <n v="1103"/>
        <n v="917"/>
        <n v="416"/>
        <n v="1688"/>
        <n v="1231"/>
        <n v="936"/>
        <n v="924"/>
        <n v="1052"/>
        <n v="441"/>
        <n v="805"/>
        <n v="1106"/>
        <n v="735"/>
        <n v="1625"/>
        <n v="804"/>
        <n v="1073"/>
        <n v="420"/>
        <n v="667"/>
        <n v="1369"/>
        <n v="424"/>
        <n v="1404"/>
        <n v="1020"/>
        <n v="979"/>
        <n v="819"/>
        <n v="1357"/>
        <n v="1315"/>
        <n v="685"/>
        <n v="446"/>
        <n v="888"/>
        <n v="1303"/>
        <n v="790"/>
        <n v="858"/>
        <n v="1071"/>
        <n v="639"/>
        <n v="824"/>
        <n v="1701"/>
        <n v="880"/>
        <n v="408"/>
        <n v="1479"/>
        <n v="500"/>
        <n v="1373"/>
        <n v="870"/>
        <n v="458"/>
        <n v="1503"/>
        <n v="1207"/>
        <n v="837"/>
        <n v="811"/>
        <n v="1041"/>
        <n v="451"/>
        <n v="756"/>
        <n v="1042"/>
        <n v="608"/>
        <n v="854"/>
        <n v="958"/>
        <n v="678"/>
        <n v="1265"/>
        <n v="877"/>
        <n v="885"/>
        <n v="624"/>
        <n v="1038"/>
        <n v="1214"/>
        <n v="499"/>
        <n v="1082"/>
        <n v="530"/>
        <n v="886"/>
        <n v="913"/>
        <n v="362"/>
        <n v="1201"/>
        <n v="711"/>
        <n v="1151"/>
        <n v="1070"/>
        <n v="1119"/>
        <n v="1074"/>
        <n v="967"/>
        <n v="844"/>
        <n v="852"/>
        <n v="574"/>
        <n v="813"/>
        <n v="680"/>
        <n v="644"/>
        <n v="778"/>
        <n v="1095"/>
        <n v="418"/>
        <n v="767"/>
        <n v="603"/>
        <n v="1249"/>
        <n v="1424"/>
        <n v="1126"/>
        <n v="1337"/>
        <n v="802"/>
        <n v="937"/>
        <n v="707"/>
        <n v="926"/>
        <n v="800"/>
        <n v="988"/>
        <n v="686"/>
        <n v="370"/>
        <n v="1138"/>
        <n v="1025"/>
        <n v="929"/>
        <n v="1267"/>
        <n v="1177"/>
        <n v="598"/>
        <n v="1280"/>
        <n v="1443"/>
        <n v="799"/>
        <n v="796"/>
        <n v="1241"/>
        <n v="1147"/>
        <n v="1153"/>
        <n v="1043"/>
        <n v="842"/>
        <n v="703"/>
        <n v="887"/>
        <n v="732"/>
        <n v="980"/>
        <n v="1481"/>
        <n v="410"/>
        <n v="903"/>
        <n v="1292"/>
        <n v="900"/>
        <n v="1169"/>
        <n v="1034"/>
        <n v="959"/>
        <n v="940"/>
        <n v="1224"/>
        <n v="815"/>
        <n v="820"/>
        <n v="688"/>
        <n v="1006"/>
        <n v="597"/>
        <n v="699"/>
        <n v="993"/>
        <n v="919"/>
        <n v="579"/>
        <n v="739"/>
        <n v="594"/>
        <n v="1075"/>
        <n v="1056"/>
        <n v="660"/>
        <n v="1012"/>
        <n v="1163"/>
        <n v="878"/>
        <n v="353"/>
        <n v="763"/>
        <n v="632"/>
        <n v="982"/>
        <n v="1010"/>
        <n v="713"/>
        <n v="1060"/>
        <n v="803"/>
        <n v="1182"/>
        <n v="952"/>
        <n v="949"/>
        <n v="662"/>
        <n v="610"/>
        <n v="497"/>
        <n v="1212"/>
        <n v="1136"/>
        <n v="616"/>
        <n v="1009"/>
        <n v="1053"/>
        <n v="1161"/>
        <n v="1232"/>
        <n v="1137"/>
        <n v="938"/>
        <n v="922"/>
        <n v="567"/>
        <n v="923"/>
        <n v="1054"/>
        <n v="1047"/>
        <n v="876"/>
        <n v="792"/>
        <n v="333"/>
        <n v="729"/>
        <n v="465"/>
        <n v="1166"/>
        <n v="987"/>
        <n v="1474"/>
        <n v="874"/>
        <n v="911"/>
        <n v="1181"/>
        <n v="970"/>
        <n v="1359"/>
        <n v="840"/>
        <n v="585"/>
        <n v="684"/>
        <n v="1105"/>
        <n v="1321"/>
        <n v="1100"/>
        <n v="694"/>
        <n v="1022"/>
        <n v="863"/>
        <n v="764"/>
        <n v="714"/>
        <n v="1223"/>
        <n v="944"/>
        <n v="407"/>
        <n v="939"/>
        <n v="1468"/>
        <n v="722"/>
        <n v="653"/>
        <n v="1066"/>
        <n v="1123"/>
        <n v="822"/>
        <n v="1086"/>
        <n v="810"/>
        <n v="1096"/>
        <n v="482"/>
        <n v="1187"/>
        <n v="927"/>
        <n v="1451"/>
        <n v="1029"/>
        <n v="881"/>
        <n v="525"/>
        <n v="442"/>
        <n v="496"/>
        <n v="448"/>
        <n v="555"/>
        <n v="1380"/>
        <n v="768"/>
        <n v="1175"/>
        <n v="1024"/>
        <n v="1036"/>
        <n v="891"/>
        <n v="1289"/>
        <n v="830"/>
        <n v="943"/>
        <n v="715"/>
        <n v="817"/>
        <n v="806"/>
        <n v="1160"/>
        <n v="882"/>
        <n v="638"/>
        <n v="1145"/>
        <n v="725"/>
        <n v="845"/>
        <n v="1200"/>
        <n v="973"/>
        <n v="1505"/>
        <n v="720"/>
        <n v="1192"/>
        <n v="1293"/>
        <n v="996"/>
        <n v="1425"/>
        <n v="838"/>
        <n v="626"/>
        <n v="724"/>
        <n v="492"/>
        <n v="1301"/>
        <n v="1278"/>
        <n v="1205"/>
        <n v="1171"/>
        <n v="422"/>
        <n v="1005"/>
        <n v="1198"/>
        <n v="868"/>
        <n v="634"/>
        <n v="566"/>
        <n v="992"/>
        <n v="894"/>
        <n v="1500"/>
        <n v="1203"/>
        <n v="1316"/>
        <n v="1159"/>
        <n v="995"/>
        <n v="1247"/>
        <n v="444"/>
        <n v="1085"/>
        <n v="569"/>
        <n v="393"/>
        <n v="914"/>
        <n v="700"/>
        <n v="994"/>
        <n v="1218"/>
        <n v="1396"/>
        <n v="795"/>
        <n v="1356"/>
        <n v="948"/>
        <n v="1170"/>
        <n v="395"/>
        <n v="921"/>
        <n v="491"/>
        <n v="545"/>
        <n v="997"/>
        <n v="586"/>
        <n v="753"/>
        <n v="873"/>
        <n v="1155"/>
        <n v="779"/>
        <n v="920"/>
        <n v="1055"/>
        <n v="931"/>
        <n v="463"/>
        <n v="1622"/>
        <n v="658"/>
        <n v="710"/>
        <n v="898"/>
        <n v="1379"/>
        <n v="1084"/>
        <n v="615"/>
        <n v="718"/>
        <n v="642"/>
        <n v="1144"/>
        <n v="412"/>
        <n v="932"/>
        <n v="1185"/>
        <n v="946"/>
        <n v="907"/>
        <n v="780"/>
        <n v="612"/>
        <n v="382"/>
        <n v="1011"/>
        <n v="731"/>
        <n v="1725"/>
        <n v="1492"/>
        <n v="831"/>
        <n v="933"/>
        <n v="1199"/>
        <n v="757"/>
        <n v="558"/>
        <n v="386"/>
        <n v="1107"/>
        <n v="1314"/>
        <n v="415"/>
        <n v="834"/>
        <n v="705"/>
        <n v="453"/>
        <n v="1332"/>
        <n v="1401"/>
        <n v="1204"/>
        <n v="851"/>
        <n v="1467"/>
        <n v="910"/>
        <n v="904"/>
        <n v="825"/>
        <n v="957"/>
        <n v="592"/>
        <n v="637"/>
        <n v="1345"/>
        <n v="672"/>
        <n v="972"/>
        <n v="1143"/>
        <n v="472"/>
        <n v="331"/>
        <n v="1646"/>
        <n v="818"/>
        <n v="1186"/>
        <n v="776"/>
        <n v="1510"/>
        <n v="850"/>
        <n v="1091"/>
        <n v="759"/>
        <n v="983"/>
        <n v="529"/>
        <n v="656"/>
        <n v="906"/>
        <n v="1139"/>
        <n v="826"/>
        <n v="651"/>
        <n v="354"/>
        <n v="1322"/>
        <n v="737"/>
        <n v="1344"/>
        <n v="1398"/>
        <n v="1408"/>
        <n v="1257"/>
        <n v="1319"/>
        <n v="1078"/>
        <n v="330"/>
        <n v="789"/>
        <n v="1028"/>
        <n v="1355"/>
        <n v="1240"/>
        <n v="935"/>
        <n v="807"/>
        <n v="1287"/>
        <n v="1158"/>
        <n v="748"/>
        <n v="746"/>
        <n v="847"/>
        <n v="1173"/>
        <n v="1076"/>
        <n v="479"/>
        <n v="661"/>
        <n v="1050"/>
        <n v="1675"/>
        <n v="350"/>
        <n v="1515"/>
        <n v="303"/>
        <n v="978"/>
        <n v="1081"/>
        <n v="749"/>
        <n v="856"/>
        <n v="1184"/>
        <n v="606"/>
        <n v="1410"/>
        <n v="1320"/>
        <n v="1248"/>
        <n v="640"/>
        <n v="762"/>
        <n v="1172"/>
        <n v="915"/>
        <n v="859"/>
        <n v="766"/>
        <n v="1229"/>
        <n v="1225"/>
        <n v="954"/>
        <n v="909"/>
        <n v="798"/>
        <n v="752"/>
        <n v="674"/>
        <n v="821"/>
        <n v="679"/>
        <n v="1188"/>
        <n v="475"/>
        <n v="693"/>
        <n v="1216"/>
        <n v="1766"/>
        <n v="394"/>
        <n v="950"/>
        <n v="942"/>
        <n v="966"/>
        <n v="581"/>
        <n v="1634"/>
        <n v="423"/>
        <n v="849"/>
        <n v="775"/>
        <n v="1276"/>
        <n v="1598"/>
        <n v="1573"/>
        <n v="733"/>
        <n v="319"/>
        <n v="916"/>
        <n v="951"/>
        <n v="1148"/>
        <n v="537"/>
        <n v="968"/>
        <n v="643"/>
        <n v="986"/>
        <n v="985"/>
        <n v="380"/>
        <n v="468"/>
        <n v="741"/>
        <n v="695"/>
        <n v="709"/>
        <n v="857"/>
        <n v="559"/>
        <n v="841"/>
        <n v="445"/>
        <n v="1032"/>
        <n v="977"/>
        <n v="668"/>
        <n v="1378"/>
        <n v="1092"/>
        <n v="1372"/>
        <n v="829"/>
        <n v="1015"/>
        <n v="1536"/>
        <n v="965"/>
        <n v="436"/>
        <n v="1294"/>
        <n v="645"/>
        <n v="1197"/>
        <n v="504"/>
        <n v="590"/>
        <n v="433"/>
        <n v="484"/>
        <n v="1164"/>
        <n v="747"/>
        <n v="1491"/>
        <n v="388"/>
        <n v="999"/>
        <n v="1363"/>
        <n v="717"/>
        <n v="1228"/>
        <n v="659"/>
        <n v="406"/>
        <n v="1128"/>
        <n v="673"/>
        <n v="1220"/>
        <n v="481"/>
        <n v="698"/>
        <n v="1582"/>
        <n v="552"/>
        <n v="1001"/>
        <n v="1031"/>
        <n v="893"/>
        <n v="454"/>
        <n v="576"/>
        <n v="621"/>
        <n v="1102"/>
        <n v="1242"/>
        <n v="1234"/>
        <n v="691"/>
        <n v="1336"/>
        <n v="1117"/>
        <n v="706"/>
        <n v="1213"/>
        <n v="726"/>
        <n v="1189"/>
        <n v="470"/>
        <n v="494"/>
        <n v="1519"/>
        <n v="1497"/>
        <n v="573"/>
        <n v="1307"/>
        <n v="549"/>
        <n v="1783"/>
        <n v="531"/>
        <n v="681"/>
        <n v="1027"/>
        <n v="976"/>
        <n v="1135"/>
        <n v="1044"/>
        <n v="784"/>
        <n v="1463"/>
        <n v="1230"/>
        <n v="557"/>
        <n v="727"/>
        <n v="736"/>
        <n v="1017"/>
        <n v="514"/>
        <n v="402"/>
        <n v="812"/>
        <n v="1113"/>
        <n v="1127"/>
        <n v="723"/>
        <n v="862"/>
        <n v="760"/>
        <n v="1445"/>
        <n v="636"/>
        <n v="1290"/>
        <n v="1227"/>
        <n v="1327"/>
        <n v="1035"/>
        <n v="1364"/>
        <n v="1260"/>
        <n v="542"/>
      </sharedItems>
    </cacheField>
    <cacheField name="Workout_Type" numFmtId="0">
      <sharedItems count="4">
        <s v="Yoga"/>
        <s v="HIIT"/>
        <s v="Cardio"/>
        <s v="Strength"/>
      </sharedItems>
    </cacheField>
    <cacheField name="Fat_Percentage" numFmtId="0">
      <sharedItems containsSemiMixedTypes="0" containsString="0" containsNumber="1" minValue="10" maxValue="35"/>
    </cacheField>
    <cacheField name="Water_Intake (liters)" numFmtId="0">
      <sharedItems containsSemiMixedTypes="0" containsString="0" containsNumber="1" minValue="1.5" maxValue="3.7"/>
    </cacheField>
    <cacheField name="Workout_Frequency (days)" numFmtId="0">
      <sharedItems containsSemiMixedTypes="0" containsString="0" containsNumber="1" containsInteger="1" minValue="2" maxValue="5" count="4">
        <n v="4"/>
        <n v="3"/>
        <n v="5"/>
        <n v="2"/>
      </sharedItems>
    </cacheField>
    <cacheField name="Experience_Level" numFmtId="0">
      <sharedItems containsSemiMixedTypes="0" containsString="0" containsNumber="1" containsInteger="1" minValue="1" maxValue="3"/>
    </cacheField>
    <cacheField name="BMI" numFmtId="0">
      <sharedItems containsSemiMixedTypes="0" containsString="0" containsNumber="1" minValue="12.32" maxValue="49.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urav Tiwari" refreshedDate="45894.848046296298" createdVersion="8" refreshedVersion="8" minRefreshableVersion="3" recordCount="973" xr:uid="{9BF9086C-0028-4A6A-A144-EA77076D6B49}">
  <cacheSource type="worksheet">
    <worksheetSource ref="A1:R974" sheet="Dataset"/>
  </cacheSource>
  <cacheFields count="18">
    <cacheField name="Sr. No." numFmtId="0">
      <sharedItems containsSemiMixedTypes="0" containsString="0" containsNumber="1" containsInteger="1" minValue="1" maxValue="973"/>
    </cacheField>
    <cacheField name="City" numFmtId="0">
      <sharedItems count="10">
        <s v="Kolkata"/>
        <s v="Hyderabad"/>
        <s v="Ahmedabad"/>
        <s v="Pune"/>
        <s v="Noida"/>
        <s v="Bengaluru"/>
        <s v="Chennai"/>
        <s v="Delhi"/>
        <s v="Mumbai"/>
        <s v="Gurgaon"/>
      </sharedItems>
    </cacheField>
    <cacheField name="Age" numFmtId="0">
      <sharedItems containsSemiMixedTypes="0" containsString="0" containsNumber="1" containsInteger="1" minValue="18" maxValue="59"/>
    </cacheField>
    <cacheField name="Gender" numFmtId="0">
      <sharedItems/>
    </cacheField>
    <cacheField name="Weight (kg)" numFmtId="0">
      <sharedItems containsSemiMixedTypes="0" containsString="0" containsNumber="1" minValue="40" maxValue="129.9"/>
    </cacheField>
    <cacheField name="Height (m)" numFmtId="0">
      <sharedItems containsSemiMixedTypes="0" containsString="0" containsNumber="1" minValue="1.5" maxValue="2"/>
    </cacheField>
    <cacheField name="Max_BPM" numFmtId="0">
      <sharedItems containsSemiMixedTypes="0" containsString="0" containsNumber="1" containsInteger="1" minValue="160" maxValue="199"/>
    </cacheField>
    <cacheField name="Avg_BPM" numFmtId="0">
      <sharedItems containsSemiMixedTypes="0" containsString="0" containsNumber="1" containsInteger="1" minValue="120" maxValue="169"/>
    </cacheField>
    <cacheField name="Resting BPM" numFmtId="0">
      <sharedItems containsSemiMixedTypes="0" containsString="0" containsNumber="1" containsInteger="1" minValue="50" maxValue="74"/>
    </cacheField>
    <cacheField name="Session_Duration (hours)" numFmtId="0">
      <sharedItems containsSemiMixedTypes="0" containsString="0" containsNumber="1" minValue="0.5" maxValue="2"/>
    </cacheField>
    <cacheField name="Calories_Burned" numFmtId="0">
      <sharedItems containsSemiMixedTypes="0" containsString="0" containsNumber="1" containsInteger="1" minValue="303" maxValue="1783"/>
    </cacheField>
    <cacheField name="Workout_Type" numFmtId="0">
      <sharedItems/>
    </cacheField>
    <cacheField name="Fat_Percentage" numFmtId="0">
      <sharedItems containsSemiMixedTypes="0" containsString="0" containsNumber="1" minValue="10" maxValue="35"/>
    </cacheField>
    <cacheField name="Water_Intake (liters)" numFmtId="0">
      <sharedItems containsSemiMixedTypes="0" containsString="0" containsNumber="1" minValue="1.5" maxValue="3.7"/>
    </cacheField>
    <cacheField name="Workout_Frequency (days)" numFmtId="0">
      <sharedItems containsSemiMixedTypes="0" containsString="0" containsNumber="1" containsInteger="1" minValue="2" maxValue="5"/>
    </cacheField>
    <cacheField name="Experience_Level" numFmtId="0">
      <sharedItems containsSemiMixedTypes="0" containsString="0" containsNumber="1" containsInteger="1" minValue="1" maxValue="3"/>
    </cacheField>
    <cacheField name="BMI" numFmtId="0">
      <sharedItems containsSemiMixedTypes="0" containsString="0" containsNumber="1" minValue="12.32" maxValue="49.84"/>
    </cacheField>
    <cacheField name="BMI_Categories" numFmtId="0">
      <sharedItems count="4">
        <s v="Obesity"/>
        <s v="Normal Weight"/>
        <s v="Underweight"/>
        <s v="Overweigh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urav Tiwari" refreshedDate="45894.852462499999" createdVersion="8" refreshedVersion="8" minRefreshableVersion="3" recordCount="973" xr:uid="{35EBEA48-26E3-4F11-9457-E9AB486FA06B}">
  <cacheSource type="worksheet">
    <worksheetSource ref="C1:R974" sheet="Dataset"/>
  </cacheSource>
  <cacheFields count="16">
    <cacheField name="Age" numFmtId="0">
      <sharedItems containsSemiMixedTypes="0" containsString="0" containsNumber="1" containsInteger="1" minValue="18" maxValue="59"/>
    </cacheField>
    <cacheField name="Gender" numFmtId="0">
      <sharedItems count="2">
        <s v="Male"/>
        <s v="Female"/>
      </sharedItems>
    </cacheField>
    <cacheField name="Weight (kg)" numFmtId="0">
      <sharedItems containsSemiMixedTypes="0" containsString="0" containsNumber="1" minValue="40" maxValue="129.9"/>
    </cacheField>
    <cacheField name="Height (m)" numFmtId="0">
      <sharedItems containsSemiMixedTypes="0" containsString="0" containsNumber="1" minValue="1.5" maxValue="2"/>
    </cacheField>
    <cacheField name="Max_BPM" numFmtId="0">
      <sharedItems containsSemiMixedTypes="0" containsString="0" containsNumber="1" containsInteger="1" minValue="160" maxValue="199"/>
    </cacheField>
    <cacheField name="Avg_BPM" numFmtId="0">
      <sharedItems containsSemiMixedTypes="0" containsString="0" containsNumber="1" containsInteger="1" minValue="120" maxValue="169"/>
    </cacheField>
    <cacheField name="Resting BPM" numFmtId="0">
      <sharedItems containsSemiMixedTypes="0" containsString="0" containsNumber="1" containsInteger="1" minValue="50" maxValue="74"/>
    </cacheField>
    <cacheField name="Session_Duration (hours)" numFmtId="0">
      <sharedItems containsSemiMixedTypes="0" containsString="0" containsNumber="1" minValue="0.5" maxValue="2" count="147">
        <n v="1.69"/>
        <n v="1.3"/>
        <n v="1.1100000000000001"/>
        <n v="0.59"/>
        <n v="0.64"/>
        <n v="1.59"/>
        <n v="1.49"/>
        <n v="1.27"/>
        <n v="1.03"/>
        <n v="1.08"/>
        <n v="0.82"/>
        <n v="1.1499999999999999"/>
        <n v="1.24"/>
        <n v="1.18"/>
        <n v="1.35"/>
        <n v="1.1299999999999999"/>
        <n v="1.33"/>
        <n v="1.19"/>
        <n v="1.37"/>
        <n v="1.5"/>
        <n v="1.1200000000000001"/>
        <n v="1.17"/>
        <n v="0.78"/>
        <n v="1.25"/>
        <n v="1.42"/>
        <n v="0.73"/>
        <n v="1.48"/>
        <n v="1.64"/>
        <n v="1.29"/>
        <n v="1.04"/>
        <n v="1.52"/>
        <n v="1.32"/>
        <n v="1.26"/>
        <n v="1.34"/>
        <n v="1.31"/>
        <n v="1.45"/>
        <n v="1.1399999999999999"/>
        <n v="1.2"/>
        <n v="0.84"/>
        <n v="1.41"/>
        <n v="1.23"/>
        <n v="1.67"/>
        <n v="0.81"/>
        <n v="1.47"/>
        <n v="1.4"/>
        <n v="0.56000000000000005"/>
        <n v="1.75"/>
        <n v="1.97"/>
        <n v="0.62"/>
        <n v="1.99"/>
        <n v="0.89"/>
        <n v="1.81"/>
        <n v="1.73"/>
        <n v="1.07"/>
        <n v="0.63"/>
        <n v="1.87"/>
        <n v="1.78"/>
        <n v="0.86"/>
        <n v="1.0900000000000001"/>
        <n v="1.93"/>
        <n v="1.8"/>
        <n v="0.57999999999999996"/>
        <n v="1.1599999999999999"/>
        <n v="0.54"/>
        <n v="0.97"/>
        <n v="1.79"/>
        <n v="0.51"/>
        <n v="1.74"/>
        <n v="1.39"/>
        <n v="1.01"/>
        <n v="1.44"/>
        <n v="1.72"/>
        <n v="0.55000000000000004"/>
        <n v="1.02"/>
        <n v="1.22"/>
        <n v="1"/>
        <n v="1.28"/>
        <n v="1.98"/>
        <n v="0.66"/>
        <n v="1.61"/>
        <n v="0.68"/>
        <n v="1.91"/>
        <n v="1.38"/>
        <n v="1.53"/>
        <n v="0.7"/>
        <n v="1.46"/>
        <n v="1.95"/>
        <n v="0.83"/>
        <n v="0.67"/>
        <n v="1.36"/>
        <n v="1.57"/>
        <n v="1.55"/>
        <n v="1.58"/>
        <n v="0.92"/>
        <n v="1.1000000000000001"/>
        <n v="1.05"/>
        <n v="1.54"/>
        <n v="1.66"/>
        <n v="1.71"/>
        <n v="1.84"/>
        <n v="1.83"/>
        <n v="1.21"/>
        <n v="1.6"/>
        <n v="0.99"/>
        <n v="0.77"/>
        <n v="0.93"/>
        <n v="0.52"/>
        <n v="1.06"/>
        <n v="0.96"/>
        <n v="1.63"/>
        <n v="0.8"/>
        <n v="0.9"/>
        <n v="0.53"/>
        <n v="1.62"/>
        <n v="1.94"/>
        <n v="1.85"/>
        <n v="1.43"/>
        <n v="0.69"/>
        <n v="1.82"/>
        <n v="1.7"/>
        <n v="1.56"/>
        <n v="0.56999999999999995"/>
        <n v="1.88"/>
        <n v="1.86"/>
        <n v="0.85"/>
        <n v="1.9"/>
        <n v="0.6"/>
        <n v="1.77"/>
        <n v="0.5"/>
        <n v="0.72"/>
        <n v="0.88"/>
        <n v="1.65"/>
        <n v="1.51"/>
        <n v="0.94"/>
        <n v="0.76"/>
        <n v="0.91"/>
        <n v="0.74"/>
        <n v="0.87"/>
        <n v="0.61"/>
        <n v="1.96"/>
        <n v="1.68"/>
        <n v="1.76"/>
        <n v="0.95"/>
        <n v="0.75"/>
        <n v="0.71"/>
        <n v="2"/>
        <n v="0.79"/>
      </sharedItems>
    </cacheField>
    <cacheField name="Calories_Burned" numFmtId="0">
      <sharedItems containsSemiMixedTypes="0" containsString="0" containsNumber="1" containsInteger="1" minValue="303" maxValue="1783" count="621">
        <n v="1313"/>
        <n v="883"/>
        <n v="677"/>
        <n v="532"/>
        <n v="556"/>
        <n v="1116"/>
        <n v="1385"/>
        <n v="895"/>
        <n v="719"/>
        <n v="808"/>
        <n v="593"/>
        <n v="865"/>
        <n v="1013"/>
        <n v="794"/>
        <n v="1195"/>
        <n v="740"/>
        <n v="1111"/>
        <n v="884"/>
        <n v="742"/>
        <n v="1030"/>
        <n v="1048"/>
        <n v="875"/>
        <n v="848"/>
        <n v="721"/>
        <n v="925"/>
        <n v="1080"/>
        <n v="502"/>
        <n v="989"/>
        <n v="1104"/>
        <n v="871"/>
        <n v="964"/>
        <n v="654"/>
        <n v="1046"/>
        <n v="816"/>
        <n v="1237"/>
        <n v="1162"/>
        <n v="879"/>
        <n v="1069"/>
        <n v="1072"/>
        <n v="1057"/>
        <n v="969"/>
        <n v="734"/>
        <n v="962"/>
        <n v="730"/>
        <n v="1304"/>
        <n v="956"/>
        <n v="772"/>
        <n v="1016"/>
        <n v="836"/>
        <n v="1122"/>
        <n v="1133"/>
        <n v="750"/>
        <n v="506"/>
        <n v="1318"/>
        <n v="1021"/>
        <n v="832"/>
        <n v="1150"/>
        <n v="440"/>
        <n v="580"/>
        <n v="666"/>
        <n v="1299"/>
        <n v="773"/>
        <n v="1418"/>
        <n v="421"/>
        <n v="1587"/>
        <n v="627"/>
        <n v="1358"/>
        <n v="1176"/>
        <n v="1004"/>
        <n v="963"/>
        <n v="786"/>
        <n v="743"/>
        <n v="777"/>
        <n v="663"/>
        <n v="363"/>
        <n v="864"/>
        <n v="1262"/>
        <n v="990"/>
        <n v="1129"/>
        <n v="546"/>
        <n v="751"/>
        <n v="744"/>
        <n v="1003"/>
        <n v="1103"/>
        <n v="917"/>
        <n v="416"/>
        <n v="1688"/>
        <n v="1231"/>
        <n v="936"/>
        <n v="924"/>
        <n v="1052"/>
        <n v="441"/>
        <n v="805"/>
        <n v="1106"/>
        <n v="735"/>
        <n v="1625"/>
        <n v="804"/>
        <n v="1073"/>
        <n v="420"/>
        <n v="667"/>
        <n v="1369"/>
        <n v="424"/>
        <n v="1404"/>
        <n v="1020"/>
        <n v="979"/>
        <n v="819"/>
        <n v="1357"/>
        <n v="1315"/>
        <n v="685"/>
        <n v="446"/>
        <n v="888"/>
        <n v="1303"/>
        <n v="790"/>
        <n v="858"/>
        <n v="1071"/>
        <n v="639"/>
        <n v="824"/>
        <n v="1701"/>
        <n v="880"/>
        <n v="408"/>
        <n v="1479"/>
        <n v="500"/>
        <n v="1373"/>
        <n v="870"/>
        <n v="458"/>
        <n v="1503"/>
        <n v="1207"/>
        <n v="837"/>
        <n v="811"/>
        <n v="1041"/>
        <n v="451"/>
        <n v="756"/>
        <n v="1042"/>
        <n v="608"/>
        <n v="854"/>
        <n v="958"/>
        <n v="678"/>
        <n v="1265"/>
        <n v="877"/>
        <n v="885"/>
        <n v="624"/>
        <n v="1038"/>
        <n v="1214"/>
        <n v="499"/>
        <n v="1082"/>
        <n v="530"/>
        <n v="886"/>
        <n v="913"/>
        <n v="362"/>
        <n v="1201"/>
        <n v="711"/>
        <n v="1151"/>
        <n v="1070"/>
        <n v="1119"/>
        <n v="1074"/>
        <n v="967"/>
        <n v="844"/>
        <n v="852"/>
        <n v="574"/>
        <n v="813"/>
        <n v="680"/>
        <n v="644"/>
        <n v="778"/>
        <n v="1095"/>
        <n v="418"/>
        <n v="767"/>
        <n v="603"/>
        <n v="1249"/>
        <n v="1424"/>
        <n v="1126"/>
        <n v="1337"/>
        <n v="802"/>
        <n v="937"/>
        <n v="707"/>
        <n v="926"/>
        <n v="800"/>
        <n v="988"/>
        <n v="686"/>
        <n v="370"/>
        <n v="1138"/>
        <n v="1025"/>
        <n v="929"/>
        <n v="1267"/>
        <n v="1177"/>
        <n v="598"/>
        <n v="1280"/>
        <n v="1443"/>
        <n v="799"/>
        <n v="796"/>
        <n v="1241"/>
        <n v="1147"/>
        <n v="1153"/>
        <n v="1043"/>
        <n v="842"/>
        <n v="703"/>
        <n v="887"/>
        <n v="732"/>
        <n v="980"/>
        <n v="1481"/>
        <n v="410"/>
        <n v="903"/>
        <n v="1292"/>
        <n v="900"/>
        <n v="1169"/>
        <n v="1034"/>
        <n v="959"/>
        <n v="940"/>
        <n v="1224"/>
        <n v="815"/>
        <n v="820"/>
        <n v="688"/>
        <n v="1006"/>
        <n v="597"/>
        <n v="699"/>
        <n v="993"/>
        <n v="919"/>
        <n v="579"/>
        <n v="739"/>
        <n v="594"/>
        <n v="1075"/>
        <n v="1056"/>
        <n v="660"/>
        <n v="1012"/>
        <n v="1163"/>
        <n v="878"/>
        <n v="353"/>
        <n v="763"/>
        <n v="632"/>
        <n v="982"/>
        <n v="1010"/>
        <n v="713"/>
        <n v="1060"/>
        <n v="803"/>
        <n v="1182"/>
        <n v="952"/>
        <n v="949"/>
        <n v="662"/>
        <n v="610"/>
        <n v="497"/>
        <n v="1212"/>
        <n v="1136"/>
        <n v="616"/>
        <n v="1009"/>
        <n v="1053"/>
        <n v="1161"/>
        <n v="1232"/>
        <n v="1137"/>
        <n v="938"/>
        <n v="922"/>
        <n v="567"/>
        <n v="923"/>
        <n v="1054"/>
        <n v="1047"/>
        <n v="876"/>
        <n v="792"/>
        <n v="333"/>
        <n v="729"/>
        <n v="465"/>
        <n v="1166"/>
        <n v="987"/>
        <n v="1474"/>
        <n v="874"/>
        <n v="911"/>
        <n v="1181"/>
        <n v="970"/>
        <n v="1359"/>
        <n v="840"/>
        <n v="585"/>
        <n v="684"/>
        <n v="1105"/>
        <n v="1321"/>
        <n v="1100"/>
        <n v="694"/>
        <n v="1022"/>
        <n v="863"/>
        <n v="764"/>
        <n v="714"/>
        <n v="1223"/>
        <n v="944"/>
        <n v="407"/>
        <n v="939"/>
        <n v="1468"/>
        <n v="722"/>
        <n v="653"/>
        <n v="1066"/>
        <n v="1123"/>
        <n v="822"/>
        <n v="1086"/>
        <n v="810"/>
        <n v="1096"/>
        <n v="482"/>
        <n v="1187"/>
        <n v="927"/>
        <n v="1451"/>
        <n v="1029"/>
        <n v="881"/>
        <n v="525"/>
        <n v="442"/>
        <n v="496"/>
        <n v="448"/>
        <n v="555"/>
        <n v="1380"/>
        <n v="768"/>
        <n v="1175"/>
        <n v="1024"/>
        <n v="1036"/>
        <n v="891"/>
        <n v="1289"/>
        <n v="830"/>
        <n v="943"/>
        <n v="715"/>
        <n v="817"/>
        <n v="806"/>
        <n v="1160"/>
        <n v="882"/>
        <n v="638"/>
        <n v="1145"/>
        <n v="725"/>
        <n v="845"/>
        <n v="1200"/>
        <n v="973"/>
        <n v="1505"/>
        <n v="720"/>
        <n v="1192"/>
        <n v="1293"/>
        <n v="996"/>
        <n v="1425"/>
        <n v="838"/>
        <n v="626"/>
        <n v="724"/>
        <n v="492"/>
        <n v="1301"/>
        <n v="1278"/>
        <n v="1205"/>
        <n v="1171"/>
        <n v="422"/>
        <n v="1005"/>
        <n v="1198"/>
        <n v="868"/>
        <n v="634"/>
        <n v="566"/>
        <n v="992"/>
        <n v="894"/>
        <n v="1500"/>
        <n v="1203"/>
        <n v="1316"/>
        <n v="1159"/>
        <n v="995"/>
        <n v="1247"/>
        <n v="444"/>
        <n v="1085"/>
        <n v="569"/>
        <n v="393"/>
        <n v="914"/>
        <n v="700"/>
        <n v="994"/>
        <n v="1218"/>
        <n v="1396"/>
        <n v="795"/>
        <n v="1356"/>
        <n v="948"/>
        <n v="1170"/>
        <n v="395"/>
        <n v="921"/>
        <n v="491"/>
        <n v="545"/>
        <n v="997"/>
        <n v="586"/>
        <n v="753"/>
        <n v="873"/>
        <n v="1155"/>
        <n v="779"/>
        <n v="920"/>
        <n v="1055"/>
        <n v="931"/>
        <n v="463"/>
        <n v="1622"/>
        <n v="658"/>
        <n v="710"/>
        <n v="898"/>
        <n v="1379"/>
        <n v="1084"/>
        <n v="615"/>
        <n v="718"/>
        <n v="642"/>
        <n v="1144"/>
        <n v="412"/>
        <n v="932"/>
        <n v="1185"/>
        <n v="946"/>
        <n v="907"/>
        <n v="780"/>
        <n v="612"/>
        <n v="382"/>
        <n v="1011"/>
        <n v="731"/>
        <n v="1725"/>
        <n v="1492"/>
        <n v="831"/>
        <n v="933"/>
        <n v="1199"/>
        <n v="757"/>
        <n v="558"/>
        <n v="386"/>
        <n v="1107"/>
        <n v="1314"/>
        <n v="415"/>
        <n v="834"/>
        <n v="705"/>
        <n v="453"/>
        <n v="1332"/>
        <n v="1401"/>
        <n v="1204"/>
        <n v="851"/>
        <n v="1467"/>
        <n v="910"/>
        <n v="904"/>
        <n v="825"/>
        <n v="957"/>
        <n v="592"/>
        <n v="637"/>
        <n v="1345"/>
        <n v="672"/>
        <n v="972"/>
        <n v="1143"/>
        <n v="472"/>
        <n v="331"/>
        <n v="1646"/>
        <n v="818"/>
        <n v="1186"/>
        <n v="776"/>
        <n v="1510"/>
        <n v="850"/>
        <n v="1091"/>
        <n v="759"/>
        <n v="983"/>
        <n v="529"/>
        <n v="656"/>
        <n v="906"/>
        <n v="1139"/>
        <n v="826"/>
        <n v="651"/>
        <n v="354"/>
        <n v="1322"/>
        <n v="737"/>
        <n v="1344"/>
        <n v="1398"/>
        <n v="1408"/>
        <n v="1257"/>
        <n v="1319"/>
        <n v="1078"/>
        <n v="330"/>
        <n v="789"/>
        <n v="1028"/>
        <n v="1355"/>
        <n v="1240"/>
        <n v="935"/>
        <n v="807"/>
        <n v="1287"/>
        <n v="1158"/>
        <n v="748"/>
        <n v="746"/>
        <n v="847"/>
        <n v="1173"/>
        <n v="1076"/>
        <n v="479"/>
        <n v="661"/>
        <n v="1050"/>
        <n v="1675"/>
        <n v="350"/>
        <n v="1515"/>
        <n v="303"/>
        <n v="978"/>
        <n v="1081"/>
        <n v="749"/>
        <n v="856"/>
        <n v="1184"/>
        <n v="606"/>
        <n v="1410"/>
        <n v="1320"/>
        <n v="1248"/>
        <n v="640"/>
        <n v="762"/>
        <n v="1172"/>
        <n v="915"/>
        <n v="859"/>
        <n v="766"/>
        <n v="1229"/>
        <n v="1225"/>
        <n v="954"/>
        <n v="909"/>
        <n v="798"/>
        <n v="752"/>
        <n v="674"/>
        <n v="821"/>
        <n v="679"/>
        <n v="1188"/>
        <n v="475"/>
        <n v="693"/>
        <n v="1216"/>
        <n v="1766"/>
        <n v="394"/>
        <n v="950"/>
        <n v="942"/>
        <n v="966"/>
        <n v="581"/>
        <n v="1634"/>
        <n v="423"/>
        <n v="849"/>
        <n v="775"/>
        <n v="1276"/>
        <n v="1598"/>
        <n v="1573"/>
        <n v="733"/>
        <n v="319"/>
        <n v="916"/>
        <n v="951"/>
        <n v="1148"/>
        <n v="537"/>
        <n v="968"/>
        <n v="643"/>
        <n v="986"/>
        <n v="985"/>
        <n v="380"/>
        <n v="468"/>
        <n v="741"/>
        <n v="695"/>
        <n v="709"/>
        <n v="857"/>
        <n v="559"/>
        <n v="841"/>
        <n v="445"/>
        <n v="1032"/>
        <n v="977"/>
        <n v="668"/>
        <n v="1378"/>
        <n v="1092"/>
        <n v="1372"/>
        <n v="829"/>
        <n v="1015"/>
        <n v="1536"/>
        <n v="965"/>
        <n v="436"/>
        <n v="1294"/>
        <n v="645"/>
        <n v="1197"/>
        <n v="504"/>
        <n v="590"/>
        <n v="433"/>
        <n v="484"/>
        <n v="1164"/>
        <n v="747"/>
        <n v="1491"/>
        <n v="388"/>
        <n v="999"/>
        <n v="1363"/>
        <n v="717"/>
        <n v="1228"/>
        <n v="659"/>
        <n v="406"/>
        <n v="1128"/>
        <n v="673"/>
        <n v="1220"/>
        <n v="481"/>
        <n v="698"/>
        <n v="1582"/>
        <n v="552"/>
        <n v="1001"/>
        <n v="1031"/>
        <n v="893"/>
        <n v="454"/>
        <n v="576"/>
        <n v="621"/>
        <n v="1102"/>
        <n v="1242"/>
        <n v="1234"/>
        <n v="691"/>
        <n v="1336"/>
        <n v="1117"/>
        <n v="706"/>
        <n v="1213"/>
        <n v="726"/>
        <n v="1189"/>
        <n v="470"/>
        <n v="494"/>
        <n v="1519"/>
        <n v="1497"/>
        <n v="573"/>
        <n v="1307"/>
        <n v="549"/>
        <n v="1783"/>
        <n v="531"/>
        <n v="681"/>
        <n v="1027"/>
        <n v="976"/>
        <n v="1135"/>
        <n v="1044"/>
        <n v="784"/>
        <n v="1463"/>
        <n v="1230"/>
        <n v="557"/>
        <n v="727"/>
        <n v="736"/>
        <n v="1017"/>
        <n v="514"/>
        <n v="402"/>
        <n v="812"/>
        <n v="1113"/>
        <n v="1127"/>
        <n v="723"/>
        <n v="862"/>
        <n v="760"/>
        <n v="1445"/>
        <n v="636"/>
        <n v="1290"/>
        <n v="1227"/>
        <n v="1327"/>
        <n v="1035"/>
        <n v="1364"/>
        <n v="1260"/>
        <n v="542"/>
      </sharedItems>
    </cacheField>
    <cacheField name="Workout_Type" numFmtId="0">
      <sharedItems count="4">
        <s v="Yoga"/>
        <s v="HIIT"/>
        <s v="Cardio"/>
        <s v="Strength"/>
      </sharedItems>
    </cacheField>
    <cacheField name="Fat_Percentage" numFmtId="0">
      <sharedItems containsSemiMixedTypes="0" containsString="0" containsNumber="1" minValue="10" maxValue="35"/>
    </cacheField>
    <cacheField name="Water_Intake (liters)" numFmtId="0">
      <sharedItems containsSemiMixedTypes="0" containsString="0" containsNumber="1" minValue="1.5" maxValue="3.7"/>
    </cacheField>
    <cacheField name="Workout_Frequency (days)" numFmtId="0">
      <sharedItems containsSemiMixedTypes="0" containsString="0" containsNumber="1" containsInteger="1" minValue="2" maxValue="5"/>
    </cacheField>
    <cacheField name="Experience_Level" numFmtId="0">
      <sharedItems containsSemiMixedTypes="0" containsString="0" containsNumber="1" containsInteger="1" minValue="1" maxValue="3" count="3">
        <n v="3"/>
        <n v="2"/>
        <n v="1"/>
      </sharedItems>
    </cacheField>
    <cacheField name="BMI" numFmtId="0">
      <sharedItems containsSemiMixedTypes="0" containsString="0" containsNumber="1" minValue="12.32" maxValue="49.84"/>
    </cacheField>
    <cacheField name="BMI_Categori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urav Tiwari" refreshedDate="45895.700503356478" createdVersion="8" refreshedVersion="8" minRefreshableVersion="3" recordCount="973" xr:uid="{F809C807-E935-406E-AB3B-DC8A1FC4C329}">
  <cacheSource type="worksheet">
    <worksheetSource ref="A1:S974" sheet="Dataset"/>
  </cacheSource>
  <cacheFields count="19">
    <cacheField name="Sr. No." numFmtId="0">
      <sharedItems containsSemiMixedTypes="0" containsString="0" containsNumber="1" containsInteger="1" minValue="1" maxValue="973"/>
    </cacheField>
    <cacheField name="City" numFmtId="0">
      <sharedItems/>
    </cacheField>
    <cacheField name="Age" numFmtId="0">
      <sharedItems containsSemiMixedTypes="0" containsString="0" containsNumber="1" containsInteger="1" minValue="18" maxValue="59"/>
    </cacheField>
    <cacheField name="Gender" numFmtId="0">
      <sharedItems/>
    </cacheField>
    <cacheField name="Weight (kg)" numFmtId="0">
      <sharedItems containsSemiMixedTypes="0" containsString="0" containsNumber="1" minValue="40" maxValue="129.9"/>
    </cacheField>
    <cacheField name="Height (m)" numFmtId="0">
      <sharedItems containsSemiMixedTypes="0" containsString="0" containsNumber="1" minValue="1.5" maxValue="2"/>
    </cacheField>
    <cacheField name="Max_BPM" numFmtId="0">
      <sharedItems containsSemiMixedTypes="0" containsString="0" containsNumber="1" containsInteger="1" minValue="160" maxValue="199"/>
    </cacheField>
    <cacheField name="Avg_BPM" numFmtId="0">
      <sharedItems containsSemiMixedTypes="0" containsString="0" containsNumber="1" containsInteger="1" minValue="120" maxValue="169"/>
    </cacheField>
    <cacheField name="Resting BPM" numFmtId="0">
      <sharedItems containsSemiMixedTypes="0" containsString="0" containsNumber="1" containsInteger="1" minValue="50" maxValue="74"/>
    </cacheField>
    <cacheField name="Session_Duration (hours)" numFmtId="0">
      <sharedItems containsSemiMixedTypes="0" containsString="0" containsNumber="1" minValue="0.5" maxValue="2"/>
    </cacheField>
    <cacheField name="Calories_Burned" numFmtId="0">
      <sharedItems containsSemiMixedTypes="0" containsString="0" containsNumber="1" containsInteger="1" minValue="303" maxValue="1783"/>
    </cacheField>
    <cacheField name="Workout_Type" numFmtId="0">
      <sharedItems count="4">
        <s v="Yoga"/>
        <s v="HIIT"/>
        <s v="Cardio"/>
        <s v="Strength"/>
      </sharedItems>
    </cacheField>
    <cacheField name="Fat_Percentage" numFmtId="0">
      <sharedItems containsSemiMixedTypes="0" containsString="0" containsNumber="1" minValue="10" maxValue="35"/>
    </cacheField>
    <cacheField name="Water_Intake (liters)" numFmtId="0">
      <sharedItems containsSemiMixedTypes="0" containsString="0" containsNumber="1" minValue="1.5" maxValue="3.7"/>
    </cacheField>
    <cacheField name="Workout_Frequency (days)" numFmtId="0">
      <sharedItems containsSemiMixedTypes="0" containsString="0" containsNumber="1" containsInteger="1" minValue="2" maxValue="5" count="4">
        <n v="4"/>
        <n v="3"/>
        <n v="5"/>
        <n v="2"/>
      </sharedItems>
    </cacheField>
    <cacheField name="Experience_Level" numFmtId="0">
      <sharedItems containsSemiMixedTypes="0" containsString="0" containsNumber="1" containsInteger="1" minValue="1" maxValue="3"/>
    </cacheField>
    <cacheField name="BMI" numFmtId="0">
      <sharedItems containsSemiMixedTypes="0" containsString="0" containsNumber="1" minValue="12.32" maxValue="49.84"/>
    </cacheField>
    <cacheField name="BMI_Categories" numFmtId="0">
      <sharedItems/>
    </cacheField>
    <cacheField name="Calories _Burned (per hour)" numFmtId="0">
      <sharedItems containsSemiMixedTypes="0" containsString="0" containsNumber="1" minValue="539.89637305699489" maxValue="929.530201342281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urav Tiwari" refreshedDate="45895.859866087965" createdVersion="8" refreshedVersion="8" minRefreshableVersion="3" recordCount="973" xr:uid="{5432AA21-36E3-4539-AF74-E659247BF1C5}">
  <cacheSource type="worksheet">
    <worksheetSource ref="A1:T974" sheet="Dataset"/>
  </cacheSource>
  <cacheFields count="20">
    <cacheField name="Sr. No." numFmtId="0">
      <sharedItems containsSemiMixedTypes="0" containsString="0" containsNumber="1" containsInteger="1" minValue="1" maxValue="973"/>
    </cacheField>
    <cacheField name="City" numFmtId="0">
      <sharedItems/>
    </cacheField>
    <cacheField name="Age" numFmtId="0">
      <sharedItems containsSemiMixedTypes="0" containsString="0" containsNumber="1" containsInteger="1" minValue="18" maxValue="59"/>
    </cacheField>
    <cacheField name="Gender" numFmtId="0">
      <sharedItems/>
    </cacheField>
    <cacheField name="Weight (kg)" numFmtId="0">
      <sharedItems containsSemiMixedTypes="0" containsString="0" containsNumber="1" minValue="40" maxValue="129.9"/>
    </cacheField>
    <cacheField name="Height (m)" numFmtId="0">
      <sharedItems containsSemiMixedTypes="0" containsString="0" containsNumber="1" minValue="1.5" maxValue="2"/>
    </cacheField>
    <cacheField name="Max_BPM" numFmtId="0">
      <sharedItems containsSemiMixedTypes="0" containsString="0" containsNumber="1" containsInteger="1" minValue="160" maxValue="199"/>
    </cacheField>
    <cacheField name="Avg_BPM" numFmtId="0">
      <sharedItems containsSemiMixedTypes="0" containsString="0" containsNumber="1" containsInteger="1" minValue="120" maxValue="169"/>
    </cacheField>
    <cacheField name="Resting BPM" numFmtId="0">
      <sharedItems containsSemiMixedTypes="0" containsString="0" containsNumber="1" containsInteger="1" minValue="50" maxValue="74"/>
    </cacheField>
    <cacheField name="Session_Duration (hours)" numFmtId="0">
      <sharedItems containsSemiMixedTypes="0" containsString="0" containsNumber="1" minValue="0.5" maxValue="2"/>
    </cacheField>
    <cacheField name="Calories_Burned" numFmtId="0">
      <sharedItems containsSemiMixedTypes="0" containsString="0" containsNumber="1" containsInteger="1" minValue="303" maxValue="1783"/>
    </cacheField>
    <cacheField name="Workout_Type" numFmtId="0">
      <sharedItems/>
    </cacheField>
    <cacheField name="Fat_Percentage" numFmtId="0">
      <sharedItems containsSemiMixedTypes="0" containsString="0" containsNumber="1" minValue="10" maxValue="35"/>
    </cacheField>
    <cacheField name="Water_Intake (liters)" numFmtId="0">
      <sharedItems containsSemiMixedTypes="0" containsString="0" containsNumber="1" minValue="1.5" maxValue="3.7"/>
    </cacheField>
    <cacheField name="Workout_Frequency (days)" numFmtId="0">
      <sharedItems containsSemiMixedTypes="0" containsString="0" containsNumber="1" containsInteger="1" minValue="2" maxValue="5"/>
    </cacheField>
    <cacheField name="Experience_Level" numFmtId="0">
      <sharedItems containsSemiMixedTypes="0" containsString="0" containsNumber="1" containsInteger="1" minValue="1" maxValue="3" count="3">
        <n v="3"/>
        <n v="2"/>
        <n v="1"/>
      </sharedItems>
    </cacheField>
    <cacheField name="BMI" numFmtId="0">
      <sharedItems containsSemiMixedTypes="0" containsString="0" containsNumber="1" minValue="12.32" maxValue="49.84"/>
    </cacheField>
    <cacheField name="BMI_Categories" numFmtId="0">
      <sharedItems/>
    </cacheField>
    <cacheField name="Calories _Burned (per hour)" numFmtId="0">
      <sharedItems containsSemiMixedTypes="0" containsString="0" containsNumber="1" minValue="539.89637305699489" maxValue="929.53020134228188"/>
    </cacheField>
    <cacheField name="Water_Intake_Gorup" numFmtId="0">
      <sharedItems count="3">
        <s v="High"/>
        <s v="Low"/>
        <s v="Med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3">
  <r>
    <n v="1"/>
    <x v="0"/>
    <n v="56"/>
    <x v="0"/>
    <n v="88.3"/>
    <n v="1.71"/>
    <n v="180"/>
    <n v="157"/>
    <n v="60"/>
    <x v="0"/>
    <x v="0"/>
    <x v="0"/>
    <n v="12.6"/>
    <n v="3.5"/>
    <x v="0"/>
    <n v="3"/>
    <n v="30.2"/>
  </r>
  <r>
    <n v="2"/>
    <x v="1"/>
    <n v="46"/>
    <x v="1"/>
    <n v="74.900000000000006"/>
    <n v="1.53"/>
    <n v="179"/>
    <n v="151"/>
    <n v="66"/>
    <x v="1"/>
    <x v="1"/>
    <x v="1"/>
    <n v="33.9"/>
    <n v="2.1"/>
    <x v="0"/>
    <n v="2"/>
    <n v="32"/>
  </r>
  <r>
    <n v="3"/>
    <x v="2"/>
    <n v="32"/>
    <x v="1"/>
    <n v="68.099999999999994"/>
    <n v="1.66"/>
    <n v="167"/>
    <n v="122"/>
    <n v="54"/>
    <x v="2"/>
    <x v="2"/>
    <x v="2"/>
    <n v="33.4"/>
    <n v="2.2999999999999998"/>
    <x v="0"/>
    <n v="2"/>
    <n v="24.71"/>
  </r>
  <r>
    <n v="4"/>
    <x v="3"/>
    <n v="25"/>
    <x v="0"/>
    <n v="53.2"/>
    <n v="1.7"/>
    <n v="190"/>
    <n v="164"/>
    <n v="56"/>
    <x v="3"/>
    <x v="3"/>
    <x v="3"/>
    <n v="28.8"/>
    <n v="2.1"/>
    <x v="1"/>
    <n v="1"/>
    <n v="18.41"/>
  </r>
  <r>
    <n v="5"/>
    <x v="0"/>
    <n v="38"/>
    <x v="0"/>
    <n v="46.1"/>
    <n v="1.79"/>
    <n v="188"/>
    <n v="158"/>
    <n v="68"/>
    <x v="4"/>
    <x v="4"/>
    <x v="3"/>
    <n v="29.2"/>
    <n v="2.8"/>
    <x v="1"/>
    <n v="1"/>
    <n v="14.39"/>
  </r>
  <r>
    <n v="6"/>
    <x v="4"/>
    <n v="56"/>
    <x v="1"/>
    <n v="58"/>
    <n v="1.68"/>
    <n v="168"/>
    <n v="156"/>
    <n v="74"/>
    <x v="5"/>
    <x v="5"/>
    <x v="1"/>
    <n v="15.5"/>
    <n v="2.7"/>
    <x v="2"/>
    <n v="3"/>
    <n v="20.55"/>
  </r>
  <r>
    <n v="7"/>
    <x v="5"/>
    <n v="36"/>
    <x v="0"/>
    <n v="70.3"/>
    <n v="1.72"/>
    <n v="174"/>
    <n v="169"/>
    <n v="73"/>
    <x v="6"/>
    <x v="6"/>
    <x v="2"/>
    <n v="21.3"/>
    <n v="2.2999999999999998"/>
    <x v="1"/>
    <n v="2"/>
    <n v="23.76"/>
  </r>
  <r>
    <n v="8"/>
    <x v="0"/>
    <n v="40"/>
    <x v="1"/>
    <n v="69.7"/>
    <n v="1.51"/>
    <n v="189"/>
    <n v="141"/>
    <n v="64"/>
    <x v="7"/>
    <x v="7"/>
    <x v="2"/>
    <n v="30.6"/>
    <n v="1.9"/>
    <x v="1"/>
    <n v="2"/>
    <n v="30.57"/>
  </r>
  <r>
    <n v="9"/>
    <x v="2"/>
    <n v="28"/>
    <x v="0"/>
    <n v="121.7"/>
    <n v="1.94"/>
    <n v="185"/>
    <n v="127"/>
    <n v="52"/>
    <x v="8"/>
    <x v="8"/>
    <x v="3"/>
    <n v="28.9"/>
    <n v="2.6"/>
    <x v="0"/>
    <n v="2"/>
    <n v="32.340000000000003"/>
  </r>
  <r>
    <n v="10"/>
    <x v="3"/>
    <n v="28"/>
    <x v="0"/>
    <n v="101.8"/>
    <n v="1.84"/>
    <n v="169"/>
    <n v="136"/>
    <n v="64"/>
    <x v="9"/>
    <x v="9"/>
    <x v="2"/>
    <n v="29.7"/>
    <n v="2.7"/>
    <x v="1"/>
    <n v="1"/>
    <n v="30.07"/>
  </r>
  <r>
    <n v="11"/>
    <x v="1"/>
    <n v="41"/>
    <x v="0"/>
    <n v="120.8"/>
    <n v="1.67"/>
    <n v="188"/>
    <n v="146"/>
    <n v="54"/>
    <x v="10"/>
    <x v="10"/>
    <x v="1"/>
    <n v="20.5"/>
    <n v="3"/>
    <x v="3"/>
    <n v="1"/>
    <n v="43.31"/>
  </r>
  <r>
    <n v="12"/>
    <x v="2"/>
    <n v="53"/>
    <x v="0"/>
    <n v="51.7"/>
    <n v="1.7"/>
    <n v="175"/>
    <n v="152"/>
    <n v="72"/>
    <x v="11"/>
    <x v="11"/>
    <x v="1"/>
    <n v="23.6"/>
    <n v="3.5"/>
    <x v="1"/>
    <n v="2"/>
    <n v="17.89"/>
  </r>
  <r>
    <n v="13"/>
    <x v="2"/>
    <n v="57"/>
    <x v="0"/>
    <n v="112.5"/>
    <n v="1.61"/>
    <n v="195"/>
    <n v="165"/>
    <n v="61"/>
    <x v="12"/>
    <x v="12"/>
    <x v="2"/>
    <n v="22.1"/>
    <n v="2.7"/>
    <x v="1"/>
    <n v="2"/>
    <n v="43.4"/>
  </r>
  <r>
    <n v="14"/>
    <x v="5"/>
    <n v="41"/>
    <x v="0"/>
    <n v="94.5"/>
    <n v="2"/>
    <n v="179"/>
    <n v="136"/>
    <n v="69"/>
    <x v="13"/>
    <x v="13"/>
    <x v="1"/>
    <n v="27.6"/>
    <n v="3.7"/>
    <x v="1"/>
    <n v="1"/>
    <n v="23.62"/>
  </r>
  <r>
    <n v="15"/>
    <x v="6"/>
    <n v="20"/>
    <x v="0"/>
    <n v="117.7"/>
    <n v="1.81"/>
    <n v="196"/>
    <n v="161"/>
    <n v="54"/>
    <x v="14"/>
    <x v="14"/>
    <x v="0"/>
    <n v="26.4"/>
    <n v="3.3"/>
    <x v="1"/>
    <n v="2"/>
    <n v="35.93"/>
  </r>
  <r>
    <n v="16"/>
    <x v="3"/>
    <n v="39"/>
    <x v="1"/>
    <n v="42.5"/>
    <n v="1.75"/>
    <n v="181"/>
    <n v="131"/>
    <n v="52"/>
    <x v="15"/>
    <x v="15"/>
    <x v="3"/>
    <n v="26.2"/>
    <n v="2.1"/>
    <x v="3"/>
    <n v="1"/>
    <n v="13.88"/>
  </r>
  <r>
    <n v="17"/>
    <x v="7"/>
    <n v="19"/>
    <x v="1"/>
    <n v="64"/>
    <n v="1.53"/>
    <n v="166"/>
    <n v="167"/>
    <n v="58"/>
    <x v="16"/>
    <x v="16"/>
    <x v="1"/>
    <n v="29.8"/>
    <n v="2.2999999999999998"/>
    <x v="1"/>
    <n v="2"/>
    <n v="27.34"/>
  </r>
  <r>
    <n v="18"/>
    <x v="2"/>
    <n v="41"/>
    <x v="1"/>
    <n v="43.8"/>
    <n v="1.77"/>
    <n v="182"/>
    <n v="165"/>
    <n v="58"/>
    <x v="17"/>
    <x v="17"/>
    <x v="2"/>
    <n v="31.9"/>
    <n v="1.6"/>
    <x v="1"/>
    <n v="1"/>
    <n v="13.98"/>
  </r>
  <r>
    <n v="19"/>
    <x v="6"/>
    <n v="47"/>
    <x v="1"/>
    <n v="66.8"/>
    <n v="1.75"/>
    <n v="199"/>
    <n v="146"/>
    <n v="56"/>
    <x v="15"/>
    <x v="18"/>
    <x v="3"/>
    <n v="32.799999999999997"/>
    <n v="2.5"/>
    <x v="1"/>
    <n v="2"/>
    <n v="21.81"/>
  </r>
  <r>
    <n v="20"/>
    <x v="7"/>
    <n v="55"/>
    <x v="1"/>
    <n v="75.2"/>
    <n v="1.67"/>
    <n v="188"/>
    <n v="167"/>
    <n v="51"/>
    <x v="18"/>
    <x v="19"/>
    <x v="1"/>
    <n v="25.2"/>
    <n v="2.2000000000000002"/>
    <x v="3"/>
    <n v="1"/>
    <n v="26.96"/>
  </r>
  <r>
    <n v="21"/>
    <x v="3"/>
    <n v="19"/>
    <x v="0"/>
    <n v="89"/>
    <n v="1.77"/>
    <n v="175"/>
    <n v="127"/>
    <n v="72"/>
    <x v="19"/>
    <x v="20"/>
    <x v="3"/>
    <n v="28.9"/>
    <n v="3.7"/>
    <x v="0"/>
    <n v="2"/>
    <n v="28.41"/>
  </r>
  <r>
    <n v="22"/>
    <x v="8"/>
    <n v="38"/>
    <x v="0"/>
    <n v="71.900000000000006"/>
    <n v="1.77"/>
    <n v="197"/>
    <n v="142"/>
    <n v="72"/>
    <x v="20"/>
    <x v="21"/>
    <x v="2"/>
    <n v="25.7"/>
    <n v="3.1"/>
    <x v="3"/>
    <n v="1"/>
    <n v="22.95"/>
  </r>
  <r>
    <n v="23"/>
    <x v="4"/>
    <n v="50"/>
    <x v="1"/>
    <n v="71"/>
    <n v="1.68"/>
    <n v="187"/>
    <n v="161"/>
    <n v="70"/>
    <x v="21"/>
    <x v="22"/>
    <x v="0"/>
    <n v="33.1"/>
    <n v="2.5"/>
    <x v="3"/>
    <n v="1"/>
    <n v="25.16"/>
  </r>
  <r>
    <n v="24"/>
    <x v="6"/>
    <n v="29"/>
    <x v="0"/>
    <n v="120.9"/>
    <n v="1.78"/>
    <n v="197"/>
    <n v="168"/>
    <n v="65"/>
    <x v="22"/>
    <x v="23"/>
    <x v="0"/>
    <n v="28.1"/>
    <n v="3.4"/>
    <x v="3"/>
    <n v="1"/>
    <n v="38.159999999999997"/>
  </r>
  <r>
    <n v="25"/>
    <x v="9"/>
    <n v="39"/>
    <x v="1"/>
    <n v="64.3"/>
    <n v="1.69"/>
    <n v="190"/>
    <n v="148"/>
    <n v="58"/>
    <x v="23"/>
    <x v="24"/>
    <x v="1"/>
    <n v="26.9"/>
    <n v="1.9"/>
    <x v="0"/>
    <n v="2"/>
    <n v="22.51"/>
  </r>
  <r>
    <n v="26"/>
    <x v="8"/>
    <n v="42"/>
    <x v="1"/>
    <n v="63.7"/>
    <n v="1.71"/>
    <n v="173"/>
    <n v="169"/>
    <n v="62"/>
    <x v="24"/>
    <x v="25"/>
    <x v="0"/>
    <n v="26.1"/>
    <n v="1.8"/>
    <x v="1"/>
    <n v="2"/>
    <n v="21.78"/>
  </r>
  <r>
    <n v="27"/>
    <x v="4"/>
    <n v="44"/>
    <x v="0"/>
    <n v="65.2"/>
    <n v="1.8"/>
    <n v="192"/>
    <n v="139"/>
    <n v="68"/>
    <x v="25"/>
    <x v="26"/>
    <x v="1"/>
    <n v="27.2"/>
    <n v="2.7"/>
    <x v="3"/>
    <n v="1"/>
    <n v="20.12"/>
  </r>
  <r>
    <n v="28"/>
    <x v="5"/>
    <n v="59"/>
    <x v="0"/>
    <n v="53.9"/>
    <n v="1.75"/>
    <n v="168"/>
    <n v="135"/>
    <n v="69"/>
    <x v="26"/>
    <x v="27"/>
    <x v="3"/>
    <n v="21.6"/>
    <n v="2.8"/>
    <x v="0"/>
    <n v="2"/>
    <n v="17.600000000000001"/>
  </r>
  <r>
    <n v="29"/>
    <x v="0"/>
    <n v="45"/>
    <x v="0"/>
    <n v="84.9"/>
    <n v="1.86"/>
    <n v="186"/>
    <n v="136"/>
    <n v="66"/>
    <x v="27"/>
    <x v="28"/>
    <x v="1"/>
    <n v="14.2"/>
    <n v="3.5"/>
    <x v="2"/>
    <n v="3"/>
    <n v="24.54"/>
  </r>
  <r>
    <n v="30"/>
    <x v="1"/>
    <n v="33"/>
    <x v="1"/>
    <n v="78"/>
    <n v="1.68"/>
    <n v="183"/>
    <n v="135"/>
    <n v="55"/>
    <x v="28"/>
    <x v="29"/>
    <x v="1"/>
    <n v="32.299999999999997"/>
    <n v="1.8"/>
    <x v="1"/>
    <n v="2"/>
    <n v="27.64"/>
  </r>
  <r>
    <n v="31"/>
    <x v="9"/>
    <n v="32"/>
    <x v="0"/>
    <n v="108.2"/>
    <n v="1.8"/>
    <n v="172"/>
    <n v="138"/>
    <n v="53"/>
    <x v="7"/>
    <x v="30"/>
    <x v="1"/>
    <n v="28.4"/>
    <n v="3.5"/>
    <x v="1"/>
    <n v="1"/>
    <n v="33.4"/>
  </r>
  <r>
    <n v="32"/>
    <x v="5"/>
    <n v="20"/>
    <x v="1"/>
    <n v="65.400000000000006"/>
    <n v="1.52"/>
    <n v="185"/>
    <n v="127"/>
    <n v="50"/>
    <x v="8"/>
    <x v="31"/>
    <x v="0"/>
    <n v="28"/>
    <n v="2.2000000000000002"/>
    <x v="0"/>
    <n v="2"/>
    <n v="28.31"/>
  </r>
  <r>
    <n v="33"/>
    <x v="3"/>
    <n v="54"/>
    <x v="1"/>
    <n v="50.2"/>
    <n v="1.61"/>
    <n v="188"/>
    <n v="157"/>
    <n v="67"/>
    <x v="26"/>
    <x v="32"/>
    <x v="1"/>
    <n v="28.2"/>
    <n v="2.7"/>
    <x v="3"/>
    <n v="1"/>
    <n v="19.37"/>
  </r>
  <r>
    <n v="34"/>
    <x v="5"/>
    <n v="24"/>
    <x v="1"/>
    <n v="58.9"/>
    <n v="1.51"/>
    <n v="187"/>
    <n v="157"/>
    <n v="68"/>
    <x v="29"/>
    <x v="33"/>
    <x v="2"/>
    <n v="31.7"/>
    <n v="2.5"/>
    <x v="3"/>
    <n v="1"/>
    <n v="25.83"/>
  </r>
  <r>
    <n v="35"/>
    <x v="0"/>
    <n v="38"/>
    <x v="0"/>
    <n v="81.400000000000006"/>
    <n v="1.71"/>
    <n v="187"/>
    <n v="148"/>
    <n v="58"/>
    <x v="30"/>
    <x v="34"/>
    <x v="1"/>
    <n v="10.199999999999999"/>
    <n v="3.5"/>
    <x v="2"/>
    <n v="3"/>
    <n v="27.84"/>
  </r>
  <r>
    <n v="36"/>
    <x v="3"/>
    <n v="26"/>
    <x v="0"/>
    <n v="127.6"/>
    <n v="1.73"/>
    <n v="167"/>
    <n v="160"/>
    <n v="62"/>
    <x v="31"/>
    <x v="35"/>
    <x v="3"/>
    <n v="27.3"/>
    <n v="2.9"/>
    <x v="1"/>
    <n v="1"/>
    <n v="42.63"/>
  </r>
  <r>
    <n v="37"/>
    <x v="9"/>
    <n v="56"/>
    <x v="1"/>
    <n v="59.3"/>
    <n v="1.56"/>
    <n v="182"/>
    <n v="155"/>
    <n v="57"/>
    <x v="32"/>
    <x v="36"/>
    <x v="2"/>
    <n v="33.4"/>
    <n v="2.6"/>
    <x v="0"/>
    <n v="2"/>
    <n v="24.37"/>
  </r>
  <r>
    <n v="38"/>
    <x v="0"/>
    <n v="35"/>
    <x v="0"/>
    <n v="96.9"/>
    <n v="1.71"/>
    <n v="188"/>
    <n v="145"/>
    <n v="72"/>
    <x v="33"/>
    <x v="37"/>
    <x v="3"/>
    <n v="24.2"/>
    <n v="2.9"/>
    <x v="1"/>
    <n v="2"/>
    <n v="33.14"/>
  </r>
  <r>
    <n v="39"/>
    <x v="7"/>
    <n v="21"/>
    <x v="0"/>
    <n v="62.6"/>
    <n v="1.81"/>
    <n v="164"/>
    <n v="150"/>
    <n v="62"/>
    <x v="1"/>
    <x v="38"/>
    <x v="3"/>
    <n v="27.6"/>
    <n v="3.5"/>
    <x v="0"/>
    <n v="2"/>
    <n v="19.11"/>
  </r>
  <r>
    <n v="40"/>
    <x v="1"/>
    <n v="42"/>
    <x v="0"/>
    <n v="45.5"/>
    <n v="1.6"/>
    <n v="166"/>
    <n v="163"/>
    <n v="64"/>
    <x v="34"/>
    <x v="39"/>
    <x v="3"/>
    <n v="21.7"/>
    <n v="2.6"/>
    <x v="1"/>
    <n v="2"/>
    <n v="17.77"/>
  </r>
  <r>
    <n v="41"/>
    <x v="9"/>
    <n v="31"/>
    <x v="1"/>
    <n v="48.8"/>
    <n v="1.51"/>
    <n v="195"/>
    <n v="131"/>
    <n v="60"/>
    <x v="26"/>
    <x v="40"/>
    <x v="2"/>
    <n v="28.2"/>
    <n v="2"/>
    <x v="3"/>
    <n v="1"/>
    <n v="21.4"/>
  </r>
  <r>
    <n v="42"/>
    <x v="7"/>
    <n v="26"/>
    <x v="1"/>
    <n v="44.3"/>
    <n v="1.6"/>
    <n v="186"/>
    <n v="136"/>
    <n v="61"/>
    <x v="9"/>
    <x v="41"/>
    <x v="2"/>
    <n v="34.700000000000003"/>
    <n v="2"/>
    <x v="1"/>
    <n v="1"/>
    <n v="17.3"/>
  </r>
  <r>
    <n v="43"/>
    <x v="4"/>
    <n v="43"/>
    <x v="0"/>
    <n v="113.2"/>
    <n v="1.83"/>
    <n v="161"/>
    <n v="134"/>
    <n v="63"/>
    <x v="35"/>
    <x v="42"/>
    <x v="0"/>
    <n v="29.9"/>
    <n v="2.9"/>
    <x v="0"/>
    <n v="2"/>
    <n v="33.799999999999997"/>
  </r>
  <r>
    <n v="44"/>
    <x v="9"/>
    <n v="19"/>
    <x v="1"/>
    <n v="60.5"/>
    <n v="1.59"/>
    <n v="184"/>
    <n v="128"/>
    <n v="53"/>
    <x v="36"/>
    <x v="43"/>
    <x v="2"/>
    <n v="30.1"/>
    <n v="2.2000000000000002"/>
    <x v="3"/>
    <n v="1"/>
    <n v="23.93"/>
  </r>
  <r>
    <n v="45"/>
    <x v="4"/>
    <n v="37"/>
    <x v="0"/>
    <n v="124.2"/>
    <n v="1.76"/>
    <n v="168"/>
    <n v="158"/>
    <n v="50"/>
    <x v="19"/>
    <x v="44"/>
    <x v="1"/>
    <n v="29.3"/>
    <n v="2.8"/>
    <x v="3"/>
    <n v="1"/>
    <n v="40.1"/>
  </r>
  <r>
    <n v="46"/>
    <x v="3"/>
    <n v="45"/>
    <x v="0"/>
    <n v="52.4"/>
    <n v="1.85"/>
    <n v="186"/>
    <n v="161"/>
    <n v="73"/>
    <x v="37"/>
    <x v="45"/>
    <x v="3"/>
    <n v="25.2"/>
    <n v="2.5"/>
    <x v="1"/>
    <n v="1"/>
    <n v="15.31"/>
  </r>
  <r>
    <n v="47"/>
    <x v="7"/>
    <n v="24"/>
    <x v="0"/>
    <n v="54.7"/>
    <n v="1.74"/>
    <n v="160"/>
    <n v="167"/>
    <n v="53"/>
    <x v="38"/>
    <x v="46"/>
    <x v="0"/>
    <n v="22.9"/>
    <n v="3.6"/>
    <x v="1"/>
    <n v="1"/>
    <n v="18.07"/>
  </r>
  <r>
    <n v="48"/>
    <x v="1"/>
    <n v="25"/>
    <x v="0"/>
    <n v="88.1"/>
    <n v="1.95"/>
    <n v="182"/>
    <n v="131"/>
    <n v="68"/>
    <x v="39"/>
    <x v="47"/>
    <x v="2"/>
    <n v="22.7"/>
    <n v="3"/>
    <x v="3"/>
    <n v="1"/>
    <n v="23.17"/>
  </r>
  <r>
    <n v="49"/>
    <x v="0"/>
    <n v="52"/>
    <x v="1"/>
    <n v="59.7"/>
    <n v="1.71"/>
    <n v="169"/>
    <n v="151"/>
    <n v="58"/>
    <x v="40"/>
    <x v="48"/>
    <x v="3"/>
    <n v="34.299999999999997"/>
    <n v="2"/>
    <x v="1"/>
    <n v="1"/>
    <n v="20.420000000000002"/>
  </r>
  <r>
    <n v="50"/>
    <x v="2"/>
    <n v="31"/>
    <x v="1"/>
    <n v="79.7"/>
    <n v="1.54"/>
    <n v="184"/>
    <n v="144"/>
    <n v="59"/>
    <x v="8"/>
    <x v="18"/>
    <x v="2"/>
    <n v="26.7"/>
    <n v="2.2999999999999998"/>
    <x v="0"/>
    <n v="2"/>
    <n v="33.61"/>
  </r>
  <r>
    <n v="51"/>
    <x v="5"/>
    <n v="34"/>
    <x v="1"/>
    <n v="51"/>
    <n v="1.62"/>
    <n v="162"/>
    <n v="158"/>
    <n v="53"/>
    <x v="24"/>
    <x v="49"/>
    <x v="0"/>
    <n v="30.8"/>
    <n v="2.4"/>
    <x v="1"/>
    <n v="2"/>
    <n v="19.43"/>
  </r>
  <r>
    <n v="52"/>
    <x v="8"/>
    <n v="53"/>
    <x v="0"/>
    <n v="84.2"/>
    <n v="1.76"/>
    <n v="165"/>
    <n v="137"/>
    <n v="69"/>
    <x v="41"/>
    <x v="50"/>
    <x v="2"/>
    <n v="12.8"/>
    <n v="3.5"/>
    <x v="2"/>
    <n v="3"/>
    <n v="27.18"/>
  </r>
  <r>
    <n v="53"/>
    <x v="1"/>
    <n v="57"/>
    <x v="0"/>
    <n v="122.1"/>
    <n v="1.89"/>
    <n v="165"/>
    <n v="134"/>
    <n v="58"/>
    <x v="15"/>
    <x v="51"/>
    <x v="2"/>
    <n v="27.4"/>
    <n v="3.6"/>
    <x v="1"/>
    <n v="1"/>
    <n v="34.18"/>
  </r>
  <r>
    <n v="54"/>
    <x v="7"/>
    <n v="21"/>
    <x v="0"/>
    <n v="96.7"/>
    <n v="1.72"/>
    <n v="161"/>
    <n v="151"/>
    <n v="62"/>
    <x v="32"/>
    <x v="32"/>
    <x v="3"/>
    <n v="25"/>
    <n v="2.8"/>
    <x v="1"/>
    <n v="1"/>
    <n v="32.69"/>
  </r>
  <r>
    <n v="55"/>
    <x v="2"/>
    <n v="19"/>
    <x v="1"/>
    <n v="73"/>
    <n v="1.79"/>
    <n v="177"/>
    <n v="125"/>
    <n v="61"/>
    <x v="42"/>
    <x v="52"/>
    <x v="1"/>
    <n v="27.7"/>
    <n v="1.6"/>
    <x v="1"/>
    <n v="1"/>
    <n v="22.78"/>
  </r>
  <r>
    <n v="56"/>
    <x v="1"/>
    <n v="23"/>
    <x v="0"/>
    <n v="114.8"/>
    <n v="1.6"/>
    <n v="182"/>
    <n v="163"/>
    <n v="60"/>
    <x v="43"/>
    <x v="53"/>
    <x v="2"/>
    <n v="21.7"/>
    <n v="2.7"/>
    <x v="0"/>
    <n v="2"/>
    <n v="44.84"/>
  </r>
  <r>
    <n v="57"/>
    <x v="7"/>
    <n v="59"/>
    <x v="1"/>
    <n v="65.5"/>
    <n v="1.52"/>
    <n v="161"/>
    <n v="162"/>
    <n v="61"/>
    <x v="44"/>
    <x v="54"/>
    <x v="0"/>
    <n v="31.2"/>
    <n v="2.1"/>
    <x v="1"/>
    <n v="2"/>
    <n v="28.35"/>
  </r>
  <r>
    <n v="58"/>
    <x v="6"/>
    <n v="21"/>
    <x v="1"/>
    <n v="50.3"/>
    <n v="1.52"/>
    <n v="171"/>
    <n v="154"/>
    <n v="67"/>
    <x v="9"/>
    <x v="55"/>
    <x v="2"/>
    <n v="32.200000000000003"/>
    <n v="2.6"/>
    <x v="1"/>
    <n v="1"/>
    <n v="21.77"/>
  </r>
  <r>
    <n v="59"/>
    <x v="6"/>
    <n v="46"/>
    <x v="1"/>
    <n v="61"/>
    <n v="1.71"/>
    <n v="181"/>
    <n v="153"/>
    <n v="61"/>
    <x v="41"/>
    <x v="56"/>
    <x v="2"/>
    <n v="17.8"/>
    <n v="2.7"/>
    <x v="0"/>
    <n v="3"/>
    <n v="20.86"/>
  </r>
  <r>
    <n v="60"/>
    <x v="4"/>
    <n v="35"/>
    <x v="1"/>
    <n v="44.6"/>
    <n v="1.62"/>
    <n v="196"/>
    <n v="157"/>
    <n v="65"/>
    <x v="45"/>
    <x v="57"/>
    <x v="1"/>
    <n v="32.4"/>
    <n v="2"/>
    <x v="3"/>
    <n v="1"/>
    <n v="16.989999999999998"/>
  </r>
  <r>
    <n v="61"/>
    <x v="1"/>
    <n v="43"/>
    <x v="1"/>
    <n v="58.2"/>
    <n v="1.61"/>
    <n v="179"/>
    <n v="124"/>
    <n v="54"/>
    <x v="29"/>
    <x v="58"/>
    <x v="3"/>
    <n v="26.4"/>
    <n v="2.6"/>
    <x v="1"/>
    <n v="2"/>
    <n v="22.45"/>
  </r>
  <r>
    <n v="62"/>
    <x v="6"/>
    <n v="51"/>
    <x v="1"/>
    <n v="44.8"/>
    <n v="1.63"/>
    <n v="198"/>
    <n v="137"/>
    <n v="69"/>
    <x v="9"/>
    <x v="59"/>
    <x v="0"/>
    <n v="33.799999999999997"/>
    <n v="2.1"/>
    <x v="0"/>
    <n v="2"/>
    <n v="16.86"/>
  </r>
  <r>
    <n v="63"/>
    <x v="7"/>
    <n v="27"/>
    <x v="0"/>
    <n v="87.5"/>
    <n v="1.63"/>
    <n v="183"/>
    <n v="135"/>
    <n v="74"/>
    <x v="46"/>
    <x v="60"/>
    <x v="3"/>
    <n v="12.9"/>
    <n v="3.5"/>
    <x v="2"/>
    <n v="3"/>
    <n v="32.93"/>
  </r>
  <r>
    <n v="64"/>
    <x v="4"/>
    <n v="53"/>
    <x v="0"/>
    <n v="51.8"/>
    <n v="1.74"/>
    <n v="179"/>
    <n v="127"/>
    <n v="61"/>
    <x v="40"/>
    <x v="61"/>
    <x v="3"/>
    <n v="21.3"/>
    <n v="3.7"/>
    <x v="1"/>
    <n v="2"/>
    <n v="17.11"/>
  </r>
  <r>
    <n v="65"/>
    <x v="7"/>
    <n v="31"/>
    <x v="1"/>
    <n v="64.400000000000006"/>
    <n v="1.7"/>
    <n v="160"/>
    <n v="144"/>
    <n v="70"/>
    <x v="47"/>
    <x v="62"/>
    <x v="3"/>
    <n v="17.3"/>
    <n v="2.7"/>
    <x v="2"/>
    <n v="3"/>
    <n v="22.28"/>
  </r>
  <r>
    <n v="66"/>
    <x v="4"/>
    <n v="48"/>
    <x v="1"/>
    <n v="67.099999999999994"/>
    <n v="1.61"/>
    <n v="160"/>
    <n v="151"/>
    <n v="74"/>
    <x v="48"/>
    <x v="63"/>
    <x v="2"/>
    <n v="33.4"/>
    <n v="1.5"/>
    <x v="3"/>
    <n v="1"/>
    <n v="25.89"/>
  </r>
  <r>
    <n v="67"/>
    <x v="1"/>
    <n v="32"/>
    <x v="0"/>
    <n v="85.9"/>
    <n v="1.6"/>
    <n v="176"/>
    <n v="145"/>
    <n v="60"/>
    <x v="49"/>
    <x v="64"/>
    <x v="1"/>
    <n v="14.5"/>
    <n v="3.5"/>
    <x v="2"/>
    <n v="3"/>
    <n v="33.549999999999997"/>
  </r>
  <r>
    <n v="68"/>
    <x v="2"/>
    <n v="25"/>
    <x v="1"/>
    <n v="65.400000000000006"/>
    <n v="1.77"/>
    <n v="160"/>
    <n v="141"/>
    <n v="58"/>
    <x v="50"/>
    <x v="65"/>
    <x v="2"/>
    <n v="27.6"/>
    <n v="2.6"/>
    <x v="1"/>
    <n v="1"/>
    <n v="20.88"/>
  </r>
  <r>
    <n v="69"/>
    <x v="0"/>
    <n v="31"/>
    <x v="1"/>
    <n v="61.1"/>
    <n v="1.76"/>
    <n v="189"/>
    <n v="150"/>
    <n v="67"/>
    <x v="51"/>
    <x v="66"/>
    <x v="0"/>
    <n v="18.600000000000001"/>
    <n v="2.7"/>
    <x v="0"/>
    <n v="3"/>
    <n v="19.72"/>
  </r>
  <r>
    <n v="70"/>
    <x v="9"/>
    <n v="40"/>
    <x v="0"/>
    <n v="106.5"/>
    <n v="1.65"/>
    <n v="162"/>
    <n v="162"/>
    <n v="74"/>
    <x v="31"/>
    <x v="67"/>
    <x v="1"/>
    <n v="21"/>
    <n v="3.6"/>
    <x v="0"/>
    <n v="2"/>
    <n v="39.119999999999997"/>
  </r>
  <r>
    <n v="71"/>
    <x v="2"/>
    <n v="57"/>
    <x v="1"/>
    <n v="64"/>
    <n v="1.52"/>
    <n v="170"/>
    <n v="129"/>
    <n v="52"/>
    <x v="52"/>
    <x v="68"/>
    <x v="3"/>
    <n v="15.2"/>
    <n v="2.7"/>
    <x v="2"/>
    <n v="3"/>
    <n v="27.7"/>
  </r>
  <r>
    <n v="72"/>
    <x v="3"/>
    <n v="38"/>
    <x v="1"/>
    <n v="61.4"/>
    <n v="1.54"/>
    <n v="183"/>
    <n v="131"/>
    <n v="69"/>
    <x v="43"/>
    <x v="69"/>
    <x v="1"/>
    <n v="30.6"/>
    <n v="2.7"/>
    <x v="1"/>
    <n v="2"/>
    <n v="25.89"/>
  </r>
  <r>
    <n v="73"/>
    <x v="7"/>
    <n v="33"/>
    <x v="1"/>
    <n v="40.5"/>
    <n v="1.63"/>
    <n v="181"/>
    <n v="147"/>
    <n v="66"/>
    <x v="53"/>
    <x v="70"/>
    <x v="0"/>
    <n v="31.9"/>
    <n v="1.5"/>
    <x v="0"/>
    <n v="2"/>
    <n v="15.24"/>
  </r>
  <r>
    <n v="74"/>
    <x v="3"/>
    <n v="35"/>
    <x v="0"/>
    <n v="70.099999999999994"/>
    <n v="1.79"/>
    <n v="185"/>
    <n v="125"/>
    <n v="63"/>
    <x v="9"/>
    <x v="71"/>
    <x v="2"/>
    <n v="28"/>
    <n v="2.2999999999999998"/>
    <x v="1"/>
    <n v="2"/>
    <n v="21.88"/>
  </r>
  <r>
    <n v="75"/>
    <x v="2"/>
    <n v="41"/>
    <x v="0"/>
    <n v="94.1"/>
    <n v="1.62"/>
    <n v="172"/>
    <n v="139"/>
    <n v="50"/>
    <x v="15"/>
    <x v="72"/>
    <x v="2"/>
    <n v="23.4"/>
    <n v="3.1"/>
    <x v="0"/>
    <n v="2"/>
    <n v="35.86"/>
  </r>
  <r>
    <n v="76"/>
    <x v="4"/>
    <n v="43"/>
    <x v="0"/>
    <n v="55.5"/>
    <n v="1.82"/>
    <n v="160"/>
    <n v="124"/>
    <n v="66"/>
    <x v="9"/>
    <x v="73"/>
    <x v="3"/>
    <n v="20.100000000000001"/>
    <n v="2"/>
    <x v="1"/>
    <n v="1"/>
    <n v="16.760000000000002"/>
  </r>
  <r>
    <n v="77"/>
    <x v="9"/>
    <n v="42"/>
    <x v="1"/>
    <n v="53.7"/>
    <n v="1.72"/>
    <n v="183"/>
    <n v="142"/>
    <n v="74"/>
    <x v="18"/>
    <x v="21"/>
    <x v="2"/>
    <n v="29.8"/>
    <n v="1.6"/>
    <x v="1"/>
    <n v="1"/>
    <n v="18.149999999999999"/>
  </r>
  <r>
    <n v="78"/>
    <x v="9"/>
    <n v="58"/>
    <x v="1"/>
    <n v="66.099999999999994"/>
    <n v="1.75"/>
    <n v="169"/>
    <n v="128"/>
    <n v="57"/>
    <x v="54"/>
    <x v="74"/>
    <x v="2"/>
    <n v="25.2"/>
    <n v="1.8"/>
    <x v="3"/>
    <n v="1"/>
    <n v="21.58"/>
  </r>
  <r>
    <n v="79"/>
    <x v="8"/>
    <n v="46"/>
    <x v="0"/>
    <n v="103.9"/>
    <n v="1.77"/>
    <n v="194"/>
    <n v="148"/>
    <n v="54"/>
    <x v="13"/>
    <x v="75"/>
    <x v="0"/>
    <n v="20.9"/>
    <n v="2.9"/>
    <x v="3"/>
    <n v="1"/>
    <n v="33.159999999999997"/>
  </r>
  <r>
    <n v="80"/>
    <x v="9"/>
    <n v="32"/>
    <x v="1"/>
    <n v="61.7"/>
    <n v="1.58"/>
    <n v="183"/>
    <n v="135"/>
    <n v="54"/>
    <x v="55"/>
    <x v="76"/>
    <x v="1"/>
    <n v="16.600000000000001"/>
    <n v="2.7"/>
    <x v="2"/>
    <n v="3"/>
    <n v="24.72"/>
  </r>
  <r>
    <n v="81"/>
    <x v="0"/>
    <n v="18"/>
    <x v="1"/>
    <n v="52.3"/>
    <n v="1.74"/>
    <n v="187"/>
    <n v="165"/>
    <n v="58"/>
    <x v="37"/>
    <x v="77"/>
    <x v="2"/>
    <n v="29.4"/>
    <n v="2.2000000000000002"/>
    <x v="3"/>
    <n v="1"/>
    <n v="17.27"/>
  </r>
  <r>
    <n v="82"/>
    <x v="9"/>
    <n v="42"/>
    <x v="1"/>
    <n v="59.5"/>
    <n v="1.74"/>
    <n v="195"/>
    <n v="141"/>
    <n v="52"/>
    <x v="56"/>
    <x v="78"/>
    <x v="0"/>
    <n v="16.399999999999999"/>
    <n v="2.7"/>
    <x v="2"/>
    <n v="3"/>
    <n v="19.649999999999999"/>
  </r>
  <r>
    <n v="83"/>
    <x v="2"/>
    <n v="24"/>
    <x v="1"/>
    <n v="72.900000000000006"/>
    <n v="1.76"/>
    <n v="175"/>
    <n v="127"/>
    <n v="68"/>
    <x v="57"/>
    <x v="79"/>
    <x v="0"/>
    <n v="30.8"/>
    <n v="1.5"/>
    <x v="1"/>
    <n v="1"/>
    <n v="23.53"/>
  </r>
  <r>
    <n v="84"/>
    <x v="8"/>
    <n v="26"/>
    <x v="1"/>
    <n v="76.7"/>
    <n v="1.63"/>
    <n v="199"/>
    <n v="139"/>
    <n v="72"/>
    <x v="9"/>
    <x v="80"/>
    <x v="3"/>
    <n v="25.6"/>
    <n v="1.7"/>
    <x v="3"/>
    <n v="1"/>
    <n v="28.87"/>
  </r>
  <r>
    <n v="85"/>
    <x v="2"/>
    <n v="41"/>
    <x v="0"/>
    <n v="72.099999999999994"/>
    <n v="1.83"/>
    <n v="175"/>
    <n v="133"/>
    <n v="58"/>
    <x v="15"/>
    <x v="81"/>
    <x v="0"/>
    <n v="21.4"/>
    <n v="2.8"/>
    <x v="1"/>
    <n v="2"/>
    <n v="21.53"/>
  </r>
  <r>
    <n v="86"/>
    <x v="2"/>
    <n v="18"/>
    <x v="1"/>
    <n v="54.8"/>
    <n v="1.68"/>
    <n v="176"/>
    <n v="158"/>
    <n v="71"/>
    <x v="7"/>
    <x v="82"/>
    <x v="3"/>
    <n v="32"/>
    <n v="2.2000000000000002"/>
    <x v="0"/>
    <n v="2"/>
    <n v="19.420000000000002"/>
  </r>
  <r>
    <n v="87"/>
    <x v="5"/>
    <n v="25"/>
    <x v="0"/>
    <n v="105"/>
    <n v="1.88"/>
    <n v="174"/>
    <n v="156"/>
    <n v="67"/>
    <x v="33"/>
    <x v="56"/>
    <x v="2"/>
    <n v="21.4"/>
    <n v="2.2999999999999998"/>
    <x v="1"/>
    <n v="2"/>
    <n v="29.71"/>
  </r>
  <r>
    <n v="88"/>
    <x v="8"/>
    <n v="41"/>
    <x v="1"/>
    <n v="55"/>
    <n v="1.55"/>
    <n v="175"/>
    <n v="169"/>
    <n v="65"/>
    <x v="35"/>
    <x v="83"/>
    <x v="3"/>
    <n v="31.4"/>
    <n v="2"/>
    <x v="0"/>
    <n v="2"/>
    <n v="22.89"/>
  </r>
  <r>
    <n v="89"/>
    <x v="2"/>
    <n v="28"/>
    <x v="0"/>
    <n v="81.599999999999994"/>
    <n v="1.66"/>
    <n v="174"/>
    <n v="153"/>
    <n v="50"/>
    <x v="58"/>
    <x v="84"/>
    <x v="0"/>
    <n v="20.5"/>
    <n v="3.5"/>
    <x v="0"/>
    <n v="2"/>
    <n v="29.61"/>
  </r>
  <r>
    <n v="90"/>
    <x v="5"/>
    <n v="34"/>
    <x v="1"/>
    <n v="75.599999999999994"/>
    <n v="1.6"/>
    <n v="193"/>
    <n v="130"/>
    <n v="51"/>
    <x v="4"/>
    <x v="85"/>
    <x v="1"/>
    <n v="29.1"/>
    <n v="2.7"/>
    <x v="3"/>
    <n v="1"/>
    <n v="29.53"/>
  </r>
  <r>
    <n v="91"/>
    <x v="5"/>
    <n v="25"/>
    <x v="0"/>
    <n v="81.5"/>
    <n v="1.61"/>
    <n v="170"/>
    <n v="159"/>
    <n v="63"/>
    <x v="59"/>
    <x v="86"/>
    <x v="1"/>
    <n v="10.9"/>
    <n v="3.5"/>
    <x v="0"/>
    <n v="3"/>
    <n v="31.44"/>
  </r>
  <r>
    <n v="92"/>
    <x v="8"/>
    <n v="52"/>
    <x v="1"/>
    <n v="61.5"/>
    <n v="1.69"/>
    <n v="160"/>
    <n v="152"/>
    <n v="63"/>
    <x v="60"/>
    <x v="87"/>
    <x v="2"/>
    <n v="15.5"/>
    <n v="2.7"/>
    <x v="0"/>
    <n v="3"/>
    <n v="21.53"/>
  </r>
  <r>
    <n v="93"/>
    <x v="3"/>
    <n v="52"/>
    <x v="0"/>
    <n v="74"/>
    <n v="1.63"/>
    <n v="174"/>
    <n v="150"/>
    <n v="50"/>
    <x v="32"/>
    <x v="88"/>
    <x v="2"/>
    <n v="25.7"/>
    <n v="3.7"/>
    <x v="1"/>
    <n v="2"/>
    <n v="27.85"/>
  </r>
  <r>
    <n v="94"/>
    <x v="4"/>
    <n v="50"/>
    <x v="1"/>
    <n v="56.4"/>
    <n v="1.59"/>
    <n v="185"/>
    <n v="163"/>
    <n v="74"/>
    <x v="32"/>
    <x v="89"/>
    <x v="1"/>
    <n v="34.299999999999997"/>
    <n v="2.6"/>
    <x v="1"/>
    <n v="1"/>
    <n v="22.31"/>
  </r>
  <r>
    <n v="95"/>
    <x v="0"/>
    <n v="22"/>
    <x v="0"/>
    <n v="102.6"/>
    <n v="1.84"/>
    <n v="163"/>
    <n v="153"/>
    <n v="65"/>
    <x v="23"/>
    <x v="90"/>
    <x v="3"/>
    <n v="20.5"/>
    <n v="2.7"/>
    <x v="1"/>
    <n v="2"/>
    <n v="30.3"/>
  </r>
  <r>
    <n v="96"/>
    <x v="4"/>
    <n v="59"/>
    <x v="1"/>
    <n v="54.6"/>
    <n v="1.57"/>
    <n v="164"/>
    <n v="169"/>
    <n v="64"/>
    <x v="61"/>
    <x v="91"/>
    <x v="2"/>
    <n v="29.2"/>
    <n v="2.2999999999999998"/>
    <x v="1"/>
    <n v="1"/>
    <n v="22.15"/>
  </r>
  <r>
    <n v="97"/>
    <x v="9"/>
    <n v="56"/>
    <x v="0"/>
    <n v="129"/>
    <n v="1.78"/>
    <n v="194"/>
    <n v="126"/>
    <n v="64"/>
    <x v="28"/>
    <x v="92"/>
    <x v="0"/>
    <n v="27.1"/>
    <n v="2.7"/>
    <x v="3"/>
    <n v="1"/>
    <n v="40.71"/>
  </r>
  <r>
    <n v="98"/>
    <x v="0"/>
    <n v="58"/>
    <x v="0"/>
    <n v="103.5"/>
    <n v="1.66"/>
    <n v="172"/>
    <n v="168"/>
    <n v="61"/>
    <x v="16"/>
    <x v="93"/>
    <x v="2"/>
    <n v="24.6"/>
    <n v="3.1"/>
    <x v="1"/>
    <n v="1"/>
    <n v="37.56"/>
  </r>
  <r>
    <n v="99"/>
    <x v="9"/>
    <n v="45"/>
    <x v="1"/>
    <n v="59.4"/>
    <n v="1.51"/>
    <n v="169"/>
    <n v="142"/>
    <n v="65"/>
    <x v="11"/>
    <x v="94"/>
    <x v="3"/>
    <n v="33.1"/>
    <n v="1.9"/>
    <x v="0"/>
    <n v="2"/>
    <n v="26.05"/>
  </r>
  <r>
    <n v="100"/>
    <x v="2"/>
    <n v="24"/>
    <x v="1"/>
    <n v="60.1"/>
    <n v="1.79"/>
    <n v="170"/>
    <n v="165"/>
    <n v="63"/>
    <x v="47"/>
    <x v="95"/>
    <x v="2"/>
    <n v="15.9"/>
    <n v="2.7"/>
    <x v="0"/>
    <n v="3"/>
    <n v="18.760000000000002"/>
  </r>
  <r>
    <n v="101"/>
    <x v="7"/>
    <n v="26"/>
    <x v="0"/>
    <n v="77.7"/>
    <n v="1.62"/>
    <n v="177"/>
    <n v="126"/>
    <n v="73"/>
    <x v="62"/>
    <x v="96"/>
    <x v="0"/>
    <n v="29.6"/>
    <n v="3"/>
    <x v="1"/>
    <n v="2"/>
    <n v="29.61"/>
  </r>
  <r>
    <n v="102"/>
    <x v="8"/>
    <n v="25"/>
    <x v="1"/>
    <n v="41.2"/>
    <n v="1.62"/>
    <n v="193"/>
    <n v="144"/>
    <n v="64"/>
    <x v="6"/>
    <x v="97"/>
    <x v="0"/>
    <n v="28.9"/>
    <n v="2.1"/>
    <x v="0"/>
    <n v="2"/>
    <n v="15.7"/>
  </r>
  <r>
    <n v="103"/>
    <x v="0"/>
    <n v="29"/>
    <x v="0"/>
    <n v="58.6"/>
    <n v="1.61"/>
    <n v="198"/>
    <n v="122"/>
    <n v="72"/>
    <x v="37"/>
    <x v="92"/>
    <x v="0"/>
    <n v="23.4"/>
    <n v="2"/>
    <x v="1"/>
    <n v="2"/>
    <n v="22.61"/>
  </r>
  <r>
    <n v="104"/>
    <x v="0"/>
    <n v="51"/>
    <x v="0"/>
    <n v="109.3"/>
    <n v="1.78"/>
    <n v="182"/>
    <n v="157"/>
    <n v="64"/>
    <x v="63"/>
    <x v="98"/>
    <x v="3"/>
    <n v="28.7"/>
    <n v="3.3"/>
    <x v="1"/>
    <n v="1"/>
    <n v="34.5"/>
  </r>
  <r>
    <n v="105"/>
    <x v="2"/>
    <n v="50"/>
    <x v="0"/>
    <n v="69.599999999999994"/>
    <n v="1.96"/>
    <n v="166"/>
    <n v="139"/>
    <n v="68"/>
    <x v="64"/>
    <x v="99"/>
    <x v="3"/>
    <n v="25.6"/>
    <n v="2"/>
    <x v="1"/>
    <n v="1"/>
    <n v="18.12"/>
  </r>
  <r>
    <n v="106"/>
    <x v="3"/>
    <n v="40"/>
    <x v="1"/>
    <n v="56.2"/>
    <n v="1.79"/>
    <n v="198"/>
    <n v="153"/>
    <n v="57"/>
    <x v="65"/>
    <x v="100"/>
    <x v="0"/>
    <n v="17.600000000000001"/>
    <n v="2.7"/>
    <x v="2"/>
    <n v="3"/>
    <n v="17.54"/>
  </r>
  <r>
    <n v="107"/>
    <x v="5"/>
    <n v="41"/>
    <x v="0"/>
    <n v="71.7"/>
    <n v="1.96"/>
    <n v="162"/>
    <n v="168"/>
    <n v="51"/>
    <x v="66"/>
    <x v="101"/>
    <x v="0"/>
    <n v="27.3"/>
    <n v="2.5"/>
    <x v="3"/>
    <n v="1"/>
    <n v="18.66"/>
  </r>
  <r>
    <n v="108"/>
    <x v="2"/>
    <n v="54"/>
    <x v="0"/>
    <n v="86"/>
    <n v="1.93"/>
    <n v="171"/>
    <n v="163"/>
    <n v="51"/>
    <x v="67"/>
    <x v="102"/>
    <x v="3"/>
    <n v="12.9"/>
    <n v="3.5"/>
    <x v="2"/>
    <n v="3"/>
    <n v="23.09"/>
  </r>
  <r>
    <n v="109"/>
    <x v="6"/>
    <n v="52"/>
    <x v="1"/>
    <n v="79.400000000000006"/>
    <n v="1.59"/>
    <n v="166"/>
    <n v="163"/>
    <n v="59"/>
    <x v="68"/>
    <x v="103"/>
    <x v="3"/>
    <n v="26.6"/>
    <n v="1.5"/>
    <x v="1"/>
    <n v="2"/>
    <n v="31.41"/>
  </r>
  <r>
    <n v="110"/>
    <x v="5"/>
    <n v="57"/>
    <x v="1"/>
    <n v="78.400000000000006"/>
    <n v="1.62"/>
    <n v="185"/>
    <n v="149"/>
    <n v="52"/>
    <x v="69"/>
    <x v="2"/>
    <x v="3"/>
    <n v="31.7"/>
    <n v="2"/>
    <x v="0"/>
    <n v="2"/>
    <n v="29.87"/>
  </r>
  <r>
    <n v="111"/>
    <x v="8"/>
    <n v="39"/>
    <x v="1"/>
    <n v="55.4"/>
    <n v="1.6"/>
    <n v="192"/>
    <n v="136"/>
    <n v="72"/>
    <x v="70"/>
    <x v="104"/>
    <x v="1"/>
    <n v="26.3"/>
    <n v="1.6"/>
    <x v="1"/>
    <n v="2"/>
    <n v="21.64"/>
  </r>
  <r>
    <n v="112"/>
    <x v="5"/>
    <n v="44"/>
    <x v="1"/>
    <n v="61.7"/>
    <n v="1.55"/>
    <n v="196"/>
    <n v="129"/>
    <n v="66"/>
    <x v="39"/>
    <x v="105"/>
    <x v="3"/>
    <n v="33.1"/>
    <n v="2.6"/>
    <x v="0"/>
    <n v="2"/>
    <n v="25.68"/>
  </r>
  <r>
    <n v="113"/>
    <x v="3"/>
    <n v="52"/>
    <x v="0"/>
    <n v="85.5"/>
    <n v="1.82"/>
    <n v="174"/>
    <n v="154"/>
    <n v="57"/>
    <x v="56"/>
    <x v="106"/>
    <x v="0"/>
    <n v="14.9"/>
    <n v="3.5"/>
    <x v="0"/>
    <n v="3"/>
    <n v="25.81"/>
  </r>
  <r>
    <n v="114"/>
    <x v="5"/>
    <n v="18"/>
    <x v="0"/>
    <n v="87.6"/>
    <n v="1.93"/>
    <n v="161"/>
    <n v="139"/>
    <n v="72"/>
    <x v="71"/>
    <x v="107"/>
    <x v="1"/>
    <n v="11.9"/>
    <n v="3.5"/>
    <x v="0"/>
    <n v="3"/>
    <n v="23.52"/>
  </r>
  <r>
    <n v="115"/>
    <x v="8"/>
    <n v="52"/>
    <x v="0"/>
    <n v="82.4"/>
    <n v="1.72"/>
    <n v="166"/>
    <n v="137"/>
    <n v="53"/>
    <x v="69"/>
    <x v="108"/>
    <x v="3"/>
    <n v="24.4"/>
    <n v="2.7"/>
    <x v="0"/>
    <n v="2"/>
    <n v="27.85"/>
  </r>
  <r>
    <n v="116"/>
    <x v="3"/>
    <n v="54"/>
    <x v="0"/>
    <n v="67"/>
    <n v="1.68"/>
    <n v="191"/>
    <n v="164"/>
    <n v="63"/>
    <x v="72"/>
    <x v="109"/>
    <x v="0"/>
    <n v="20.5"/>
    <n v="2.8"/>
    <x v="1"/>
    <n v="1"/>
    <n v="23.74"/>
  </r>
  <r>
    <n v="117"/>
    <x v="4"/>
    <n v="31"/>
    <x v="1"/>
    <n v="42.3"/>
    <n v="1.6"/>
    <n v="163"/>
    <n v="163"/>
    <n v="70"/>
    <x v="58"/>
    <x v="110"/>
    <x v="2"/>
    <n v="25.1"/>
    <n v="1.9"/>
    <x v="1"/>
    <n v="2"/>
    <n v="16.52"/>
  </r>
  <r>
    <n v="118"/>
    <x v="0"/>
    <n v="20"/>
    <x v="0"/>
    <n v="82.7"/>
    <n v="1.99"/>
    <n v="179"/>
    <n v="146"/>
    <n v="59"/>
    <x v="0"/>
    <x v="106"/>
    <x v="1"/>
    <n v="14.6"/>
    <n v="3.5"/>
    <x v="2"/>
    <n v="3"/>
    <n v="20.88"/>
  </r>
  <r>
    <n v="119"/>
    <x v="0"/>
    <n v="18"/>
    <x v="0"/>
    <n v="92.4"/>
    <n v="1.74"/>
    <n v="195"/>
    <n v="168"/>
    <n v="50"/>
    <x v="39"/>
    <x v="111"/>
    <x v="0"/>
    <n v="21.3"/>
    <n v="3.1"/>
    <x v="3"/>
    <n v="1"/>
    <n v="30.52"/>
  </r>
  <r>
    <n v="120"/>
    <x v="9"/>
    <n v="22"/>
    <x v="1"/>
    <n v="63.2"/>
    <n v="1.54"/>
    <n v="191"/>
    <n v="155"/>
    <n v="53"/>
    <x v="73"/>
    <x v="112"/>
    <x v="2"/>
    <n v="29.5"/>
    <n v="2.4"/>
    <x v="0"/>
    <n v="2"/>
    <n v="26.65"/>
  </r>
  <r>
    <n v="121"/>
    <x v="4"/>
    <n v="43"/>
    <x v="0"/>
    <n v="82.7"/>
    <n v="1.85"/>
    <n v="187"/>
    <n v="142"/>
    <n v="50"/>
    <x v="74"/>
    <x v="113"/>
    <x v="0"/>
    <n v="28.2"/>
    <n v="3.1"/>
    <x v="0"/>
    <n v="2"/>
    <n v="24.16"/>
  </r>
  <r>
    <n v="122"/>
    <x v="4"/>
    <n v="31"/>
    <x v="0"/>
    <n v="86.6"/>
    <n v="1.76"/>
    <n v="172"/>
    <n v="151"/>
    <n v="66"/>
    <x v="28"/>
    <x v="114"/>
    <x v="3"/>
    <n v="28.9"/>
    <n v="3.3"/>
    <x v="1"/>
    <n v="2"/>
    <n v="27.96"/>
  </r>
  <r>
    <n v="123"/>
    <x v="5"/>
    <n v="56"/>
    <x v="0"/>
    <n v="129.5"/>
    <n v="1.95"/>
    <n v="160"/>
    <n v="129"/>
    <n v="66"/>
    <x v="75"/>
    <x v="115"/>
    <x v="3"/>
    <n v="25.2"/>
    <n v="3.5"/>
    <x v="3"/>
    <n v="1"/>
    <n v="34.06"/>
  </r>
  <r>
    <n v="124"/>
    <x v="0"/>
    <n v="44"/>
    <x v="0"/>
    <n v="98"/>
    <n v="1.83"/>
    <n v="194"/>
    <n v="130"/>
    <n v="56"/>
    <x v="76"/>
    <x v="116"/>
    <x v="2"/>
    <n v="25.7"/>
    <n v="3.5"/>
    <x v="0"/>
    <n v="2"/>
    <n v="29.26"/>
  </r>
  <r>
    <n v="125"/>
    <x v="8"/>
    <n v="26"/>
    <x v="0"/>
    <n v="86.2"/>
    <n v="1.68"/>
    <n v="189"/>
    <n v="157"/>
    <n v="72"/>
    <x v="47"/>
    <x v="117"/>
    <x v="3"/>
    <n v="13.3"/>
    <n v="3.5"/>
    <x v="2"/>
    <n v="3"/>
    <n v="30.54"/>
  </r>
  <r>
    <n v="126"/>
    <x v="1"/>
    <n v="32"/>
    <x v="0"/>
    <n v="78.599999999999994"/>
    <n v="1.62"/>
    <n v="195"/>
    <n v="125"/>
    <n v="69"/>
    <x v="76"/>
    <x v="118"/>
    <x v="0"/>
    <n v="29.6"/>
    <n v="3.1"/>
    <x v="1"/>
    <n v="1"/>
    <n v="29.95"/>
  </r>
  <r>
    <n v="127"/>
    <x v="1"/>
    <n v="32"/>
    <x v="1"/>
    <n v="59"/>
    <n v="1.66"/>
    <n v="184"/>
    <n v="160"/>
    <n v="64"/>
    <x v="66"/>
    <x v="119"/>
    <x v="2"/>
    <n v="31"/>
    <n v="1.8"/>
    <x v="3"/>
    <n v="1"/>
    <n v="21.41"/>
  </r>
  <r>
    <n v="128"/>
    <x v="3"/>
    <n v="43"/>
    <x v="1"/>
    <n v="57.3"/>
    <n v="1.79"/>
    <n v="175"/>
    <n v="166"/>
    <n v="62"/>
    <x v="77"/>
    <x v="120"/>
    <x v="0"/>
    <n v="17.8"/>
    <n v="2.7"/>
    <x v="0"/>
    <n v="3"/>
    <n v="17.88"/>
  </r>
  <r>
    <n v="129"/>
    <x v="0"/>
    <n v="59"/>
    <x v="0"/>
    <n v="122.3"/>
    <n v="1.89"/>
    <n v="178"/>
    <n v="153"/>
    <n v="51"/>
    <x v="78"/>
    <x v="121"/>
    <x v="0"/>
    <n v="20.100000000000001"/>
    <n v="3.1"/>
    <x v="1"/>
    <n v="1"/>
    <n v="34.24"/>
  </r>
  <r>
    <n v="130"/>
    <x v="0"/>
    <n v="30"/>
    <x v="0"/>
    <n v="85.3"/>
    <n v="1.95"/>
    <n v="160"/>
    <n v="155"/>
    <n v="68"/>
    <x v="79"/>
    <x v="122"/>
    <x v="0"/>
    <n v="10.4"/>
    <n v="3.5"/>
    <x v="2"/>
    <n v="3"/>
    <n v="22.43"/>
  </r>
  <r>
    <n v="131"/>
    <x v="1"/>
    <n v="49"/>
    <x v="1"/>
    <n v="45.2"/>
    <n v="1.74"/>
    <n v="164"/>
    <n v="156"/>
    <n v="73"/>
    <x v="12"/>
    <x v="123"/>
    <x v="3"/>
    <n v="30.8"/>
    <n v="2.1"/>
    <x v="1"/>
    <n v="2"/>
    <n v="14.93"/>
  </r>
  <r>
    <n v="132"/>
    <x v="0"/>
    <n v="56"/>
    <x v="0"/>
    <n v="55.6"/>
    <n v="1.92"/>
    <n v="181"/>
    <n v="136"/>
    <n v="62"/>
    <x v="80"/>
    <x v="124"/>
    <x v="3"/>
    <n v="29.4"/>
    <n v="3.2"/>
    <x v="1"/>
    <n v="1"/>
    <n v="15.08"/>
  </r>
  <r>
    <n v="133"/>
    <x v="5"/>
    <n v="49"/>
    <x v="0"/>
    <n v="82.8"/>
    <n v="1.95"/>
    <n v="183"/>
    <n v="159"/>
    <n v="73"/>
    <x v="81"/>
    <x v="125"/>
    <x v="0"/>
    <n v="14.3"/>
    <n v="3.5"/>
    <x v="2"/>
    <n v="3"/>
    <n v="21.78"/>
  </r>
  <r>
    <n v="134"/>
    <x v="6"/>
    <n v="21"/>
    <x v="0"/>
    <n v="125.2"/>
    <n v="1.66"/>
    <n v="196"/>
    <n v="159"/>
    <n v="60"/>
    <x v="82"/>
    <x v="126"/>
    <x v="1"/>
    <n v="29.8"/>
    <n v="3.4"/>
    <x v="1"/>
    <n v="2"/>
    <n v="45.43"/>
  </r>
  <r>
    <n v="135"/>
    <x v="7"/>
    <n v="47"/>
    <x v="1"/>
    <n v="58.5"/>
    <n v="1.79"/>
    <n v="195"/>
    <n v="131"/>
    <n v="71"/>
    <x v="24"/>
    <x v="127"/>
    <x v="0"/>
    <n v="30.3"/>
    <n v="2.4"/>
    <x v="0"/>
    <n v="2"/>
    <n v="18.260000000000002"/>
  </r>
  <r>
    <n v="136"/>
    <x v="4"/>
    <n v="54"/>
    <x v="0"/>
    <n v="86.1"/>
    <n v="1.95"/>
    <n v="195"/>
    <n v="140"/>
    <n v="64"/>
    <x v="21"/>
    <x v="128"/>
    <x v="0"/>
    <n v="27.9"/>
    <n v="3.4"/>
    <x v="3"/>
    <n v="1"/>
    <n v="22.64"/>
  </r>
  <r>
    <n v="137"/>
    <x v="9"/>
    <n v="40"/>
    <x v="1"/>
    <n v="63.5"/>
    <n v="1.61"/>
    <n v="163"/>
    <n v="159"/>
    <n v="59"/>
    <x v="34"/>
    <x v="129"/>
    <x v="2"/>
    <n v="33.4"/>
    <n v="1.6"/>
    <x v="1"/>
    <n v="2"/>
    <n v="24.5"/>
  </r>
  <r>
    <n v="138"/>
    <x v="3"/>
    <n v="56"/>
    <x v="0"/>
    <n v="69.3"/>
    <n v="1.68"/>
    <n v="195"/>
    <n v="138"/>
    <n v="58"/>
    <x v="78"/>
    <x v="130"/>
    <x v="0"/>
    <n v="26.5"/>
    <n v="2.1"/>
    <x v="3"/>
    <n v="1"/>
    <n v="24.55"/>
  </r>
  <r>
    <n v="139"/>
    <x v="6"/>
    <n v="32"/>
    <x v="1"/>
    <n v="70.5"/>
    <n v="1.62"/>
    <n v="177"/>
    <n v="122"/>
    <n v="58"/>
    <x v="12"/>
    <x v="131"/>
    <x v="3"/>
    <n v="28.4"/>
    <n v="1.8"/>
    <x v="3"/>
    <n v="1"/>
    <n v="26.86"/>
  </r>
  <r>
    <n v="140"/>
    <x v="1"/>
    <n v="46"/>
    <x v="1"/>
    <n v="60.1"/>
    <n v="1.65"/>
    <n v="175"/>
    <n v="137"/>
    <n v="69"/>
    <x v="0"/>
    <x v="132"/>
    <x v="2"/>
    <n v="17.3"/>
    <n v="2.7"/>
    <x v="0"/>
    <n v="3"/>
    <n v="22.08"/>
  </r>
  <r>
    <n v="141"/>
    <x v="4"/>
    <n v="53"/>
    <x v="0"/>
    <n v="94.1"/>
    <n v="1.95"/>
    <n v="177"/>
    <n v="138"/>
    <n v="50"/>
    <x v="50"/>
    <x v="133"/>
    <x v="1"/>
    <n v="28.6"/>
    <n v="3.5"/>
    <x v="1"/>
    <n v="1"/>
    <n v="24.75"/>
  </r>
  <r>
    <n v="142"/>
    <x v="0"/>
    <n v="30"/>
    <x v="1"/>
    <n v="79.2"/>
    <n v="1.62"/>
    <n v="181"/>
    <n v="166"/>
    <n v="66"/>
    <x v="32"/>
    <x v="32"/>
    <x v="2"/>
    <n v="28"/>
    <n v="2.5"/>
    <x v="0"/>
    <n v="2"/>
    <n v="30.18"/>
  </r>
  <r>
    <n v="143"/>
    <x v="9"/>
    <n v="49"/>
    <x v="0"/>
    <n v="115.3"/>
    <n v="1.91"/>
    <n v="161"/>
    <n v="125"/>
    <n v="61"/>
    <x v="82"/>
    <x v="134"/>
    <x v="1"/>
    <n v="29.2"/>
    <n v="3.2"/>
    <x v="3"/>
    <n v="1"/>
    <n v="31.61"/>
  </r>
  <r>
    <n v="144"/>
    <x v="0"/>
    <n v="24"/>
    <x v="1"/>
    <n v="62.9"/>
    <n v="1.79"/>
    <n v="180"/>
    <n v="135"/>
    <n v="59"/>
    <x v="24"/>
    <x v="135"/>
    <x v="2"/>
    <n v="27.3"/>
    <n v="2.2999999999999998"/>
    <x v="0"/>
    <n v="2"/>
    <n v="19.63"/>
  </r>
  <r>
    <n v="145"/>
    <x v="8"/>
    <n v="39"/>
    <x v="0"/>
    <n v="62"/>
    <n v="1.64"/>
    <n v="195"/>
    <n v="127"/>
    <n v="54"/>
    <x v="64"/>
    <x v="136"/>
    <x v="2"/>
    <n v="27.5"/>
    <n v="3.2"/>
    <x v="1"/>
    <n v="1"/>
    <n v="23.05"/>
  </r>
  <r>
    <n v="146"/>
    <x v="8"/>
    <n v="45"/>
    <x v="0"/>
    <n v="88.5"/>
    <n v="1.78"/>
    <n v="198"/>
    <n v="167"/>
    <n v="67"/>
    <x v="83"/>
    <x v="137"/>
    <x v="1"/>
    <n v="13.2"/>
    <n v="3.5"/>
    <x v="0"/>
    <n v="3"/>
    <n v="27.93"/>
  </r>
  <r>
    <n v="147"/>
    <x v="9"/>
    <n v="19"/>
    <x v="1"/>
    <n v="73.900000000000006"/>
    <n v="1.77"/>
    <n v="198"/>
    <n v="137"/>
    <n v="64"/>
    <x v="76"/>
    <x v="138"/>
    <x v="3"/>
    <n v="32.5"/>
    <n v="2.6"/>
    <x v="1"/>
    <n v="2"/>
    <n v="23.59"/>
  </r>
  <r>
    <n v="148"/>
    <x v="9"/>
    <n v="59"/>
    <x v="0"/>
    <n v="50.3"/>
    <n v="1.95"/>
    <n v="188"/>
    <n v="167"/>
    <n v="55"/>
    <x v="53"/>
    <x v="139"/>
    <x v="3"/>
    <n v="24.4"/>
    <n v="3.4"/>
    <x v="1"/>
    <n v="1"/>
    <n v="13.23"/>
  </r>
  <r>
    <n v="149"/>
    <x v="1"/>
    <n v="23"/>
    <x v="0"/>
    <n v="83.1"/>
    <n v="1.8"/>
    <n v="185"/>
    <n v="162"/>
    <n v="56"/>
    <x v="84"/>
    <x v="140"/>
    <x v="3"/>
    <n v="29.3"/>
    <n v="3.1"/>
    <x v="1"/>
    <n v="1"/>
    <n v="25.65"/>
  </r>
  <r>
    <n v="150"/>
    <x v="9"/>
    <n v="45"/>
    <x v="1"/>
    <n v="65.099999999999994"/>
    <n v="1.78"/>
    <n v="180"/>
    <n v="158"/>
    <n v="66"/>
    <x v="85"/>
    <x v="141"/>
    <x v="2"/>
    <n v="31.3"/>
    <n v="2.2999999999999998"/>
    <x v="1"/>
    <n v="1"/>
    <n v="20.55"/>
  </r>
  <r>
    <n v="151"/>
    <x v="5"/>
    <n v="45"/>
    <x v="0"/>
    <n v="46.6"/>
    <n v="1.79"/>
    <n v="176"/>
    <n v="168"/>
    <n v="55"/>
    <x v="85"/>
    <x v="142"/>
    <x v="0"/>
    <n v="22.9"/>
    <n v="2.4"/>
    <x v="1"/>
    <n v="2"/>
    <n v="14.54"/>
  </r>
  <r>
    <n v="152"/>
    <x v="0"/>
    <n v="37"/>
    <x v="0"/>
    <n v="103.5"/>
    <n v="1.89"/>
    <n v="175"/>
    <n v="168"/>
    <n v="57"/>
    <x v="63"/>
    <x v="143"/>
    <x v="2"/>
    <n v="26.4"/>
    <n v="3.1"/>
    <x v="3"/>
    <n v="1"/>
    <n v="28.97"/>
  </r>
  <r>
    <n v="153"/>
    <x v="6"/>
    <n v="47"/>
    <x v="1"/>
    <n v="61.9"/>
    <n v="1.54"/>
    <n v="190"/>
    <n v="131"/>
    <n v="61"/>
    <x v="86"/>
    <x v="56"/>
    <x v="0"/>
    <n v="16.399999999999999"/>
    <n v="2.7"/>
    <x v="0"/>
    <n v="3"/>
    <n v="26.1"/>
  </r>
  <r>
    <n v="154"/>
    <x v="2"/>
    <n v="28"/>
    <x v="1"/>
    <n v="52"/>
    <n v="1.61"/>
    <n v="168"/>
    <n v="164"/>
    <n v="70"/>
    <x v="31"/>
    <x v="144"/>
    <x v="0"/>
    <n v="27.9"/>
    <n v="2"/>
    <x v="1"/>
    <n v="2"/>
    <n v="20.059999999999999"/>
  </r>
  <r>
    <n v="155"/>
    <x v="9"/>
    <n v="45"/>
    <x v="0"/>
    <n v="113.4"/>
    <n v="1.71"/>
    <n v="190"/>
    <n v="129"/>
    <n v="63"/>
    <x v="87"/>
    <x v="145"/>
    <x v="3"/>
    <n v="24"/>
    <n v="2.2999999999999998"/>
    <x v="3"/>
    <n v="1"/>
    <n v="38.78"/>
  </r>
  <r>
    <n v="156"/>
    <x v="3"/>
    <n v="42"/>
    <x v="0"/>
    <n v="62.9"/>
    <n v="1.98"/>
    <n v="173"/>
    <n v="126"/>
    <n v="61"/>
    <x v="24"/>
    <x v="146"/>
    <x v="0"/>
    <n v="28.5"/>
    <n v="3.4"/>
    <x v="0"/>
    <n v="2"/>
    <n v="16.04"/>
  </r>
  <r>
    <n v="157"/>
    <x v="8"/>
    <n v="56"/>
    <x v="1"/>
    <n v="40.4"/>
    <n v="1.8"/>
    <n v="196"/>
    <n v="165"/>
    <n v="72"/>
    <x v="40"/>
    <x v="147"/>
    <x v="2"/>
    <n v="30"/>
    <n v="2.1"/>
    <x v="0"/>
    <n v="2"/>
    <n v="12.47"/>
  </r>
  <r>
    <n v="158"/>
    <x v="5"/>
    <n v="50"/>
    <x v="1"/>
    <n v="67.099999999999994"/>
    <n v="1.75"/>
    <n v="161"/>
    <n v="120"/>
    <n v="59"/>
    <x v="88"/>
    <x v="148"/>
    <x v="2"/>
    <n v="31.8"/>
    <n v="2.7"/>
    <x v="1"/>
    <n v="1"/>
    <n v="21.91"/>
  </r>
  <r>
    <n v="159"/>
    <x v="4"/>
    <n v="18"/>
    <x v="0"/>
    <n v="70"/>
    <n v="1.61"/>
    <n v="173"/>
    <n v="168"/>
    <n v="71"/>
    <x v="1"/>
    <x v="149"/>
    <x v="3"/>
    <n v="23.9"/>
    <n v="2.5"/>
    <x v="3"/>
    <n v="1"/>
    <n v="27.01"/>
  </r>
  <r>
    <n v="160"/>
    <x v="2"/>
    <n v="44"/>
    <x v="1"/>
    <n v="69.5"/>
    <n v="1.75"/>
    <n v="192"/>
    <n v="155"/>
    <n v="69"/>
    <x v="73"/>
    <x v="150"/>
    <x v="1"/>
    <n v="27.6"/>
    <n v="2.1"/>
    <x v="1"/>
    <n v="1"/>
    <n v="22.69"/>
  </r>
  <r>
    <n v="161"/>
    <x v="6"/>
    <n v="30"/>
    <x v="0"/>
    <n v="107.9"/>
    <n v="1.66"/>
    <n v="194"/>
    <n v="140"/>
    <n v="64"/>
    <x v="9"/>
    <x v="55"/>
    <x v="2"/>
    <n v="29.5"/>
    <n v="2.8"/>
    <x v="1"/>
    <n v="2"/>
    <n v="39.159999999999997"/>
  </r>
  <r>
    <n v="162"/>
    <x v="2"/>
    <n v="58"/>
    <x v="0"/>
    <n v="109"/>
    <n v="1.91"/>
    <n v="198"/>
    <n v="156"/>
    <n v="56"/>
    <x v="6"/>
    <x v="151"/>
    <x v="0"/>
    <n v="26"/>
    <n v="2.2000000000000002"/>
    <x v="1"/>
    <n v="2"/>
    <n v="29.88"/>
  </r>
  <r>
    <n v="163"/>
    <x v="9"/>
    <n v="20"/>
    <x v="0"/>
    <n v="101"/>
    <n v="1.91"/>
    <n v="179"/>
    <n v="143"/>
    <n v="58"/>
    <x v="89"/>
    <x v="152"/>
    <x v="2"/>
    <n v="29.3"/>
    <n v="2.7"/>
    <x v="1"/>
    <n v="2"/>
    <n v="27.69"/>
  </r>
  <r>
    <n v="164"/>
    <x v="1"/>
    <n v="56"/>
    <x v="0"/>
    <n v="88.5"/>
    <n v="1.85"/>
    <n v="161"/>
    <n v="144"/>
    <n v="59"/>
    <x v="90"/>
    <x v="153"/>
    <x v="2"/>
    <n v="11"/>
    <n v="3.5"/>
    <x v="0"/>
    <n v="3"/>
    <n v="25.86"/>
  </r>
  <r>
    <n v="165"/>
    <x v="8"/>
    <n v="23"/>
    <x v="0"/>
    <n v="80.900000000000006"/>
    <n v="1.8"/>
    <n v="178"/>
    <n v="126"/>
    <n v="59"/>
    <x v="91"/>
    <x v="154"/>
    <x v="2"/>
    <n v="10.7"/>
    <n v="3.5"/>
    <x v="0"/>
    <n v="3"/>
    <n v="24.97"/>
  </r>
  <r>
    <n v="166"/>
    <x v="8"/>
    <n v="25"/>
    <x v="1"/>
    <n v="43.1"/>
    <n v="1.62"/>
    <n v="196"/>
    <n v="161"/>
    <n v="65"/>
    <x v="29"/>
    <x v="127"/>
    <x v="1"/>
    <n v="33.6"/>
    <n v="1.8"/>
    <x v="0"/>
    <n v="2"/>
    <n v="16.420000000000002"/>
  </r>
  <r>
    <n v="167"/>
    <x v="4"/>
    <n v="44"/>
    <x v="1"/>
    <n v="59.1"/>
    <n v="1.52"/>
    <n v="177"/>
    <n v="136"/>
    <n v="56"/>
    <x v="92"/>
    <x v="155"/>
    <x v="0"/>
    <n v="18.399999999999999"/>
    <n v="2.7"/>
    <x v="2"/>
    <n v="3"/>
    <n v="25.58"/>
  </r>
  <r>
    <n v="168"/>
    <x v="1"/>
    <n v="26"/>
    <x v="1"/>
    <n v="54"/>
    <n v="1.53"/>
    <n v="175"/>
    <n v="148"/>
    <n v="54"/>
    <x v="36"/>
    <x v="156"/>
    <x v="3"/>
    <n v="26.9"/>
    <n v="1.7"/>
    <x v="1"/>
    <n v="1"/>
    <n v="23.07"/>
  </r>
  <r>
    <n v="169"/>
    <x v="0"/>
    <n v="54"/>
    <x v="1"/>
    <n v="72.3"/>
    <n v="1.78"/>
    <n v="163"/>
    <n v="149"/>
    <n v="72"/>
    <x v="7"/>
    <x v="157"/>
    <x v="2"/>
    <n v="27.7"/>
    <n v="1.8"/>
    <x v="3"/>
    <n v="1"/>
    <n v="22.82"/>
  </r>
  <r>
    <n v="170"/>
    <x v="7"/>
    <n v="50"/>
    <x v="0"/>
    <n v="51.1"/>
    <n v="1.98"/>
    <n v="171"/>
    <n v="126"/>
    <n v="52"/>
    <x v="93"/>
    <x v="158"/>
    <x v="0"/>
    <n v="28"/>
    <n v="2.4"/>
    <x v="3"/>
    <n v="1"/>
    <n v="13.03"/>
  </r>
  <r>
    <n v="171"/>
    <x v="5"/>
    <n v="59"/>
    <x v="0"/>
    <n v="89.4"/>
    <n v="1.72"/>
    <n v="188"/>
    <n v="152"/>
    <n v="67"/>
    <x v="9"/>
    <x v="159"/>
    <x v="0"/>
    <n v="24.5"/>
    <n v="3.2"/>
    <x v="1"/>
    <n v="1"/>
    <n v="30.22"/>
  </r>
  <r>
    <n v="172"/>
    <x v="8"/>
    <n v="41"/>
    <x v="0"/>
    <n v="51.5"/>
    <n v="1.8"/>
    <n v="166"/>
    <n v="126"/>
    <n v="60"/>
    <x v="58"/>
    <x v="160"/>
    <x v="3"/>
    <n v="26.7"/>
    <n v="2.1"/>
    <x v="0"/>
    <n v="2"/>
    <n v="15.9"/>
  </r>
  <r>
    <n v="173"/>
    <x v="3"/>
    <n v="32"/>
    <x v="0"/>
    <n v="87.9"/>
    <n v="1.88"/>
    <n v="173"/>
    <n v="143"/>
    <n v="64"/>
    <x v="30"/>
    <x v="14"/>
    <x v="2"/>
    <n v="11.6"/>
    <n v="3.5"/>
    <x v="2"/>
    <n v="3"/>
    <n v="24.87"/>
  </r>
  <r>
    <n v="174"/>
    <x v="8"/>
    <n v="49"/>
    <x v="1"/>
    <n v="42"/>
    <n v="1.52"/>
    <n v="171"/>
    <n v="130"/>
    <n v="70"/>
    <x v="94"/>
    <x v="161"/>
    <x v="1"/>
    <n v="28.8"/>
    <n v="2.2000000000000002"/>
    <x v="1"/>
    <n v="1"/>
    <n v="18.18"/>
  </r>
  <r>
    <n v="175"/>
    <x v="2"/>
    <n v="49"/>
    <x v="0"/>
    <n v="79.2"/>
    <n v="1.72"/>
    <n v="194"/>
    <n v="128"/>
    <n v="69"/>
    <x v="85"/>
    <x v="24"/>
    <x v="0"/>
    <n v="29.9"/>
    <n v="3.3"/>
    <x v="1"/>
    <n v="1"/>
    <n v="26.77"/>
  </r>
  <r>
    <n v="176"/>
    <x v="8"/>
    <n v="41"/>
    <x v="0"/>
    <n v="64.8"/>
    <n v="1.71"/>
    <n v="164"/>
    <n v="131"/>
    <n v="54"/>
    <x v="37"/>
    <x v="162"/>
    <x v="3"/>
    <n v="22.5"/>
    <n v="2.8"/>
    <x v="1"/>
    <n v="2"/>
    <n v="22.16"/>
  </r>
  <r>
    <n v="177"/>
    <x v="8"/>
    <n v="58"/>
    <x v="1"/>
    <n v="63"/>
    <n v="1.78"/>
    <n v="176"/>
    <n v="154"/>
    <n v="73"/>
    <x v="92"/>
    <x v="163"/>
    <x v="1"/>
    <n v="17.5"/>
    <n v="2.7"/>
    <x v="0"/>
    <n v="3"/>
    <n v="19.88"/>
  </r>
  <r>
    <n v="178"/>
    <x v="7"/>
    <n v="29"/>
    <x v="1"/>
    <n v="56.2"/>
    <n v="1.77"/>
    <n v="191"/>
    <n v="123"/>
    <n v="61"/>
    <x v="80"/>
    <x v="164"/>
    <x v="0"/>
    <n v="33.4"/>
    <n v="2.6"/>
    <x v="1"/>
    <n v="1"/>
    <n v="17.940000000000001"/>
  </r>
  <r>
    <n v="179"/>
    <x v="7"/>
    <n v="56"/>
    <x v="1"/>
    <n v="52.9"/>
    <n v="1.64"/>
    <n v="169"/>
    <n v="155"/>
    <n v="53"/>
    <x v="94"/>
    <x v="165"/>
    <x v="2"/>
    <n v="27.4"/>
    <n v="2.2999999999999998"/>
    <x v="1"/>
    <n v="2"/>
    <n v="19.670000000000002"/>
  </r>
  <r>
    <n v="180"/>
    <x v="6"/>
    <n v="19"/>
    <x v="1"/>
    <n v="49"/>
    <n v="1.69"/>
    <n v="176"/>
    <n v="147"/>
    <n v="64"/>
    <x v="95"/>
    <x v="46"/>
    <x v="0"/>
    <n v="29.2"/>
    <n v="2.4"/>
    <x v="1"/>
    <n v="1"/>
    <n v="17.16"/>
  </r>
  <r>
    <n v="181"/>
    <x v="0"/>
    <n v="20"/>
    <x v="0"/>
    <n v="128.19999999999999"/>
    <n v="1.84"/>
    <n v="164"/>
    <n v="132"/>
    <n v="58"/>
    <x v="87"/>
    <x v="166"/>
    <x v="1"/>
    <n v="26.2"/>
    <n v="2.2999999999999998"/>
    <x v="1"/>
    <n v="1"/>
    <n v="37.869999999999997"/>
  </r>
  <r>
    <n v="182"/>
    <x v="3"/>
    <n v="54"/>
    <x v="0"/>
    <n v="83.6"/>
    <n v="1.86"/>
    <n v="168"/>
    <n v="142"/>
    <n v="56"/>
    <x v="96"/>
    <x v="144"/>
    <x v="1"/>
    <n v="12.4"/>
    <n v="3.5"/>
    <x v="2"/>
    <n v="3"/>
    <n v="24.16"/>
  </r>
  <r>
    <n v="183"/>
    <x v="8"/>
    <n v="34"/>
    <x v="1"/>
    <n v="56.2"/>
    <n v="1.77"/>
    <n v="192"/>
    <n v="138"/>
    <n v="59"/>
    <x v="51"/>
    <x v="167"/>
    <x v="2"/>
    <n v="17.3"/>
    <n v="2.7"/>
    <x v="2"/>
    <n v="3"/>
    <n v="17.940000000000001"/>
  </r>
  <r>
    <n v="184"/>
    <x v="8"/>
    <n v="19"/>
    <x v="0"/>
    <n v="87.8"/>
    <n v="1.78"/>
    <n v="195"/>
    <n v="161"/>
    <n v="72"/>
    <x v="76"/>
    <x v="50"/>
    <x v="2"/>
    <n v="23.6"/>
    <n v="3.3"/>
    <x v="3"/>
    <n v="1"/>
    <n v="27.71"/>
  </r>
  <r>
    <n v="185"/>
    <x v="5"/>
    <n v="19"/>
    <x v="0"/>
    <n v="85.9"/>
    <n v="1.85"/>
    <n v="195"/>
    <n v="156"/>
    <n v="62"/>
    <x v="97"/>
    <x v="168"/>
    <x v="3"/>
    <n v="12.9"/>
    <n v="3.5"/>
    <x v="0"/>
    <n v="3"/>
    <n v="25.1"/>
  </r>
  <r>
    <n v="186"/>
    <x v="7"/>
    <n v="45"/>
    <x v="0"/>
    <n v="51.1"/>
    <n v="1.87"/>
    <n v="177"/>
    <n v="158"/>
    <n v="57"/>
    <x v="70"/>
    <x v="169"/>
    <x v="2"/>
    <n v="26.2"/>
    <n v="3.4"/>
    <x v="0"/>
    <n v="2"/>
    <n v="14.61"/>
  </r>
  <r>
    <n v="187"/>
    <x v="3"/>
    <n v="40"/>
    <x v="1"/>
    <n v="57.4"/>
    <n v="1.71"/>
    <n v="168"/>
    <n v="143"/>
    <n v="61"/>
    <x v="55"/>
    <x v="170"/>
    <x v="3"/>
    <n v="18.3"/>
    <n v="2.7"/>
    <x v="2"/>
    <n v="3"/>
    <n v="19.63"/>
  </r>
  <r>
    <n v="188"/>
    <x v="4"/>
    <n v="54"/>
    <x v="0"/>
    <n v="114.9"/>
    <n v="1.92"/>
    <n v="188"/>
    <n v="135"/>
    <n v="71"/>
    <x v="37"/>
    <x v="171"/>
    <x v="1"/>
    <n v="20.7"/>
    <n v="2.6"/>
    <x v="0"/>
    <n v="2"/>
    <n v="31.17"/>
  </r>
  <r>
    <n v="189"/>
    <x v="6"/>
    <n v="49"/>
    <x v="1"/>
    <n v="62.1"/>
    <n v="1.66"/>
    <n v="173"/>
    <n v="152"/>
    <n v="73"/>
    <x v="18"/>
    <x v="172"/>
    <x v="1"/>
    <n v="31.3"/>
    <n v="1.8"/>
    <x v="1"/>
    <n v="2"/>
    <n v="22.54"/>
  </r>
  <r>
    <n v="190"/>
    <x v="0"/>
    <n v="50"/>
    <x v="0"/>
    <n v="57.1"/>
    <n v="1.91"/>
    <n v="184"/>
    <n v="131"/>
    <n v="68"/>
    <x v="58"/>
    <x v="173"/>
    <x v="0"/>
    <n v="29.5"/>
    <n v="2.7"/>
    <x v="0"/>
    <n v="2"/>
    <n v="15.65"/>
  </r>
  <r>
    <n v="191"/>
    <x v="1"/>
    <n v="18"/>
    <x v="0"/>
    <n v="68.099999999999994"/>
    <n v="1.8"/>
    <n v="174"/>
    <n v="153"/>
    <n v="50"/>
    <x v="94"/>
    <x v="174"/>
    <x v="0"/>
    <n v="25.4"/>
    <n v="3.3"/>
    <x v="0"/>
    <n v="2"/>
    <n v="21.02"/>
  </r>
  <r>
    <n v="192"/>
    <x v="0"/>
    <n v="36"/>
    <x v="0"/>
    <n v="69.2"/>
    <n v="1.65"/>
    <n v="165"/>
    <n v="126"/>
    <n v="65"/>
    <x v="40"/>
    <x v="157"/>
    <x v="3"/>
    <n v="27.2"/>
    <n v="2.7"/>
    <x v="1"/>
    <n v="1"/>
    <n v="25.42"/>
  </r>
  <r>
    <n v="193"/>
    <x v="2"/>
    <n v="19"/>
    <x v="1"/>
    <n v="65.2"/>
    <n v="1.52"/>
    <n v="188"/>
    <n v="130"/>
    <n v="71"/>
    <x v="40"/>
    <x v="175"/>
    <x v="2"/>
    <n v="30.6"/>
    <n v="2.4"/>
    <x v="1"/>
    <n v="1"/>
    <n v="28.22"/>
  </r>
  <r>
    <n v="194"/>
    <x v="8"/>
    <n v="43"/>
    <x v="0"/>
    <n v="108.6"/>
    <n v="1.73"/>
    <n v="174"/>
    <n v="150"/>
    <n v="66"/>
    <x v="16"/>
    <x v="176"/>
    <x v="2"/>
    <n v="28.5"/>
    <n v="2.2000000000000002"/>
    <x v="3"/>
    <n v="1"/>
    <n v="36.29"/>
  </r>
  <r>
    <n v="195"/>
    <x v="6"/>
    <n v="49"/>
    <x v="1"/>
    <n v="40"/>
    <n v="1.65"/>
    <n v="188"/>
    <n v="148"/>
    <n v="74"/>
    <x v="8"/>
    <x v="177"/>
    <x v="0"/>
    <n v="34.299999999999997"/>
    <n v="2.5"/>
    <x v="1"/>
    <n v="2"/>
    <n v="14.69"/>
  </r>
  <r>
    <n v="196"/>
    <x v="2"/>
    <n v="23"/>
    <x v="1"/>
    <n v="41.9"/>
    <n v="1.58"/>
    <n v="163"/>
    <n v="132"/>
    <n v="67"/>
    <x v="45"/>
    <x v="178"/>
    <x v="1"/>
    <n v="26.8"/>
    <n v="1.8"/>
    <x v="1"/>
    <n v="1"/>
    <n v="16.78"/>
  </r>
  <r>
    <n v="197"/>
    <x v="3"/>
    <n v="49"/>
    <x v="1"/>
    <n v="68.3"/>
    <n v="1.52"/>
    <n v="177"/>
    <n v="150"/>
    <n v="60"/>
    <x v="35"/>
    <x v="104"/>
    <x v="3"/>
    <n v="29.4"/>
    <n v="1.8"/>
    <x v="0"/>
    <n v="2"/>
    <n v="29.56"/>
  </r>
  <r>
    <n v="198"/>
    <x v="1"/>
    <n v="21"/>
    <x v="0"/>
    <n v="88.4"/>
    <n v="1.6"/>
    <n v="198"/>
    <n v="121"/>
    <n v="67"/>
    <x v="98"/>
    <x v="179"/>
    <x v="1"/>
    <n v="12"/>
    <n v="3.5"/>
    <x v="0"/>
    <n v="3"/>
    <n v="34.53"/>
  </r>
  <r>
    <n v="199"/>
    <x v="7"/>
    <n v="28"/>
    <x v="0"/>
    <n v="66"/>
    <n v="1.9"/>
    <n v="175"/>
    <n v="158"/>
    <n v="56"/>
    <x v="13"/>
    <x v="180"/>
    <x v="1"/>
    <n v="24.1"/>
    <n v="3"/>
    <x v="1"/>
    <n v="1"/>
    <n v="18.28"/>
  </r>
  <r>
    <n v="200"/>
    <x v="6"/>
    <n v="34"/>
    <x v="0"/>
    <n v="71.900000000000006"/>
    <n v="1.64"/>
    <n v="170"/>
    <n v="134"/>
    <n v="67"/>
    <x v="32"/>
    <x v="181"/>
    <x v="2"/>
    <n v="21.3"/>
    <n v="2.1"/>
    <x v="0"/>
    <n v="2"/>
    <n v="26.73"/>
  </r>
  <r>
    <n v="201"/>
    <x v="6"/>
    <n v="55"/>
    <x v="0"/>
    <n v="75.599999999999994"/>
    <n v="1.71"/>
    <n v="173"/>
    <n v="130"/>
    <n v="57"/>
    <x v="8"/>
    <x v="73"/>
    <x v="3"/>
    <n v="28.1"/>
    <n v="2"/>
    <x v="0"/>
    <n v="2"/>
    <n v="25.85"/>
  </r>
  <r>
    <n v="202"/>
    <x v="8"/>
    <n v="41"/>
    <x v="1"/>
    <n v="63.4"/>
    <n v="1.59"/>
    <n v="162"/>
    <n v="153"/>
    <n v="55"/>
    <x v="99"/>
    <x v="182"/>
    <x v="1"/>
    <n v="15.2"/>
    <n v="2.7"/>
    <x v="2"/>
    <n v="3"/>
    <n v="25.08"/>
  </r>
  <r>
    <n v="203"/>
    <x v="9"/>
    <n v="22"/>
    <x v="1"/>
    <n v="71.599999999999994"/>
    <n v="1.77"/>
    <n v="197"/>
    <n v="158"/>
    <n v="56"/>
    <x v="6"/>
    <x v="183"/>
    <x v="0"/>
    <n v="30.3"/>
    <n v="1.8"/>
    <x v="1"/>
    <n v="1"/>
    <n v="22.85"/>
  </r>
  <r>
    <n v="204"/>
    <x v="6"/>
    <n v="51"/>
    <x v="1"/>
    <n v="57.4"/>
    <n v="1.77"/>
    <n v="177"/>
    <n v="123"/>
    <n v="72"/>
    <x v="9"/>
    <x v="184"/>
    <x v="0"/>
    <n v="31.6"/>
    <n v="2.1"/>
    <x v="0"/>
    <n v="2"/>
    <n v="18.32"/>
  </r>
  <r>
    <n v="205"/>
    <x v="5"/>
    <n v="23"/>
    <x v="0"/>
    <n v="83.8"/>
    <n v="1.99"/>
    <n v="179"/>
    <n v="130"/>
    <n v="71"/>
    <x v="65"/>
    <x v="185"/>
    <x v="2"/>
    <n v="11"/>
    <n v="3.5"/>
    <x v="0"/>
    <n v="3"/>
    <n v="21.16"/>
  </r>
  <r>
    <n v="206"/>
    <x v="1"/>
    <n v="39"/>
    <x v="1"/>
    <n v="55.9"/>
    <n v="1.71"/>
    <n v="184"/>
    <n v="148"/>
    <n v="59"/>
    <x v="86"/>
    <x v="186"/>
    <x v="0"/>
    <n v="19.5"/>
    <n v="2.7"/>
    <x v="2"/>
    <n v="3"/>
    <n v="19.12"/>
  </r>
  <r>
    <n v="207"/>
    <x v="1"/>
    <n v="28"/>
    <x v="0"/>
    <n v="87"/>
    <n v="1.76"/>
    <n v="197"/>
    <n v="121"/>
    <n v="60"/>
    <x v="37"/>
    <x v="187"/>
    <x v="0"/>
    <n v="28.4"/>
    <n v="3.5"/>
    <x v="1"/>
    <n v="2"/>
    <n v="28.09"/>
  </r>
  <r>
    <n v="208"/>
    <x v="5"/>
    <n v="33"/>
    <x v="1"/>
    <n v="65.3"/>
    <n v="1.71"/>
    <n v="172"/>
    <n v="135"/>
    <n v="74"/>
    <x v="13"/>
    <x v="188"/>
    <x v="1"/>
    <n v="29.7"/>
    <n v="2.5"/>
    <x v="0"/>
    <n v="2"/>
    <n v="22.33"/>
  </r>
  <r>
    <n v="209"/>
    <x v="4"/>
    <n v="50"/>
    <x v="0"/>
    <n v="45.4"/>
    <n v="1.67"/>
    <n v="163"/>
    <n v="158"/>
    <n v="62"/>
    <x v="18"/>
    <x v="114"/>
    <x v="0"/>
    <n v="24.1"/>
    <n v="2.8"/>
    <x v="0"/>
    <n v="2"/>
    <n v="16.28"/>
  </r>
  <r>
    <n v="210"/>
    <x v="5"/>
    <n v="26"/>
    <x v="0"/>
    <n v="87.1"/>
    <n v="1.87"/>
    <n v="173"/>
    <n v="132"/>
    <n v="58"/>
    <x v="98"/>
    <x v="189"/>
    <x v="0"/>
    <n v="11.2"/>
    <n v="3.5"/>
    <x v="0"/>
    <n v="3"/>
    <n v="24.91"/>
  </r>
  <r>
    <n v="211"/>
    <x v="5"/>
    <n v="23"/>
    <x v="1"/>
    <n v="78.599999999999994"/>
    <n v="1.73"/>
    <n v="192"/>
    <n v="156"/>
    <n v="56"/>
    <x v="43"/>
    <x v="190"/>
    <x v="1"/>
    <n v="32.299999999999997"/>
    <n v="1.5"/>
    <x v="0"/>
    <n v="2"/>
    <n v="26.26"/>
  </r>
  <r>
    <n v="212"/>
    <x v="1"/>
    <n v="33"/>
    <x v="1"/>
    <n v="78"/>
    <n v="1.71"/>
    <n v="187"/>
    <n v="136"/>
    <n v="58"/>
    <x v="9"/>
    <x v="41"/>
    <x v="2"/>
    <n v="26.3"/>
    <n v="2.1"/>
    <x v="1"/>
    <n v="1"/>
    <n v="26.67"/>
  </r>
  <r>
    <n v="213"/>
    <x v="0"/>
    <n v="46"/>
    <x v="1"/>
    <n v="58"/>
    <n v="1.53"/>
    <n v="196"/>
    <n v="140"/>
    <n v="62"/>
    <x v="100"/>
    <x v="191"/>
    <x v="2"/>
    <n v="18.399999999999999"/>
    <n v="2.7"/>
    <x v="0"/>
    <n v="3"/>
    <n v="24.78"/>
  </r>
  <r>
    <n v="214"/>
    <x v="1"/>
    <n v="20"/>
    <x v="1"/>
    <n v="71.3"/>
    <n v="1.69"/>
    <n v="167"/>
    <n v="163"/>
    <n v="52"/>
    <x v="76"/>
    <x v="192"/>
    <x v="3"/>
    <n v="33.4"/>
    <n v="2.2999999999999998"/>
    <x v="1"/>
    <n v="2"/>
    <n v="24.96"/>
  </r>
  <r>
    <n v="215"/>
    <x v="9"/>
    <n v="37"/>
    <x v="0"/>
    <n v="49.1"/>
    <n v="1.74"/>
    <n v="193"/>
    <n v="138"/>
    <n v="52"/>
    <x v="2"/>
    <x v="193"/>
    <x v="0"/>
    <n v="22.3"/>
    <n v="2.6"/>
    <x v="1"/>
    <n v="2"/>
    <n v="16.22"/>
  </r>
  <r>
    <n v="216"/>
    <x v="8"/>
    <n v="53"/>
    <x v="1"/>
    <n v="78.3"/>
    <n v="1.65"/>
    <n v="164"/>
    <n v="126"/>
    <n v="50"/>
    <x v="12"/>
    <x v="194"/>
    <x v="1"/>
    <n v="33.700000000000003"/>
    <n v="1.6"/>
    <x v="1"/>
    <n v="1"/>
    <n v="28.76"/>
  </r>
  <r>
    <n v="217"/>
    <x v="2"/>
    <n v="36"/>
    <x v="1"/>
    <n v="57.3"/>
    <n v="1.64"/>
    <n v="164"/>
    <n v="157"/>
    <n v="70"/>
    <x v="15"/>
    <x v="195"/>
    <x v="3"/>
    <n v="25.3"/>
    <n v="1.8"/>
    <x v="0"/>
    <n v="2"/>
    <n v="21.3"/>
  </r>
  <r>
    <n v="218"/>
    <x v="0"/>
    <n v="43"/>
    <x v="1"/>
    <n v="48.4"/>
    <n v="1.61"/>
    <n v="190"/>
    <n v="127"/>
    <n v="69"/>
    <x v="76"/>
    <x v="196"/>
    <x v="2"/>
    <n v="34.1"/>
    <n v="2.4"/>
    <x v="3"/>
    <n v="1"/>
    <n v="18.670000000000002"/>
  </r>
  <r>
    <n v="219"/>
    <x v="7"/>
    <n v="20"/>
    <x v="0"/>
    <n v="76.400000000000006"/>
    <n v="1.62"/>
    <n v="168"/>
    <n v="132"/>
    <n v="51"/>
    <x v="14"/>
    <x v="197"/>
    <x v="2"/>
    <n v="21.2"/>
    <n v="2.6"/>
    <x v="0"/>
    <n v="2"/>
    <n v="29.11"/>
  </r>
  <r>
    <n v="220"/>
    <x v="2"/>
    <n v="36"/>
    <x v="0"/>
    <n v="110.2"/>
    <n v="1.77"/>
    <n v="191"/>
    <n v="156"/>
    <n v="74"/>
    <x v="17"/>
    <x v="54"/>
    <x v="1"/>
    <n v="26.5"/>
    <n v="3.4"/>
    <x v="3"/>
    <n v="1"/>
    <n v="35.18"/>
  </r>
  <r>
    <n v="221"/>
    <x v="8"/>
    <n v="37"/>
    <x v="1"/>
    <n v="72.900000000000006"/>
    <n v="1.76"/>
    <n v="192"/>
    <n v="121"/>
    <n v="52"/>
    <x v="101"/>
    <x v="196"/>
    <x v="3"/>
    <n v="27.5"/>
    <n v="1.9"/>
    <x v="1"/>
    <n v="2"/>
    <n v="23.53"/>
  </r>
  <r>
    <n v="222"/>
    <x v="9"/>
    <n v="49"/>
    <x v="0"/>
    <n v="82.1"/>
    <n v="1.86"/>
    <n v="162"/>
    <n v="160"/>
    <n v="64"/>
    <x v="55"/>
    <x v="198"/>
    <x v="3"/>
    <n v="14.2"/>
    <n v="3.5"/>
    <x v="0"/>
    <n v="3"/>
    <n v="23.73"/>
  </r>
  <r>
    <n v="223"/>
    <x v="9"/>
    <n v="24"/>
    <x v="1"/>
    <n v="58.9"/>
    <n v="1.76"/>
    <n v="189"/>
    <n v="130"/>
    <n v="73"/>
    <x v="54"/>
    <x v="199"/>
    <x v="1"/>
    <n v="30.1"/>
    <n v="1.7"/>
    <x v="1"/>
    <n v="1"/>
    <n v="19.010000000000002"/>
  </r>
  <r>
    <n v="224"/>
    <x v="7"/>
    <n v="58"/>
    <x v="0"/>
    <n v="82.2"/>
    <n v="1.87"/>
    <n v="171"/>
    <n v="143"/>
    <n v="55"/>
    <x v="90"/>
    <x v="16"/>
    <x v="1"/>
    <n v="10.7"/>
    <n v="3.5"/>
    <x v="0"/>
    <n v="3"/>
    <n v="23.51"/>
  </r>
  <r>
    <n v="225"/>
    <x v="0"/>
    <n v="50"/>
    <x v="0"/>
    <n v="96.7"/>
    <n v="1.72"/>
    <n v="188"/>
    <n v="125"/>
    <n v="62"/>
    <x v="85"/>
    <x v="200"/>
    <x v="3"/>
    <n v="25.7"/>
    <n v="2.7"/>
    <x v="1"/>
    <n v="2"/>
    <n v="32.69"/>
  </r>
  <r>
    <n v="226"/>
    <x v="4"/>
    <n v="57"/>
    <x v="0"/>
    <n v="81.400000000000006"/>
    <n v="1.86"/>
    <n v="162"/>
    <n v="145"/>
    <n v="70"/>
    <x v="60"/>
    <x v="201"/>
    <x v="2"/>
    <n v="12"/>
    <n v="3.5"/>
    <x v="2"/>
    <n v="3"/>
    <n v="23.53"/>
  </r>
  <r>
    <n v="227"/>
    <x v="5"/>
    <n v="56"/>
    <x v="0"/>
    <n v="107.8"/>
    <n v="1.73"/>
    <n v="185"/>
    <n v="126"/>
    <n v="50"/>
    <x v="58"/>
    <x v="160"/>
    <x v="0"/>
    <n v="26.6"/>
    <n v="2.8"/>
    <x v="1"/>
    <n v="2"/>
    <n v="36.020000000000003"/>
  </r>
  <r>
    <n v="228"/>
    <x v="0"/>
    <n v="35"/>
    <x v="1"/>
    <n v="65.8"/>
    <n v="1.62"/>
    <n v="189"/>
    <n v="158"/>
    <n v="69"/>
    <x v="75"/>
    <x v="112"/>
    <x v="2"/>
    <n v="33.799999999999997"/>
    <n v="1.5"/>
    <x v="0"/>
    <n v="2"/>
    <n v="25.07"/>
  </r>
  <r>
    <n v="229"/>
    <x v="4"/>
    <n v="57"/>
    <x v="1"/>
    <n v="68.5"/>
    <n v="1.56"/>
    <n v="168"/>
    <n v="138"/>
    <n v="68"/>
    <x v="35"/>
    <x v="202"/>
    <x v="1"/>
    <n v="29.1"/>
    <n v="1.6"/>
    <x v="0"/>
    <n v="2"/>
    <n v="28.15"/>
  </r>
  <r>
    <n v="230"/>
    <x v="9"/>
    <n v="18"/>
    <x v="1"/>
    <n v="63.9"/>
    <n v="1.59"/>
    <n v="185"/>
    <n v="125"/>
    <n v="50"/>
    <x v="55"/>
    <x v="203"/>
    <x v="3"/>
    <n v="16.399999999999999"/>
    <n v="2.7"/>
    <x v="0"/>
    <n v="3"/>
    <n v="25.28"/>
  </r>
  <r>
    <n v="231"/>
    <x v="1"/>
    <n v="28"/>
    <x v="0"/>
    <n v="76.3"/>
    <n v="1.62"/>
    <n v="161"/>
    <n v="162"/>
    <n v="70"/>
    <x v="62"/>
    <x v="204"/>
    <x v="3"/>
    <n v="20.100000000000001"/>
    <n v="2.2999999999999998"/>
    <x v="1"/>
    <n v="2"/>
    <n v="29.07"/>
  </r>
  <r>
    <n v="232"/>
    <x v="8"/>
    <n v="45"/>
    <x v="1"/>
    <n v="44.5"/>
    <n v="1.65"/>
    <n v="162"/>
    <n v="148"/>
    <n v="71"/>
    <x v="70"/>
    <x v="205"/>
    <x v="0"/>
    <n v="30.7"/>
    <n v="1.6"/>
    <x v="1"/>
    <n v="1"/>
    <n v="16.350000000000001"/>
  </r>
  <r>
    <n v="233"/>
    <x v="7"/>
    <n v="42"/>
    <x v="1"/>
    <n v="50.7"/>
    <n v="1.75"/>
    <n v="163"/>
    <n v="162"/>
    <n v="51"/>
    <x v="28"/>
    <x v="206"/>
    <x v="3"/>
    <n v="29"/>
    <n v="1.9"/>
    <x v="1"/>
    <n v="2"/>
    <n v="16.559999999999999"/>
  </r>
  <r>
    <n v="234"/>
    <x v="8"/>
    <n v="40"/>
    <x v="1"/>
    <n v="55.1"/>
    <n v="1.61"/>
    <n v="184"/>
    <n v="158"/>
    <n v="64"/>
    <x v="91"/>
    <x v="207"/>
    <x v="0"/>
    <n v="16.899999999999999"/>
    <n v="2.7"/>
    <x v="0"/>
    <n v="3"/>
    <n v="21.26"/>
  </r>
  <r>
    <n v="235"/>
    <x v="3"/>
    <n v="48"/>
    <x v="0"/>
    <n v="73.7"/>
    <n v="1.61"/>
    <n v="172"/>
    <n v="121"/>
    <n v="63"/>
    <x v="89"/>
    <x v="208"/>
    <x v="2"/>
    <n v="21.8"/>
    <n v="3.6"/>
    <x v="0"/>
    <n v="2"/>
    <n v="28.43"/>
  </r>
  <r>
    <n v="236"/>
    <x v="3"/>
    <n v="47"/>
    <x v="0"/>
    <n v="55.6"/>
    <n v="1.77"/>
    <n v="198"/>
    <n v="138"/>
    <n v="68"/>
    <x v="37"/>
    <x v="209"/>
    <x v="2"/>
    <n v="24.3"/>
    <n v="2.9"/>
    <x v="0"/>
    <n v="2"/>
    <n v="17.75"/>
  </r>
  <r>
    <n v="237"/>
    <x v="0"/>
    <n v="59"/>
    <x v="0"/>
    <n v="86.9"/>
    <n v="1.76"/>
    <n v="194"/>
    <n v="123"/>
    <n v="60"/>
    <x v="15"/>
    <x v="210"/>
    <x v="3"/>
    <n v="29.8"/>
    <n v="3.1"/>
    <x v="1"/>
    <n v="2"/>
    <n v="28.05"/>
  </r>
  <r>
    <n v="238"/>
    <x v="9"/>
    <n v="52"/>
    <x v="1"/>
    <n v="60.3"/>
    <n v="1.68"/>
    <n v="182"/>
    <n v="125"/>
    <n v="64"/>
    <x v="102"/>
    <x v="202"/>
    <x v="3"/>
    <n v="16.5"/>
    <n v="2.7"/>
    <x v="0"/>
    <n v="3"/>
    <n v="21.36"/>
  </r>
  <r>
    <n v="239"/>
    <x v="9"/>
    <n v="24"/>
    <x v="1"/>
    <n v="40.4"/>
    <n v="1.64"/>
    <n v="168"/>
    <n v="168"/>
    <n v="55"/>
    <x v="103"/>
    <x v="55"/>
    <x v="1"/>
    <n v="31"/>
    <n v="1.9"/>
    <x v="3"/>
    <n v="1"/>
    <n v="15.02"/>
  </r>
  <r>
    <n v="240"/>
    <x v="5"/>
    <n v="33"/>
    <x v="1"/>
    <n v="78.5"/>
    <n v="1.66"/>
    <n v="161"/>
    <n v="156"/>
    <n v="69"/>
    <x v="28"/>
    <x v="211"/>
    <x v="1"/>
    <n v="32.799999999999997"/>
    <n v="1.9"/>
    <x v="0"/>
    <n v="2"/>
    <n v="28.49"/>
  </r>
  <r>
    <n v="241"/>
    <x v="5"/>
    <n v="43"/>
    <x v="0"/>
    <n v="102.6"/>
    <n v="1.72"/>
    <n v="190"/>
    <n v="147"/>
    <n v="58"/>
    <x v="10"/>
    <x v="212"/>
    <x v="3"/>
    <n v="27.5"/>
    <n v="2"/>
    <x v="3"/>
    <n v="1"/>
    <n v="34.68"/>
  </r>
  <r>
    <n v="242"/>
    <x v="5"/>
    <n v="19"/>
    <x v="0"/>
    <n v="110.8"/>
    <n v="1.91"/>
    <n v="161"/>
    <n v="149"/>
    <n v="54"/>
    <x v="34"/>
    <x v="154"/>
    <x v="3"/>
    <n v="23.3"/>
    <n v="2.9"/>
    <x v="3"/>
    <n v="1"/>
    <n v="30.37"/>
  </r>
  <r>
    <n v="243"/>
    <x v="1"/>
    <n v="18"/>
    <x v="1"/>
    <n v="60.9"/>
    <n v="1.79"/>
    <n v="191"/>
    <n v="126"/>
    <n v="69"/>
    <x v="2"/>
    <x v="213"/>
    <x v="2"/>
    <n v="31.1"/>
    <n v="2.1"/>
    <x v="3"/>
    <n v="1"/>
    <n v="19.010000000000002"/>
  </r>
  <r>
    <n v="244"/>
    <x v="2"/>
    <n v="29"/>
    <x v="0"/>
    <n v="55.7"/>
    <n v="1.61"/>
    <n v="177"/>
    <n v="128"/>
    <n v="51"/>
    <x v="39"/>
    <x v="214"/>
    <x v="3"/>
    <n v="28.7"/>
    <n v="2.2999999999999998"/>
    <x v="1"/>
    <n v="1"/>
    <n v="21.49"/>
  </r>
  <r>
    <n v="245"/>
    <x v="6"/>
    <n v="22"/>
    <x v="0"/>
    <n v="110.5"/>
    <n v="1.92"/>
    <n v="172"/>
    <n v="144"/>
    <n v="55"/>
    <x v="62"/>
    <x v="215"/>
    <x v="1"/>
    <n v="20.2"/>
    <n v="3.3"/>
    <x v="1"/>
    <n v="2"/>
    <n v="29.98"/>
  </r>
  <r>
    <n v="246"/>
    <x v="2"/>
    <n v="54"/>
    <x v="0"/>
    <n v="55.2"/>
    <n v="1.71"/>
    <n v="164"/>
    <n v="152"/>
    <n v="67"/>
    <x v="104"/>
    <x v="216"/>
    <x v="2"/>
    <n v="24.4"/>
    <n v="2.8"/>
    <x v="3"/>
    <n v="1"/>
    <n v="18.88"/>
  </r>
  <r>
    <n v="247"/>
    <x v="8"/>
    <n v="49"/>
    <x v="0"/>
    <n v="46.5"/>
    <n v="1.72"/>
    <n v="169"/>
    <n v="120"/>
    <n v="72"/>
    <x v="44"/>
    <x v="55"/>
    <x v="0"/>
    <n v="22.2"/>
    <n v="2.6"/>
    <x v="0"/>
    <n v="2"/>
    <n v="15.72"/>
  </r>
  <r>
    <n v="248"/>
    <x v="2"/>
    <n v="26"/>
    <x v="1"/>
    <n v="70.900000000000006"/>
    <n v="1.66"/>
    <n v="184"/>
    <n v="125"/>
    <n v="68"/>
    <x v="42"/>
    <x v="52"/>
    <x v="1"/>
    <n v="28.9"/>
    <n v="1.7"/>
    <x v="1"/>
    <n v="1"/>
    <n v="25.73"/>
  </r>
  <r>
    <n v="249"/>
    <x v="1"/>
    <n v="58"/>
    <x v="0"/>
    <n v="74.599999999999994"/>
    <n v="1.75"/>
    <n v="193"/>
    <n v="137"/>
    <n v="58"/>
    <x v="58"/>
    <x v="217"/>
    <x v="1"/>
    <n v="24.2"/>
    <n v="2.9"/>
    <x v="3"/>
    <n v="1"/>
    <n v="24.36"/>
  </r>
  <r>
    <n v="250"/>
    <x v="8"/>
    <n v="52"/>
    <x v="0"/>
    <n v="45.1"/>
    <n v="1.72"/>
    <n v="196"/>
    <n v="129"/>
    <n v="70"/>
    <x v="105"/>
    <x v="218"/>
    <x v="2"/>
    <n v="27.5"/>
    <n v="3.3"/>
    <x v="3"/>
    <n v="1"/>
    <n v="15.24"/>
  </r>
  <r>
    <n v="251"/>
    <x v="2"/>
    <n v="36"/>
    <x v="0"/>
    <n v="99.9"/>
    <n v="1.99"/>
    <n v="189"/>
    <n v="147"/>
    <n v="73"/>
    <x v="16"/>
    <x v="219"/>
    <x v="0"/>
    <n v="20.9"/>
    <n v="2.5"/>
    <x v="1"/>
    <n v="1"/>
    <n v="25.23"/>
  </r>
  <r>
    <n v="252"/>
    <x v="1"/>
    <n v="33"/>
    <x v="0"/>
    <n v="117"/>
    <n v="1.61"/>
    <n v="166"/>
    <n v="130"/>
    <n v="55"/>
    <x v="29"/>
    <x v="81"/>
    <x v="1"/>
    <n v="25.1"/>
    <n v="2.4"/>
    <x v="1"/>
    <n v="2"/>
    <n v="45.14"/>
  </r>
  <r>
    <n v="253"/>
    <x v="6"/>
    <n v="20"/>
    <x v="1"/>
    <n v="75.900000000000006"/>
    <n v="1.73"/>
    <n v="165"/>
    <n v="152"/>
    <n v="63"/>
    <x v="68"/>
    <x v="220"/>
    <x v="3"/>
    <n v="30.6"/>
    <n v="2.1"/>
    <x v="0"/>
    <n v="2"/>
    <n v="25.36"/>
  </r>
  <r>
    <n v="254"/>
    <x v="2"/>
    <n v="37"/>
    <x v="1"/>
    <n v="71.2"/>
    <n v="1.64"/>
    <n v="162"/>
    <n v="120"/>
    <n v="73"/>
    <x v="2"/>
    <x v="59"/>
    <x v="1"/>
    <n v="29.9"/>
    <n v="1.7"/>
    <x v="1"/>
    <n v="2"/>
    <n v="26.47"/>
  </r>
  <r>
    <n v="255"/>
    <x v="1"/>
    <n v="41"/>
    <x v="0"/>
    <n v="78.8"/>
    <n v="1.72"/>
    <n v="172"/>
    <n v="132"/>
    <n v="62"/>
    <x v="69"/>
    <x v="221"/>
    <x v="2"/>
    <n v="27.3"/>
    <n v="3.1"/>
    <x v="0"/>
    <n v="2"/>
    <n v="26.64"/>
  </r>
  <r>
    <n v="256"/>
    <x v="5"/>
    <n v="50"/>
    <x v="0"/>
    <n v="50.6"/>
    <n v="1.69"/>
    <n v="162"/>
    <n v="156"/>
    <n v="60"/>
    <x v="34"/>
    <x v="222"/>
    <x v="2"/>
    <n v="23.8"/>
    <n v="3"/>
    <x v="3"/>
    <n v="1"/>
    <n v="17.72"/>
  </r>
  <r>
    <n v="257"/>
    <x v="9"/>
    <n v="41"/>
    <x v="0"/>
    <n v="82.5"/>
    <n v="1.79"/>
    <n v="185"/>
    <n v="139"/>
    <n v="61"/>
    <x v="0"/>
    <x v="223"/>
    <x v="2"/>
    <n v="14.7"/>
    <n v="3.5"/>
    <x v="0"/>
    <n v="3"/>
    <n v="25.75"/>
  </r>
  <r>
    <n v="258"/>
    <x v="5"/>
    <n v="28"/>
    <x v="0"/>
    <n v="108.5"/>
    <n v="1.79"/>
    <n v="183"/>
    <n v="120"/>
    <n v="68"/>
    <x v="16"/>
    <x v="224"/>
    <x v="1"/>
    <n v="24.8"/>
    <n v="2.1"/>
    <x v="0"/>
    <n v="2"/>
    <n v="33.86"/>
  </r>
  <r>
    <n v="259"/>
    <x v="9"/>
    <n v="25"/>
    <x v="0"/>
    <n v="49.9"/>
    <n v="1.98"/>
    <n v="165"/>
    <n v="122"/>
    <n v="68"/>
    <x v="11"/>
    <x v="46"/>
    <x v="0"/>
    <n v="25.7"/>
    <n v="2.1"/>
    <x v="1"/>
    <n v="2"/>
    <n v="12.73"/>
  </r>
  <r>
    <n v="260"/>
    <x v="7"/>
    <n v="53"/>
    <x v="0"/>
    <n v="125.1"/>
    <n v="1.91"/>
    <n v="171"/>
    <n v="137"/>
    <n v="70"/>
    <x v="106"/>
    <x v="225"/>
    <x v="3"/>
    <n v="28.3"/>
    <n v="3.1"/>
    <x v="3"/>
    <n v="1"/>
    <n v="34.29"/>
  </r>
  <r>
    <n v="261"/>
    <x v="7"/>
    <n v="55"/>
    <x v="1"/>
    <n v="79.7"/>
    <n v="1.66"/>
    <n v="195"/>
    <n v="160"/>
    <n v="68"/>
    <x v="107"/>
    <x v="226"/>
    <x v="2"/>
    <n v="27.8"/>
    <n v="1.9"/>
    <x v="3"/>
    <n v="1"/>
    <n v="28.92"/>
  </r>
  <r>
    <n v="262"/>
    <x v="7"/>
    <n v="57"/>
    <x v="0"/>
    <n v="126.8"/>
    <n v="1.63"/>
    <n v="161"/>
    <n v="133"/>
    <n v="73"/>
    <x v="108"/>
    <x v="227"/>
    <x v="0"/>
    <n v="20.8"/>
    <n v="2.1"/>
    <x v="3"/>
    <n v="1"/>
    <n v="47.72"/>
  </r>
  <r>
    <n v="263"/>
    <x v="6"/>
    <n v="37"/>
    <x v="1"/>
    <n v="54.6"/>
    <n v="1.57"/>
    <n v="170"/>
    <n v="150"/>
    <n v="62"/>
    <x v="34"/>
    <x v="228"/>
    <x v="3"/>
    <n v="32.1"/>
    <n v="2.4"/>
    <x v="1"/>
    <n v="1"/>
    <n v="22.15"/>
  </r>
  <r>
    <n v="264"/>
    <x v="5"/>
    <n v="52"/>
    <x v="1"/>
    <n v="47.8"/>
    <n v="1.54"/>
    <n v="198"/>
    <n v="146"/>
    <n v="63"/>
    <x v="33"/>
    <x v="118"/>
    <x v="2"/>
    <n v="29.8"/>
    <n v="1.9"/>
    <x v="1"/>
    <n v="2"/>
    <n v="20.16"/>
  </r>
  <r>
    <n v="265"/>
    <x v="9"/>
    <n v="42"/>
    <x v="0"/>
    <n v="97.9"/>
    <n v="1.91"/>
    <n v="193"/>
    <n v="136"/>
    <n v="73"/>
    <x v="69"/>
    <x v="160"/>
    <x v="3"/>
    <n v="29"/>
    <n v="2.8"/>
    <x v="1"/>
    <n v="2"/>
    <n v="26.84"/>
  </r>
  <r>
    <n v="266"/>
    <x v="1"/>
    <n v="52"/>
    <x v="1"/>
    <n v="63.1"/>
    <n v="1.54"/>
    <n v="185"/>
    <n v="165"/>
    <n v="67"/>
    <x v="89"/>
    <x v="229"/>
    <x v="3"/>
    <n v="34.799999999999997"/>
    <n v="1.8"/>
    <x v="1"/>
    <n v="2"/>
    <n v="26.61"/>
  </r>
  <r>
    <n v="267"/>
    <x v="8"/>
    <n v="42"/>
    <x v="1"/>
    <n v="72.400000000000006"/>
    <n v="1.69"/>
    <n v="177"/>
    <n v="148"/>
    <n v="61"/>
    <x v="53"/>
    <x v="230"/>
    <x v="0"/>
    <n v="29"/>
    <n v="2.2999999999999998"/>
    <x v="1"/>
    <n v="2"/>
    <n v="25.35"/>
  </r>
  <r>
    <n v="268"/>
    <x v="1"/>
    <n v="46"/>
    <x v="1"/>
    <n v="58.9"/>
    <n v="1.7"/>
    <n v="180"/>
    <n v="155"/>
    <n v="53"/>
    <x v="30"/>
    <x v="231"/>
    <x v="3"/>
    <n v="17.100000000000001"/>
    <n v="2.7"/>
    <x v="0"/>
    <n v="3"/>
    <n v="20.38"/>
  </r>
  <r>
    <n v="269"/>
    <x v="8"/>
    <n v="35"/>
    <x v="1"/>
    <n v="50.4"/>
    <n v="1.6"/>
    <n v="195"/>
    <n v="156"/>
    <n v="59"/>
    <x v="8"/>
    <x v="232"/>
    <x v="2"/>
    <n v="29.1"/>
    <n v="1.9"/>
    <x v="0"/>
    <n v="2"/>
    <n v="19.690000000000001"/>
  </r>
  <r>
    <n v="270"/>
    <x v="3"/>
    <n v="35"/>
    <x v="1"/>
    <n v="64.2"/>
    <n v="1.59"/>
    <n v="199"/>
    <n v="145"/>
    <n v="66"/>
    <x v="109"/>
    <x v="233"/>
    <x v="0"/>
    <n v="16.600000000000001"/>
    <n v="2.7"/>
    <x v="2"/>
    <n v="3"/>
    <n v="25.39"/>
  </r>
  <r>
    <n v="271"/>
    <x v="1"/>
    <n v="19"/>
    <x v="1"/>
    <n v="58.8"/>
    <n v="1.77"/>
    <n v="181"/>
    <n v="136"/>
    <n v="53"/>
    <x v="44"/>
    <x v="234"/>
    <x v="1"/>
    <n v="32.799999999999997"/>
    <n v="2.7"/>
    <x v="3"/>
    <n v="1"/>
    <n v="18.77"/>
  </r>
  <r>
    <n v="272"/>
    <x v="2"/>
    <n v="52"/>
    <x v="0"/>
    <n v="105.2"/>
    <n v="1.62"/>
    <n v="189"/>
    <n v="141"/>
    <n v="61"/>
    <x v="89"/>
    <x v="235"/>
    <x v="1"/>
    <n v="27.6"/>
    <n v="3.2"/>
    <x v="1"/>
    <n v="1"/>
    <n v="40.090000000000003"/>
  </r>
  <r>
    <n v="273"/>
    <x v="2"/>
    <n v="33"/>
    <x v="1"/>
    <n v="45.9"/>
    <n v="1.5"/>
    <n v="189"/>
    <n v="144"/>
    <n v="62"/>
    <x v="93"/>
    <x v="236"/>
    <x v="0"/>
    <n v="29.8"/>
    <n v="1.7"/>
    <x v="1"/>
    <n v="1"/>
    <n v="20.399999999999999"/>
  </r>
  <r>
    <n v="274"/>
    <x v="0"/>
    <n v="58"/>
    <x v="1"/>
    <n v="65.2"/>
    <n v="1.63"/>
    <n v="167"/>
    <n v="121"/>
    <n v="53"/>
    <x v="20"/>
    <x v="237"/>
    <x v="1"/>
    <n v="25.4"/>
    <n v="2"/>
    <x v="1"/>
    <n v="2"/>
    <n v="24.54"/>
  </r>
  <r>
    <n v="275"/>
    <x v="5"/>
    <n v="53"/>
    <x v="1"/>
    <n v="56.3"/>
    <n v="1.79"/>
    <n v="193"/>
    <n v="141"/>
    <n v="59"/>
    <x v="30"/>
    <x v="30"/>
    <x v="3"/>
    <n v="16.5"/>
    <n v="2.7"/>
    <x v="2"/>
    <n v="3"/>
    <n v="17.57"/>
  </r>
  <r>
    <n v="276"/>
    <x v="8"/>
    <n v="50"/>
    <x v="0"/>
    <n v="90"/>
    <n v="1.7"/>
    <n v="168"/>
    <n v="124"/>
    <n v="74"/>
    <x v="42"/>
    <x v="238"/>
    <x v="2"/>
    <n v="22.9"/>
    <n v="2.7"/>
    <x v="3"/>
    <n v="1"/>
    <n v="31.14"/>
  </r>
  <r>
    <n v="277"/>
    <x v="8"/>
    <n v="21"/>
    <x v="1"/>
    <n v="60"/>
    <n v="1.7"/>
    <n v="179"/>
    <n v="123"/>
    <n v="52"/>
    <x v="47"/>
    <x v="239"/>
    <x v="3"/>
    <n v="19.100000000000001"/>
    <n v="2.7"/>
    <x v="2"/>
    <n v="3"/>
    <n v="20.76"/>
  </r>
  <r>
    <n v="278"/>
    <x v="5"/>
    <n v="50"/>
    <x v="0"/>
    <n v="51.5"/>
    <n v="1.71"/>
    <n v="199"/>
    <n v="155"/>
    <n v="64"/>
    <x v="26"/>
    <x v="240"/>
    <x v="0"/>
    <n v="20.9"/>
    <n v="2.9"/>
    <x v="3"/>
    <n v="1"/>
    <n v="17.61"/>
  </r>
  <r>
    <n v="279"/>
    <x v="6"/>
    <n v="31"/>
    <x v="1"/>
    <n v="63.1"/>
    <n v="1.64"/>
    <n v="184"/>
    <n v="125"/>
    <n v="51"/>
    <x v="96"/>
    <x v="42"/>
    <x v="2"/>
    <n v="19"/>
    <n v="2.7"/>
    <x v="0"/>
    <n v="3"/>
    <n v="23.46"/>
  </r>
  <r>
    <n v="280"/>
    <x v="0"/>
    <n v="38"/>
    <x v="0"/>
    <n v="91.5"/>
    <n v="1.77"/>
    <n v="178"/>
    <n v="140"/>
    <n v="74"/>
    <x v="110"/>
    <x v="241"/>
    <x v="0"/>
    <n v="26.7"/>
    <n v="3.4"/>
    <x v="3"/>
    <n v="1"/>
    <n v="29.21"/>
  </r>
  <r>
    <n v="281"/>
    <x v="6"/>
    <n v="37"/>
    <x v="0"/>
    <n v="48.7"/>
    <n v="1.67"/>
    <n v="164"/>
    <n v="132"/>
    <n v="74"/>
    <x v="68"/>
    <x v="242"/>
    <x v="0"/>
    <n v="27.3"/>
    <n v="3"/>
    <x v="3"/>
    <n v="1"/>
    <n v="17.46"/>
  </r>
  <r>
    <n v="282"/>
    <x v="6"/>
    <n v="25"/>
    <x v="1"/>
    <n v="57.8"/>
    <n v="1.56"/>
    <n v="170"/>
    <n v="156"/>
    <n v="66"/>
    <x v="14"/>
    <x v="243"/>
    <x v="0"/>
    <n v="29.3"/>
    <n v="1.6"/>
    <x v="1"/>
    <n v="2"/>
    <n v="23.75"/>
  </r>
  <r>
    <n v="283"/>
    <x v="6"/>
    <n v="24"/>
    <x v="1"/>
    <n v="42"/>
    <n v="1.75"/>
    <n v="174"/>
    <n v="144"/>
    <n v="55"/>
    <x v="87"/>
    <x v="184"/>
    <x v="3"/>
    <n v="31.8"/>
    <n v="2.2999999999999998"/>
    <x v="1"/>
    <n v="1"/>
    <n v="13.71"/>
  </r>
  <r>
    <n v="284"/>
    <x v="5"/>
    <n v="20"/>
    <x v="0"/>
    <n v="128.4"/>
    <n v="1.92"/>
    <n v="167"/>
    <n v="145"/>
    <n v="57"/>
    <x v="54"/>
    <x v="26"/>
    <x v="2"/>
    <n v="26.1"/>
    <n v="2"/>
    <x v="3"/>
    <n v="1"/>
    <n v="34.83"/>
  </r>
  <r>
    <n v="285"/>
    <x v="6"/>
    <n v="34"/>
    <x v="1"/>
    <n v="74.2"/>
    <n v="1.57"/>
    <n v="178"/>
    <n v="158"/>
    <n v="52"/>
    <x v="43"/>
    <x v="244"/>
    <x v="2"/>
    <n v="32.700000000000003"/>
    <n v="2.4"/>
    <x v="1"/>
    <n v="1"/>
    <n v="30.1"/>
  </r>
  <r>
    <n v="286"/>
    <x v="2"/>
    <n v="50"/>
    <x v="0"/>
    <n v="89.6"/>
    <n v="1.68"/>
    <n v="182"/>
    <n v="139"/>
    <n v="74"/>
    <x v="65"/>
    <x v="245"/>
    <x v="2"/>
    <n v="12.2"/>
    <n v="3.5"/>
    <x v="2"/>
    <n v="3"/>
    <n v="31.75"/>
  </r>
  <r>
    <n v="287"/>
    <x v="7"/>
    <n v="29"/>
    <x v="0"/>
    <n v="125.9"/>
    <n v="2"/>
    <n v="186"/>
    <n v="152"/>
    <n v="67"/>
    <x v="89"/>
    <x v="246"/>
    <x v="3"/>
    <n v="24.7"/>
    <n v="3.1"/>
    <x v="0"/>
    <n v="2"/>
    <n v="31.48"/>
  </r>
  <r>
    <n v="288"/>
    <x v="3"/>
    <n v="39"/>
    <x v="0"/>
    <n v="105.5"/>
    <n v="1.99"/>
    <n v="199"/>
    <n v="133"/>
    <n v="71"/>
    <x v="42"/>
    <x v="10"/>
    <x v="1"/>
    <n v="26.4"/>
    <n v="2.5"/>
    <x v="3"/>
    <n v="1"/>
    <n v="26.64"/>
  </r>
  <r>
    <n v="289"/>
    <x v="8"/>
    <n v="39"/>
    <x v="0"/>
    <n v="93.4"/>
    <n v="1.7"/>
    <n v="191"/>
    <n v="155"/>
    <n v="50"/>
    <x v="94"/>
    <x v="247"/>
    <x v="3"/>
    <n v="21.1"/>
    <n v="2.5"/>
    <x v="0"/>
    <n v="2"/>
    <n v="32.32"/>
  </r>
  <r>
    <n v="290"/>
    <x v="8"/>
    <n v="47"/>
    <x v="0"/>
    <n v="82.1"/>
    <n v="1.84"/>
    <n v="185"/>
    <n v="136"/>
    <n v="65"/>
    <x v="18"/>
    <x v="248"/>
    <x v="3"/>
    <n v="24.4"/>
    <n v="3.4"/>
    <x v="0"/>
    <n v="2"/>
    <n v="24.25"/>
  </r>
  <r>
    <n v="291"/>
    <x v="3"/>
    <n v="55"/>
    <x v="1"/>
    <n v="42.9"/>
    <n v="1.69"/>
    <n v="186"/>
    <n v="140"/>
    <n v="56"/>
    <x v="111"/>
    <x v="249"/>
    <x v="0"/>
    <n v="34.700000000000003"/>
    <n v="2.4"/>
    <x v="3"/>
    <n v="1"/>
    <n v="15.02"/>
  </r>
  <r>
    <n v="292"/>
    <x v="5"/>
    <n v="55"/>
    <x v="0"/>
    <n v="128.4"/>
    <n v="1.68"/>
    <n v="178"/>
    <n v="165"/>
    <n v="52"/>
    <x v="15"/>
    <x v="250"/>
    <x v="2"/>
    <n v="20.399999999999999"/>
    <n v="2.6"/>
    <x v="0"/>
    <n v="2"/>
    <n v="45.49"/>
  </r>
  <r>
    <n v="293"/>
    <x v="1"/>
    <n v="25"/>
    <x v="0"/>
    <n v="112.4"/>
    <n v="1.96"/>
    <n v="188"/>
    <n v="135"/>
    <n v="72"/>
    <x v="24"/>
    <x v="251"/>
    <x v="2"/>
    <n v="23.2"/>
    <n v="2.5"/>
    <x v="3"/>
    <n v="1"/>
    <n v="29.26"/>
  </r>
  <r>
    <n v="294"/>
    <x v="5"/>
    <n v="44"/>
    <x v="1"/>
    <n v="77.7"/>
    <n v="1.79"/>
    <n v="198"/>
    <n v="165"/>
    <n v="53"/>
    <x v="39"/>
    <x v="252"/>
    <x v="1"/>
    <n v="28.1"/>
    <n v="2.2000000000000002"/>
    <x v="1"/>
    <n v="1"/>
    <n v="24.25"/>
  </r>
  <r>
    <n v="295"/>
    <x v="8"/>
    <n v="44"/>
    <x v="0"/>
    <n v="89.3"/>
    <n v="1.99"/>
    <n v="192"/>
    <n v="135"/>
    <n v="58"/>
    <x v="44"/>
    <x v="88"/>
    <x v="1"/>
    <n v="26.3"/>
    <n v="2"/>
    <x v="0"/>
    <n v="2"/>
    <n v="22.55"/>
  </r>
  <r>
    <n v="296"/>
    <x v="8"/>
    <n v="51"/>
    <x v="1"/>
    <n v="70.3"/>
    <n v="1.55"/>
    <n v="178"/>
    <n v="139"/>
    <n v="54"/>
    <x v="44"/>
    <x v="253"/>
    <x v="0"/>
    <n v="26.1"/>
    <n v="1.6"/>
    <x v="1"/>
    <n v="1"/>
    <n v="29.26"/>
  </r>
  <r>
    <n v="297"/>
    <x v="3"/>
    <n v="38"/>
    <x v="1"/>
    <n v="59.1"/>
    <n v="1.72"/>
    <n v="196"/>
    <n v="148"/>
    <n v="68"/>
    <x v="53"/>
    <x v="254"/>
    <x v="2"/>
    <n v="31.3"/>
    <n v="1.7"/>
    <x v="1"/>
    <n v="2"/>
    <n v="19.98"/>
  </r>
  <r>
    <n v="298"/>
    <x v="6"/>
    <n v="47"/>
    <x v="1"/>
    <n v="49.9"/>
    <n v="1.69"/>
    <n v="178"/>
    <n v="147"/>
    <n v="64"/>
    <x v="26"/>
    <x v="104"/>
    <x v="1"/>
    <n v="26"/>
    <n v="1.7"/>
    <x v="1"/>
    <n v="2"/>
    <n v="17.47"/>
  </r>
  <r>
    <n v="299"/>
    <x v="5"/>
    <n v="50"/>
    <x v="0"/>
    <n v="101.7"/>
    <n v="1.67"/>
    <n v="192"/>
    <n v="127"/>
    <n v="57"/>
    <x v="112"/>
    <x v="255"/>
    <x v="1"/>
    <n v="20.9"/>
    <n v="2.9"/>
    <x v="3"/>
    <n v="1"/>
    <n v="36.47"/>
  </r>
  <r>
    <n v="300"/>
    <x v="9"/>
    <n v="45"/>
    <x v="0"/>
    <n v="93"/>
    <n v="1.91"/>
    <n v="175"/>
    <n v="143"/>
    <n v="55"/>
    <x v="8"/>
    <x v="256"/>
    <x v="2"/>
    <n v="27.3"/>
    <n v="3.7"/>
    <x v="1"/>
    <n v="2"/>
    <n v="25.49"/>
  </r>
  <r>
    <n v="301"/>
    <x v="3"/>
    <n v="50"/>
    <x v="0"/>
    <n v="87.4"/>
    <n v="1.6"/>
    <n v="182"/>
    <n v="122"/>
    <n v="67"/>
    <x v="104"/>
    <x v="257"/>
    <x v="3"/>
    <n v="23.2"/>
    <n v="3.1"/>
    <x v="3"/>
    <n v="1"/>
    <n v="34.14"/>
  </r>
  <r>
    <n v="302"/>
    <x v="2"/>
    <n v="22"/>
    <x v="1"/>
    <n v="55.1"/>
    <n v="1.61"/>
    <n v="166"/>
    <n v="144"/>
    <n v="68"/>
    <x v="113"/>
    <x v="258"/>
    <x v="1"/>
    <n v="19.899999999999999"/>
    <n v="2.7"/>
    <x v="0"/>
    <n v="3"/>
    <n v="21.26"/>
  </r>
  <r>
    <n v="303"/>
    <x v="8"/>
    <n v="36"/>
    <x v="0"/>
    <n v="123.7"/>
    <n v="1.69"/>
    <n v="185"/>
    <n v="138"/>
    <n v="73"/>
    <x v="1"/>
    <x v="259"/>
    <x v="2"/>
    <n v="20.399999999999999"/>
    <n v="2.1"/>
    <x v="0"/>
    <n v="2"/>
    <n v="43.31"/>
  </r>
  <r>
    <n v="304"/>
    <x v="3"/>
    <n v="21"/>
    <x v="1"/>
    <n v="61.3"/>
    <n v="1.57"/>
    <n v="191"/>
    <n v="152"/>
    <n v="64"/>
    <x v="114"/>
    <x v="260"/>
    <x v="1"/>
    <n v="17.2"/>
    <n v="2.7"/>
    <x v="0"/>
    <n v="3"/>
    <n v="24.87"/>
  </r>
  <r>
    <n v="305"/>
    <x v="5"/>
    <n v="52"/>
    <x v="0"/>
    <n v="72.3"/>
    <n v="1.94"/>
    <n v="171"/>
    <n v="121"/>
    <n v="56"/>
    <x v="85"/>
    <x v="261"/>
    <x v="0"/>
    <n v="21.1"/>
    <n v="2.9"/>
    <x v="1"/>
    <n v="2"/>
    <n v="19.21"/>
  </r>
  <r>
    <n v="306"/>
    <x v="8"/>
    <n v="34"/>
    <x v="1"/>
    <n v="69.2"/>
    <n v="1.53"/>
    <n v="167"/>
    <n v="134"/>
    <n v="59"/>
    <x v="89"/>
    <x v="262"/>
    <x v="1"/>
    <n v="28.5"/>
    <n v="2.1"/>
    <x v="3"/>
    <n v="1"/>
    <n v="29.56"/>
  </r>
  <r>
    <n v="307"/>
    <x v="1"/>
    <n v="45"/>
    <x v="0"/>
    <n v="81.400000000000006"/>
    <n v="1.61"/>
    <n v="164"/>
    <n v="141"/>
    <n v="55"/>
    <x v="36"/>
    <x v="188"/>
    <x v="2"/>
    <n v="30"/>
    <n v="2.2000000000000002"/>
    <x v="0"/>
    <n v="2"/>
    <n v="31.4"/>
  </r>
  <r>
    <n v="308"/>
    <x v="3"/>
    <n v="47"/>
    <x v="0"/>
    <n v="84.8"/>
    <n v="1.86"/>
    <n v="187"/>
    <n v="129"/>
    <n v="63"/>
    <x v="115"/>
    <x v="263"/>
    <x v="1"/>
    <n v="14.4"/>
    <n v="3.5"/>
    <x v="2"/>
    <n v="3"/>
    <n v="24.51"/>
  </r>
  <r>
    <n v="309"/>
    <x v="0"/>
    <n v="46"/>
    <x v="0"/>
    <n v="55.1"/>
    <n v="1.72"/>
    <n v="164"/>
    <n v="137"/>
    <n v="66"/>
    <x v="116"/>
    <x v="264"/>
    <x v="0"/>
    <n v="20.5"/>
    <n v="3.6"/>
    <x v="1"/>
    <n v="2"/>
    <n v="18.62"/>
  </r>
  <r>
    <n v="310"/>
    <x v="8"/>
    <n v="23"/>
    <x v="1"/>
    <n v="59"/>
    <n v="1.78"/>
    <n v="185"/>
    <n v="141"/>
    <n v="58"/>
    <x v="41"/>
    <x v="183"/>
    <x v="0"/>
    <n v="17.8"/>
    <n v="2.7"/>
    <x v="2"/>
    <n v="3"/>
    <n v="18.62"/>
  </r>
  <r>
    <n v="311"/>
    <x v="5"/>
    <n v="52"/>
    <x v="1"/>
    <n v="64.900000000000006"/>
    <n v="1.51"/>
    <n v="164"/>
    <n v="165"/>
    <n v="68"/>
    <x v="100"/>
    <x v="265"/>
    <x v="1"/>
    <n v="18.2"/>
    <n v="2.7"/>
    <x v="0"/>
    <n v="3"/>
    <n v="28.46"/>
  </r>
  <r>
    <n v="312"/>
    <x v="7"/>
    <n v="58"/>
    <x v="0"/>
    <n v="109.7"/>
    <n v="1.75"/>
    <n v="181"/>
    <n v="168"/>
    <n v="54"/>
    <x v="69"/>
    <x v="266"/>
    <x v="1"/>
    <n v="22.1"/>
    <n v="2.7"/>
    <x v="3"/>
    <n v="1"/>
    <n v="35.82"/>
  </r>
  <r>
    <n v="313"/>
    <x v="9"/>
    <n v="54"/>
    <x v="0"/>
    <n v="78.400000000000006"/>
    <n v="1.9"/>
    <n v="174"/>
    <n v="146"/>
    <n v="72"/>
    <x v="42"/>
    <x v="267"/>
    <x v="0"/>
    <n v="21.5"/>
    <n v="3.7"/>
    <x v="3"/>
    <n v="1"/>
    <n v="21.72"/>
  </r>
  <r>
    <n v="314"/>
    <x v="4"/>
    <n v="41"/>
    <x v="1"/>
    <n v="76.7"/>
    <n v="1.79"/>
    <n v="172"/>
    <n v="132"/>
    <n v="56"/>
    <x v="44"/>
    <x v="55"/>
    <x v="0"/>
    <n v="34"/>
    <n v="2"/>
    <x v="0"/>
    <n v="2"/>
    <n v="23.94"/>
  </r>
  <r>
    <n v="315"/>
    <x v="6"/>
    <n v="46"/>
    <x v="1"/>
    <n v="63.1"/>
    <n v="1.61"/>
    <n v="187"/>
    <n v="152"/>
    <n v="68"/>
    <x v="75"/>
    <x v="268"/>
    <x v="3"/>
    <n v="34.700000000000003"/>
    <n v="2.2000000000000002"/>
    <x v="0"/>
    <n v="2"/>
    <n v="24.34"/>
  </r>
  <r>
    <n v="316"/>
    <x v="4"/>
    <n v="48"/>
    <x v="1"/>
    <n v="62.9"/>
    <n v="1.58"/>
    <n v="192"/>
    <n v="124"/>
    <n v="69"/>
    <x v="77"/>
    <x v="269"/>
    <x v="3"/>
    <n v="20"/>
    <n v="2.7"/>
    <x v="0"/>
    <n v="3"/>
    <n v="25.2"/>
  </r>
  <r>
    <n v="317"/>
    <x v="5"/>
    <n v="52"/>
    <x v="0"/>
    <n v="85.6"/>
    <n v="1.74"/>
    <n v="182"/>
    <n v="145"/>
    <n v="56"/>
    <x v="99"/>
    <x v="270"/>
    <x v="0"/>
    <n v="13.9"/>
    <n v="3.5"/>
    <x v="0"/>
    <n v="3"/>
    <n v="28.27"/>
  </r>
  <r>
    <n v="318"/>
    <x v="2"/>
    <n v="50"/>
    <x v="1"/>
    <n v="66.3"/>
    <n v="1.57"/>
    <n v="192"/>
    <n v="132"/>
    <n v="73"/>
    <x v="23"/>
    <x v="18"/>
    <x v="1"/>
    <n v="31.6"/>
    <n v="1.6"/>
    <x v="3"/>
    <n v="1"/>
    <n v="26.9"/>
  </r>
  <r>
    <n v="319"/>
    <x v="2"/>
    <n v="38"/>
    <x v="0"/>
    <n v="61.3"/>
    <n v="1.97"/>
    <n v="177"/>
    <n v="146"/>
    <n v="51"/>
    <x v="18"/>
    <x v="271"/>
    <x v="2"/>
    <n v="23.5"/>
    <n v="2.8"/>
    <x v="1"/>
    <n v="1"/>
    <n v="15.8"/>
  </r>
  <r>
    <n v="320"/>
    <x v="7"/>
    <n v="49"/>
    <x v="1"/>
    <n v="44.1"/>
    <n v="1.65"/>
    <n v="189"/>
    <n v="133"/>
    <n v="74"/>
    <x v="62"/>
    <x v="272"/>
    <x v="1"/>
    <n v="26.7"/>
    <n v="1.8"/>
    <x v="0"/>
    <n v="2"/>
    <n v="16.2"/>
  </r>
  <r>
    <n v="321"/>
    <x v="6"/>
    <n v="40"/>
    <x v="0"/>
    <n v="63.8"/>
    <n v="1.62"/>
    <n v="185"/>
    <n v="143"/>
    <n v="72"/>
    <x v="1"/>
    <x v="273"/>
    <x v="1"/>
    <n v="20.8"/>
    <n v="3.4"/>
    <x v="3"/>
    <n v="1"/>
    <n v="24.31"/>
  </r>
  <r>
    <n v="322"/>
    <x v="0"/>
    <n v="50"/>
    <x v="1"/>
    <n v="55.4"/>
    <n v="1.55"/>
    <n v="175"/>
    <n v="122"/>
    <n v="65"/>
    <x v="115"/>
    <x v="47"/>
    <x v="3"/>
    <n v="18.5"/>
    <n v="2.7"/>
    <x v="0"/>
    <n v="3"/>
    <n v="23.06"/>
  </r>
  <r>
    <n v="323"/>
    <x v="7"/>
    <n v="20"/>
    <x v="1"/>
    <n v="74.7"/>
    <n v="1.58"/>
    <n v="172"/>
    <n v="166"/>
    <n v="62"/>
    <x v="29"/>
    <x v="274"/>
    <x v="3"/>
    <n v="32.799999999999997"/>
    <n v="2.4"/>
    <x v="1"/>
    <n v="2"/>
    <n v="29.92"/>
  </r>
  <r>
    <n v="324"/>
    <x v="4"/>
    <n v="35"/>
    <x v="1"/>
    <n v="78"/>
    <n v="1.67"/>
    <n v="198"/>
    <n v="168"/>
    <n v="57"/>
    <x v="15"/>
    <x v="235"/>
    <x v="3"/>
    <n v="33.299999999999997"/>
    <n v="2.5"/>
    <x v="0"/>
    <n v="2"/>
    <n v="27.97"/>
  </r>
  <r>
    <n v="325"/>
    <x v="7"/>
    <n v="42"/>
    <x v="1"/>
    <n v="57.5"/>
    <n v="1.67"/>
    <n v="192"/>
    <n v="149"/>
    <n v="55"/>
    <x v="36"/>
    <x v="275"/>
    <x v="0"/>
    <n v="34.1"/>
    <n v="2.4"/>
    <x v="3"/>
    <n v="1"/>
    <n v="20.62"/>
  </r>
  <r>
    <n v="326"/>
    <x v="4"/>
    <n v="59"/>
    <x v="1"/>
    <n v="60.7"/>
    <n v="1.73"/>
    <n v="185"/>
    <n v="154"/>
    <n v="55"/>
    <x v="8"/>
    <x v="276"/>
    <x v="0"/>
    <n v="33.799999999999997"/>
    <n v="2.5"/>
    <x v="1"/>
    <n v="2"/>
    <n v="20.28"/>
  </r>
  <r>
    <n v="327"/>
    <x v="8"/>
    <n v="48"/>
    <x v="0"/>
    <n v="69"/>
    <n v="1.74"/>
    <n v="160"/>
    <n v="167"/>
    <n v="58"/>
    <x v="26"/>
    <x v="277"/>
    <x v="1"/>
    <n v="30"/>
    <n v="2.2999999999999998"/>
    <x v="1"/>
    <n v="2"/>
    <n v="22.79"/>
  </r>
  <r>
    <n v="328"/>
    <x v="2"/>
    <n v="20"/>
    <x v="1"/>
    <n v="75.8"/>
    <n v="1.78"/>
    <n v="197"/>
    <n v="133"/>
    <n v="53"/>
    <x v="24"/>
    <x v="278"/>
    <x v="1"/>
    <n v="27.4"/>
    <n v="2"/>
    <x v="0"/>
    <n v="2"/>
    <n v="23.92"/>
  </r>
  <r>
    <n v="329"/>
    <x v="8"/>
    <n v="57"/>
    <x v="1"/>
    <n v="75.7"/>
    <n v="1.63"/>
    <n v="161"/>
    <n v="131"/>
    <n v="60"/>
    <x v="117"/>
    <x v="279"/>
    <x v="2"/>
    <n v="32.6"/>
    <n v="2.2999999999999998"/>
    <x v="1"/>
    <n v="1"/>
    <n v="28.49"/>
  </r>
  <r>
    <n v="330"/>
    <x v="9"/>
    <n v="41"/>
    <x v="1"/>
    <n v="71.2"/>
    <n v="1.64"/>
    <n v="165"/>
    <n v="147"/>
    <n v="54"/>
    <x v="24"/>
    <x v="280"/>
    <x v="1"/>
    <n v="30.9"/>
    <n v="2.2999999999999998"/>
    <x v="1"/>
    <n v="2"/>
    <n v="26.47"/>
  </r>
  <r>
    <n v="331"/>
    <x v="6"/>
    <n v="49"/>
    <x v="0"/>
    <n v="85"/>
    <n v="1.68"/>
    <n v="197"/>
    <n v="163"/>
    <n v="74"/>
    <x v="118"/>
    <x v="281"/>
    <x v="1"/>
    <n v="11.3"/>
    <n v="3.5"/>
    <x v="0"/>
    <n v="3"/>
    <n v="30.12"/>
  </r>
  <r>
    <n v="332"/>
    <x v="0"/>
    <n v="39"/>
    <x v="1"/>
    <n v="63.6"/>
    <n v="1.56"/>
    <n v="183"/>
    <n v="148"/>
    <n v="66"/>
    <x v="74"/>
    <x v="200"/>
    <x v="3"/>
    <n v="34.799999999999997"/>
    <n v="2.4"/>
    <x v="3"/>
    <n v="1"/>
    <n v="26.13"/>
  </r>
  <r>
    <n v="333"/>
    <x v="4"/>
    <n v="40"/>
    <x v="0"/>
    <n v="73.2"/>
    <n v="1.94"/>
    <n v="177"/>
    <n v="162"/>
    <n v="69"/>
    <x v="42"/>
    <x v="282"/>
    <x v="3"/>
    <n v="29"/>
    <n v="2.4"/>
    <x v="3"/>
    <n v="1"/>
    <n v="19.45"/>
  </r>
  <r>
    <n v="334"/>
    <x v="0"/>
    <n v="19"/>
    <x v="1"/>
    <n v="48.3"/>
    <n v="1.52"/>
    <n v="186"/>
    <n v="136"/>
    <n v="56"/>
    <x v="108"/>
    <x v="283"/>
    <x v="3"/>
    <n v="26.3"/>
    <n v="1.6"/>
    <x v="3"/>
    <n v="1"/>
    <n v="20.91"/>
  </r>
  <r>
    <n v="335"/>
    <x v="4"/>
    <n v="44"/>
    <x v="1"/>
    <n v="42.8"/>
    <n v="1.78"/>
    <n v="167"/>
    <n v="159"/>
    <n v="64"/>
    <x v="6"/>
    <x v="284"/>
    <x v="3"/>
    <n v="25.3"/>
    <n v="2.6"/>
    <x v="1"/>
    <n v="2"/>
    <n v="13.51"/>
  </r>
  <r>
    <n v="336"/>
    <x v="5"/>
    <n v="59"/>
    <x v="0"/>
    <n v="88.1"/>
    <n v="1.76"/>
    <n v="187"/>
    <n v="168"/>
    <n v="74"/>
    <x v="14"/>
    <x v="285"/>
    <x v="3"/>
    <n v="26.9"/>
    <n v="3"/>
    <x v="1"/>
    <n v="2"/>
    <n v="28.44"/>
  </r>
  <r>
    <n v="337"/>
    <x v="7"/>
    <n v="19"/>
    <x v="1"/>
    <n v="72.400000000000006"/>
    <n v="1.75"/>
    <n v="169"/>
    <n v="140"/>
    <n v="64"/>
    <x v="37"/>
    <x v="266"/>
    <x v="2"/>
    <n v="31"/>
    <n v="1.7"/>
    <x v="0"/>
    <n v="2"/>
    <n v="23.64"/>
  </r>
  <r>
    <n v="338"/>
    <x v="9"/>
    <n v="43"/>
    <x v="0"/>
    <n v="73.2"/>
    <n v="1.88"/>
    <n v="176"/>
    <n v="142"/>
    <n v="63"/>
    <x v="21"/>
    <x v="286"/>
    <x v="2"/>
    <n v="29.4"/>
    <n v="3.3"/>
    <x v="1"/>
    <n v="1"/>
    <n v="20.71"/>
  </r>
  <r>
    <n v="339"/>
    <x v="2"/>
    <n v="34"/>
    <x v="0"/>
    <n v="110.5"/>
    <n v="1.86"/>
    <n v="188"/>
    <n v="139"/>
    <n v="62"/>
    <x v="24"/>
    <x v="287"/>
    <x v="2"/>
    <n v="22.3"/>
    <n v="3.6"/>
    <x v="3"/>
    <n v="1"/>
    <n v="31.94"/>
  </r>
  <r>
    <n v="340"/>
    <x v="4"/>
    <n v="57"/>
    <x v="1"/>
    <n v="46.1"/>
    <n v="1.76"/>
    <n v="165"/>
    <n v="130"/>
    <n v="60"/>
    <x v="70"/>
    <x v="193"/>
    <x v="3"/>
    <n v="25.8"/>
    <n v="1.7"/>
    <x v="1"/>
    <n v="2"/>
    <n v="14.88"/>
  </r>
  <r>
    <n v="341"/>
    <x v="0"/>
    <n v="50"/>
    <x v="0"/>
    <n v="90.8"/>
    <n v="1.71"/>
    <n v="173"/>
    <n v="153"/>
    <n v="62"/>
    <x v="53"/>
    <x v="288"/>
    <x v="0"/>
    <n v="22.6"/>
    <n v="3.4"/>
    <x v="0"/>
    <n v="2"/>
    <n v="31.05"/>
  </r>
  <r>
    <n v="342"/>
    <x v="9"/>
    <n v="26"/>
    <x v="1"/>
    <n v="59.3"/>
    <n v="1.51"/>
    <n v="181"/>
    <n v="129"/>
    <n v="71"/>
    <x v="119"/>
    <x v="289"/>
    <x v="3"/>
    <n v="15.1"/>
    <n v="2.7"/>
    <x v="2"/>
    <n v="3"/>
    <n v="26.01"/>
  </r>
  <r>
    <n v="343"/>
    <x v="1"/>
    <n v="56"/>
    <x v="1"/>
    <n v="45.1"/>
    <n v="1.73"/>
    <n v="165"/>
    <n v="129"/>
    <n v="73"/>
    <x v="87"/>
    <x v="290"/>
    <x v="3"/>
    <n v="25.4"/>
    <n v="2.6"/>
    <x v="1"/>
    <n v="1"/>
    <n v="15.07"/>
  </r>
  <r>
    <n v="344"/>
    <x v="1"/>
    <n v="46"/>
    <x v="0"/>
    <n v="45"/>
    <n v="1.77"/>
    <n v="185"/>
    <n v="162"/>
    <n v="58"/>
    <x v="26"/>
    <x v="291"/>
    <x v="2"/>
    <n v="29.1"/>
    <n v="3.6"/>
    <x v="1"/>
    <n v="2"/>
    <n v="14.36"/>
  </r>
  <r>
    <n v="345"/>
    <x v="8"/>
    <n v="59"/>
    <x v="0"/>
    <n v="89.4"/>
    <n v="1.62"/>
    <n v="198"/>
    <n v="125"/>
    <n v="59"/>
    <x v="116"/>
    <x v="139"/>
    <x v="3"/>
    <n v="23.5"/>
    <n v="3.6"/>
    <x v="1"/>
    <n v="2"/>
    <n v="34.06"/>
  </r>
  <r>
    <n v="346"/>
    <x v="2"/>
    <n v="43"/>
    <x v="0"/>
    <n v="127.7"/>
    <n v="1.69"/>
    <n v="171"/>
    <n v="155"/>
    <n v="53"/>
    <x v="36"/>
    <x v="21"/>
    <x v="2"/>
    <n v="24.1"/>
    <n v="2.9"/>
    <x v="1"/>
    <n v="2"/>
    <n v="44.71"/>
  </r>
  <r>
    <n v="347"/>
    <x v="5"/>
    <n v="52"/>
    <x v="0"/>
    <n v="70.900000000000006"/>
    <n v="1.72"/>
    <n v="194"/>
    <n v="143"/>
    <n v="66"/>
    <x v="34"/>
    <x v="292"/>
    <x v="3"/>
    <n v="20.2"/>
    <n v="2.6"/>
    <x v="1"/>
    <n v="2"/>
    <n v="23.97"/>
  </r>
  <r>
    <n v="348"/>
    <x v="0"/>
    <n v="42"/>
    <x v="1"/>
    <n v="49.2"/>
    <n v="1.5"/>
    <n v="173"/>
    <n v="131"/>
    <n v="63"/>
    <x v="11"/>
    <x v="136"/>
    <x v="1"/>
    <n v="27.7"/>
    <n v="1.5"/>
    <x v="1"/>
    <n v="2"/>
    <n v="21.87"/>
  </r>
  <r>
    <n v="349"/>
    <x v="7"/>
    <n v="41"/>
    <x v="1"/>
    <n v="62.3"/>
    <n v="1.79"/>
    <n v="181"/>
    <n v="162"/>
    <n v="73"/>
    <x v="49"/>
    <x v="293"/>
    <x v="0"/>
    <n v="19"/>
    <n v="2.7"/>
    <x v="2"/>
    <n v="3"/>
    <n v="19.440000000000001"/>
  </r>
  <r>
    <n v="350"/>
    <x v="7"/>
    <n v="30"/>
    <x v="0"/>
    <n v="64.099999999999994"/>
    <n v="1.87"/>
    <n v="182"/>
    <n v="142"/>
    <n v="67"/>
    <x v="4"/>
    <x v="121"/>
    <x v="0"/>
    <n v="26.2"/>
    <n v="2.1"/>
    <x v="3"/>
    <n v="1"/>
    <n v="18.329999999999998"/>
  </r>
  <r>
    <n v="351"/>
    <x v="0"/>
    <n v="24"/>
    <x v="1"/>
    <n v="69.7"/>
    <n v="1.75"/>
    <n v="166"/>
    <n v="146"/>
    <n v="60"/>
    <x v="39"/>
    <x v="294"/>
    <x v="2"/>
    <n v="32.5"/>
    <n v="2"/>
    <x v="1"/>
    <n v="1"/>
    <n v="22.76"/>
  </r>
  <r>
    <n v="352"/>
    <x v="6"/>
    <n v="53"/>
    <x v="1"/>
    <n v="56.9"/>
    <n v="1.59"/>
    <n v="199"/>
    <n v="164"/>
    <n v="65"/>
    <x v="6"/>
    <x v="271"/>
    <x v="1"/>
    <n v="29.5"/>
    <n v="2"/>
    <x v="1"/>
    <n v="2"/>
    <n v="22.51"/>
  </r>
  <r>
    <n v="353"/>
    <x v="5"/>
    <n v="37"/>
    <x v="1"/>
    <n v="53"/>
    <n v="1.71"/>
    <n v="184"/>
    <n v="156"/>
    <n v="50"/>
    <x v="15"/>
    <x v="295"/>
    <x v="0"/>
    <n v="28.1"/>
    <n v="1.7"/>
    <x v="0"/>
    <n v="2"/>
    <n v="18.13"/>
  </r>
  <r>
    <n v="354"/>
    <x v="9"/>
    <n v="18"/>
    <x v="1"/>
    <n v="72.7"/>
    <n v="1.55"/>
    <n v="172"/>
    <n v="125"/>
    <n v="56"/>
    <x v="38"/>
    <x v="296"/>
    <x v="2"/>
    <n v="29.8"/>
    <n v="2"/>
    <x v="1"/>
    <n v="1"/>
    <n v="30.26"/>
  </r>
  <r>
    <n v="355"/>
    <x v="4"/>
    <n v="25"/>
    <x v="0"/>
    <n v="76.5"/>
    <n v="1.96"/>
    <n v="180"/>
    <n v="120"/>
    <n v="59"/>
    <x v="88"/>
    <x v="297"/>
    <x v="3"/>
    <n v="23.2"/>
    <n v="2.2999999999999998"/>
    <x v="1"/>
    <n v="1"/>
    <n v="19.91"/>
  </r>
  <r>
    <n v="356"/>
    <x v="6"/>
    <n v="33"/>
    <x v="0"/>
    <n v="113.6"/>
    <n v="1.99"/>
    <n v="169"/>
    <n v="125"/>
    <n v="58"/>
    <x v="82"/>
    <x v="235"/>
    <x v="3"/>
    <n v="28.4"/>
    <n v="3.4"/>
    <x v="3"/>
    <n v="1"/>
    <n v="28.69"/>
  </r>
  <r>
    <n v="357"/>
    <x v="4"/>
    <n v="31"/>
    <x v="1"/>
    <n v="62.5"/>
    <n v="1.62"/>
    <n v="168"/>
    <n v="169"/>
    <n v="74"/>
    <x v="120"/>
    <x v="53"/>
    <x v="1"/>
    <n v="16.5"/>
    <n v="2.7"/>
    <x v="0"/>
    <n v="3"/>
    <n v="23.81"/>
  </r>
  <r>
    <n v="358"/>
    <x v="4"/>
    <n v="29"/>
    <x v="0"/>
    <n v="95.2"/>
    <n v="1.86"/>
    <n v="174"/>
    <n v="141"/>
    <n v="52"/>
    <x v="4"/>
    <x v="298"/>
    <x v="0"/>
    <n v="26.6"/>
    <n v="2.5"/>
    <x v="3"/>
    <n v="1"/>
    <n v="27.52"/>
  </r>
  <r>
    <n v="359"/>
    <x v="6"/>
    <n v="40"/>
    <x v="0"/>
    <n v="51.7"/>
    <n v="1.82"/>
    <n v="161"/>
    <n v="160"/>
    <n v="71"/>
    <x v="111"/>
    <x v="254"/>
    <x v="3"/>
    <n v="21.4"/>
    <n v="3"/>
    <x v="1"/>
    <n v="1"/>
    <n v="15.61"/>
  </r>
  <r>
    <n v="360"/>
    <x v="8"/>
    <n v="32"/>
    <x v="0"/>
    <n v="105.3"/>
    <n v="1.67"/>
    <n v="184"/>
    <n v="143"/>
    <n v="72"/>
    <x v="121"/>
    <x v="299"/>
    <x v="2"/>
    <n v="26.9"/>
    <n v="2.9"/>
    <x v="1"/>
    <n v="1"/>
    <n v="37.76"/>
  </r>
  <r>
    <n v="361"/>
    <x v="1"/>
    <n v="45"/>
    <x v="1"/>
    <n v="71.2"/>
    <n v="1.68"/>
    <n v="172"/>
    <n v="144"/>
    <n v="63"/>
    <x v="18"/>
    <x v="110"/>
    <x v="3"/>
    <n v="34.1"/>
    <n v="1.6"/>
    <x v="1"/>
    <n v="1"/>
    <n v="25.23"/>
  </r>
  <r>
    <n v="362"/>
    <x v="4"/>
    <n v="51"/>
    <x v="1"/>
    <n v="78.099999999999994"/>
    <n v="1.51"/>
    <n v="193"/>
    <n v="134"/>
    <n v="74"/>
    <x v="93"/>
    <x v="300"/>
    <x v="3"/>
    <n v="31.1"/>
    <n v="2.6"/>
    <x v="1"/>
    <n v="1"/>
    <n v="34.25"/>
  </r>
  <r>
    <n v="363"/>
    <x v="6"/>
    <n v="19"/>
    <x v="1"/>
    <n v="50.6"/>
    <n v="1.68"/>
    <n v="193"/>
    <n v="145"/>
    <n v="64"/>
    <x v="101"/>
    <x v="138"/>
    <x v="0"/>
    <n v="30.6"/>
    <n v="2.1"/>
    <x v="1"/>
    <n v="2"/>
    <n v="17.93"/>
  </r>
  <r>
    <n v="364"/>
    <x v="6"/>
    <n v="49"/>
    <x v="0"/>
    <n v="70.2"/>
    <n v="1.89"/>
    <n v="194"/>
    <n v="127"/>
    <n v="51"/>
    <x v="84"/>
    <x v="57"/>
    <x v="0"/>
    <n v="29.6"/>
    <n v="2.6"/>
    <x v="1"/>
    <n v="1"/>
    <n v="19.649999999999999"/>
  </r>
  <r>
    <n v="365"/>
    <x v="3"/>
    <n v="40"/>
    <x v="1"/>
    <n v="62.6"/>
    <n v="1.53"/>
    <n v="197"/>
    <n v="143"/>
    <n v="73"/>
    <x v="59"/>
    <x v="301"/>
    <x v="2"/>
    <n v="18.100000000000001"/>
    <n v="2.7"/>
    <x v="2"/>
    <n v="3"/>
    <n v="26.74"/>
  </r>
  <r>
    <n v="366"/>
    <x v="8"/>
    <n v="39"/>
    <x v="1"/>
    <n v="60.6"/>
    <n v="1.65"/>
    <n v="162"/>
    <n v="167"/>
    <n v="63"/>
    <x v="93"/>
    <x v="302"/>
    <x v="1"/>
    <n v="27.6"/>
    <n v="1.7"/>
    <x v="1"/>
    <n v="1"/>
    <n v="22.26"/>
  </r>
  <r>
    <n v="367"/>
    <x v="2"/>
    <n v="42"/>
    <x v="0"/>
    <n v="76.400000000000006"/>
    <n v="1.97"/>
    <n v="165"/>
    <n v="157"/>
    <n v="65"/>
    <x v="36"/>
    <x v="146"/>
    <x v="1"/>
    <n v="22.9"/>
    <n v="2.6"/>
    <x v="1"/>
    <n v="2"/>
    <n v="19.690000000000001"/>
  </r>
  <r>
    <n v="368"/>
    <x v="3"/>
    <n v="39"/>
    <x v="1"/>
    <n v="63.3"/>
    <n v="1.71"/>
    <n v="178"/>
    <n v="125"/>
    <n v="56"/>
    <x v="122"/>
    <x v="303"/>
    <x v="3"/>
    <n v="18.5"/>
    <n v="2.7"/>
    <x v="0"/>
    <n v="3"/>
    <n v="21.65"/>
  </r>
  <r>
    <n v="369"/>
    <x v="3"/>
    <n v="39"/>
    <x v="1"/>
    <n v="68.599999999999994"/>
    <n v="1.64"/>
    <n v="162"/>
    <n v="154"/>
    <n v="53"/>
    <x v="16"/>
    <x v="304"/>
    <x v="2"/>
    <n v="32.4"/>
    <n v="1.5"/>
    <x v="1"/>
    <n v="2"/>
    <n v="25.51"/>
  </r>
  <r>
    <n v="370"/>
    <x v="0"/>
    <n v="59"/>
    <x v="0"/>
    <n v="123.3"/>
    <n v="1.88"/>
    <n v="177"/>
    <n v="161"/>
    <n v="67"/>
    <x v="1"/>
    <x v="305"/>
    <x v="1"/>
    <n v="23"/>
    <n v="2.6"/>
    <x v="0"/>
    <n v="2"/>
    <n v="34.89"/>
  </r>
  <r>
    <n v="371"/>
    <x v="1"/>
    <n v="23"/>
    <x v="0"/>
    <n v="107"/>
    <n v="1.94"/>
    <n v="198"/>
    <n v="120"/>
    <n v="73"/>
    <x v="14"/>
    <x v="306"/>
    <x v="1"/>
    <n v="23.5"/>
    <n v="2.9"/>
    <x v="3"/>
    <n v="1"/>
    <n v="28.43"/>
  </r>
  <r>
    <n v="372"/>
    <x v="6"/>
    <n v="32"/>
    <x v="0"/>
    <n v="68.3"/>
    <n v="1.92"/>
    <n v="168"/>
    <n v="165"/>
    <n v="54"/>
    <x v="24"/>
    <x v="307"/>
    <x v="3"/>
    <n v="29.9"/>
    <n v="3.5"/>
    <x v="3"/>
    <n v="1"/>
    <n v="18.53"/>
  </r>
  <r>
    <n v="373"/>
    <x v="1"/>
    <n v="54"/>
    <x v="1"/>
    <n v="47.8"/>
    <n v="1.6"/>
    <n v="171"/>
    <n v="155"/>
    <n v="55"/>
    <x v="17"/>
    <x v="308"/>
    <x v="2"/>
    <n v="26"/>
    <n v="2.2999999999999998"/>
    <x v="0"/>
    <n v="2"/>
    <n v="18.670000000000002"/>
  </r>
  <r>
    <n v="374"/>
    <x v="5"/>
    <n v="50"/>
    <x v="1"/>
    <n v="58.4"/>
    <n v="1.79"/>
    <n v="164"/>
    <n v="131"/>
    <n v="56"/>
    <x v="102"/>
    <x v="309"/>
    <x v="1"/>
    <n v="17"/>
    <n v="2.7"/>
    <x v="0"/>
    <n v="3"/>
    <n v="18.23"/>
  </r>
  <r>
    <n v="375"/>
    <x v="0"/>
    <n v="25"/>
    <x v="1"/>
    <n v="74.3"/>
    <n v="1.71"/>
    <n v="162"/>
    <n v="157"/>
    <n v="64"/>
    <x v="116"/>
    <x v="285"/>
    <x v="0"/>
    <n v="25.6"/>
    <n v="1.6"/>
    <x v="1"/>
    <n v="2"/>
    <n v="25.41"/>
  </r>
  <r>
    <n v="376"/>
    <x v="2"/>
    <n v="22"/>
    <x v="0"/>
    <n v="106.8"/>
    <n v="1.82"/>
    <n v="170"/>
    <n v="130"/>
    <n v="50"/>
    <x v="75"/>
    <x v="310"/>
    <x v="0"/>
    <n v="28.2"/>
    <n v="2.2999999999999998"/>
    <x v="0"/>
    <n v="2"/>
    <n v="32.24"/>
  </r>
  <r>
    <n v="377"/>
    <x v="1"/>
    <n v="56"/>
    <x v="0"/>
    <n v="125.5"/>
    <n v="1.8"/>
    <n v="189"/>
    <n v="131"/>
    <n v="73"/>
    <x v="32"/>
    <x v="311"/>
    <x v="3"/>
    <n v="20.9"/>
    <n v="2.7"/>
    <x v="0"/>
    <n v="2"/>
    <n v="38.729999999999997"/>
  </r>
  <r>
    <n v="378"/>
    <x v="7"/>
    <n v="21"/>
    <x v="1"/>
    <n v="55.2"/>
    <n v="1.55"/>
    <n v="163"/>
    <n v="161"/>
    <n v="53"/>
    <x v="18"/>
    <x v="83"/>
    <x v="3"/>
    <n v="31.7"/>
    <n v="1.7"/>
    <x v="0"/>
    <n v="2"/>
    <n v="22.98"/>
  </r>
  <r>
    <n v="379"/>
    <x v="4"/>
    <n v="23"/>
    <x v="1"/>
    <n v="71.400000000000006"/>
    <n v="1.72"/>
    <n v="164"/>
    <n v="169"/>
    <n v="74"/>
    <x v="23"/>
    <x v="220"/>
    <x v="3"/>
    <n v="25.6"/>
    <n v="1.5"/>
    <x v="3"/>
    <n v="1"/>
    <n v="24.13"/>
  </r>
  <r>
    <n v="380"/>
    <x v="5"/>
    <n v="49"/>
    <x v="0"/>
    <n v="77.7"/>
    <n v="1.61"/>
    <n v="160"/>
    <n v="158"/>
    <n v="50"/>
    <x v="8"/>
    <x v="312"/>
    <x v="3"/>
    <n v="26.7"/>
    <n v="3.4"/>
    <x v="1"/>
    <n v="2"/>
    <n v="29.98"/>
  </r>
  <r>
    <n v="381"/>
    <x v="8"/>
    <n v="47"/>
    <x v="0"/>
    <n v="88.4"/>
    <n v="1.6"/>
    <n v="186"/>
    <n v="126"/>
    <n v="60"/>
    <x v="123"/>
    <x v="313"/>
    <x v="1"/>
    <n v="14.2"/>
    <n v="3.5"/>
    <x v="2"/>
    <n v="3"/>
    <n v="34.53"/>
  </r>
  <r>
    <n v="382"/>
    <x v="2"/>
    <n v="52"/>
    <x v="0"/>
    <n v="104.8"/>
    <n v="1.99"/>
    <n v="187"/>
    <n v="130"/>
    <n v="67"/>
    <x v="105"/>
    <x v="184"/>
    <x v="2"/>
    <n v="24"/>
    <n v="2"/>
    <x v="3"/>
    <n v="1"/>
    <n v="26.46"/>
  </r>
  <r>
    <n v="383"/>
    <x v="5"/>
    <n v="57"/>
    <x v="0"/>
    <n v="82.2"/>
    <n v="1.69"/>
    <n v="188"/>
    <n v="155"/>
    <n v="63"/>
    <x v="11"/>
    <x v="314"/>
    <x v="3"/>
    <n v="25.2"/>
    <n v="3.4"/>
    <x v="0"/>
    <n v="2"/>
    <n v="28.78"/>
  </r>
  <r>
    <n v="384"/>
    <x v="4"/>
    <n v="33"/>
    <x v="1"/>
    <n v="68.2"/>
    <n v="1.75"/>
    <n v="177"/>
    <n v="150"/>
    <n v="71"/>
    <x v="124"/>
    <x v="315"/>
    <x v="3"/>
    <n v="29"/>
    <n v="1.7"/>
    <x v="3"/>
    <n v="1"/>
    <n v="22.27"/>
  </r>
  <r>
    <n v="385"/>
    <x v="0"/>
    <n v="30"/>
    <x v="0"/>
    <n v="91.4"/>
    <n v="1.99"/>
    <n v="171"/>
    <n v="152"/>
    <n v="60"/>
    <x v="18"/>
    <x v="316"/>
    <x v="1"/>
    <n v="23"/>
    <n v="3.7"/>
    <x v="1"/>
    <n v="2"/>
    <n v="23.08"/>
  </r>
  <r>
    <n v="386"/>
    <x v="4"/>
    <n v="59"/>
    <x v="1"/>
    <n v="42.1"/>
    <n v="1.65"/>
    <n v="172"/>
    <n v="132"/>
    <n v="59"/>
    <x v="74"/>
    <x v="317"/>
    <x v="3"/>
    <n v="33"/>
    <n v="2.2000000000000002"/>
    <x v="3"/>
    <n v="1"/>
    <n v="15.46"/>
  </r>
  <r>
    <n v="387"/>
    <x v="3"/>
    <n v="47"/>
    <x v="1"/>
    <n v="68.7"/>
    <n v="1.76"/>
    <n v="161"/>
    <n v="137"/>
    <n v="66"/>
    <x v="18"/>
    <x v="318"/>
    <x v="3"/>
    <n v="27.7"/>
    <n v="2.4"/>
    <x v="1"/>
    <n v="2"/>
    <n v="22.18"/>
  </r>
  <r>
    <n v="388"/>
    <x v="4"/>
    <n v="36"/>
    <x v="1"/>
    <n v="47.2"/>
    <n v="1.74"/>
    <n v="196"/>
    <n v="160"/>
    <n v="53"/>
    <x v="19"/>
    <x v="319"/>
    <x v="2"/>
    <n v="32.200000000000003"/>
    <n v="1.6"/>
    <x v="0"/>
    <n v="2"/>
    <n v="15.59"/>
  </r>
  <r>
    <n v="389"/>
    <x v="3"/>
    <n v="34"/>
    <x v="0"/>
    <n v="92"/>
    <n v="1.76"/>
    <n v="175"/>
    <n v="143"/>
    <n v="73"/>
    <x v="25"/>
    <x v="158"/>
    <x v="0"/>
    <n v="22.1"/>
    <n v="3.5"/>
    <x v="1"/>
    <n v="1"/>
    <n v="29.7"/>
  </r>
  <r>
    <n v="390"/>
    <x v="0"/>
    <n v="36"/>
    <x v="0"/>
    <n v="56.2"/>
    <n v="1.95"/>
    <n v="183"/>
    <n v="128"/>
    <n v="64"/>
    <x v="58"/>
    <x v="165"/>
    <x v="3"/>
    <n v="22.5"/>
    <n v="3.4"/>
    <x v="0"/>
    <n v="2"/>
    <n v="14.78"/>
  </r>
  <r>
    <n v="391"/>
    <x v="9"/>
    <n v="45"/>
    <x v="0"/>
    <n v="58.4"/>
    <n v="1.72"/>
    <n v="194"/>
    <n v="150"/>
    <n v="65"/>
    <x v="34"/>
    <x v="320"/>
    <x v="1"/>
    <n v="23.4"/>
    <n v="3.1"/>
    <x v="0"/>
    <n v="2"/>
    <n v="19.739999999999998"/>
  </r>
  <r>
    <n v="392"/>
    <x v="3"/>
    <n v="43"/>
    <x v="0"/>
    <n v="82.9"/>
    <n v="1.95"/>
    <n v="181"/>
    <n v="160"/>
    <n v="70"/>
    <x v="125"/>
    <x v="321"/>
    <x v="2"/>
    <n v="12.9"/>
    <n v="3.5"/>
    <x v="2"/>
    <n v="3"/>
    <n v="21.8"/>
  </r>
  <r>
    <n v="393"/>
    <x v="8"/>
    <n v="54"/>
    <x v="1"/>
    <n v="66.900000000000006"/>
    <n v="1.74"/>
    <n v="195"/>
    <n v="129"/>
    <n v="62"/>
    <x v="12"/>
    <x v="322"/>
    <x v="1"/>
    <n v="29.5"/>
    <n v="2.1"/>
    <x v="3"/>
    <n v="1"/>
    <n v="22.1"/>
  </r>
  <r>
    <n v="394"/>
    <x v="4"/>
    <n v="43"/>
    <x v="0"/>
    <n v="66.3"/>
    <n v="1.85"/>
    <n v="170"/>
    <n v="121"/>
    <n v="58"/>
    <x v="13"/>
    <x v="173"/>
    <x v="2"/>
    <n v="27.5"/>
    <n v="3.2"/>
    <x v="3"/>
    <n v="1"/>
    <n v="19.37"/>
  </r>
  <r>
    <n v="395"/>
    <x v="4"/>
    <n v="40"/>
    <x v="0"/>
    <n v="93.6"/>
    <n v="1.93"/>
    <n v="188"/>
    <n v="157"/>
    <n v="60"/>
    <x v="82"/>
    <x v="323"/>
    <x v="2"/>
    <n v="22.1"/>
    <n v="2"/>
    <x v="1"/>
    <n v="1"/>
    <n v="25.13"/>
  </r>
  <r>
    <n v="396"/>
    <x v="8"/>
    <n v="26"/>
    <x v="1"/>
    <n v="64.099999999999994"/>
    <n v="1.5"/>
    <n v="194"/>
    <n v="134"/>
    <n v="60"/>
    <x v="59"/>
    <x v="324"/>
    <x v="3"/>
    <n v="15.1"/>
    <n v="2.7"/>
    <x v="2"/>
    <n v="3"/>
    <n v="28.49"/>
  </r>
  <r>
    <n v="397"/>
    <x v="7"/>
    <n v="29"/>
    <x v="0"/>
    <n v="86.7"/>
    <n v="1.62"/>
    <n v="174"/>
    <n v="122"/>
    <n v="55"/>
    <x v="30"/>
    <x v="103"/>
    <x v="3"/>
    <n v="13.9"/>
    <n v="3.5"/>
    <x v="0"/>
    <n v="3"/>
    <n v="33.04"/>
  </r>
  <r>
    <n v="398"/>
    <x v="6"/>
    <n v="18"/>
    <x v="1"/>
    <n v="62"/>
    <n v="1.59"/>
    <n v="190"/>
    <n v="162"/>
    <n v="50"/>
    <x v="40"/>
    <x v="325"/>
    <x v="3"/>
    <n v="33.200000000000003"/>
    <n v="2.2000000000000002"/>
    <x v="0"/>
    <n v="2"/>
    <n v="24.52"/>
  </r>
  <r>
    <n v="399"/>
    <x v="9"/>
    <n v="18"/>
    <x v="1"/>
    <n v="58.1"/>
    <n v="1.61"/>
    <n v="175"/>
    <n v="150"/>
    <n v="71"/>
    <x v="125"/>
    <x v="326"/>
    <x v="0"/>
    <n v="15.3"/>
    <n v="2.7"/>
    <x v="0"/>
    <n v="3"/>
    <n v="22.41"/>
  </r>
  <r>
    <n v="400"/>
    <x v="2"/>
    <n v="51"/>
    <x v="1"/>
    <n v="64.900000000000006"/>
    <n v="1.6"/>
    <n v="169"/>
    <n v="125"/>
    <n v="55"/>
    <x v="6"/>
    <x v="327"/>
    <x v="0"/>
    <n v="31.1"/>
    <n v="2.5"/>
    <x v="0"/>
    <n v="2"/>
    <n v="25.35"/>
  </r>
  <r>
    <n v="401"/>
    <x v="3"/>
    <n v="49"/>
    <x v="1"/>
    <n v="69.3"/>
    <n v="1.62"/>
    <n v="191"/>
    <n v="122"/>
    <n v="62"/>
    <x v="36"/>
    <x v="328"/>
    <x v="1"/>
    <n v="28.8"/>
    <n v="1.9"/>
    <x v="0"/>
    <n v="2"/>
    <n v="26.41"/>
  </r>
  <r>
    <n v="402"/>
    <x v="8"/>
    <n v="42"/>
    <x v="1"/>
    <n v="42.7"/>
    <n v="1.74"/>
    <n v="161"/>
    <n v="130"/>
    <n v="71"/>
    <x v="29"/>
    <x v="133"/>
    <x v="3"/>
    <n v="32.9"/>
    <n v="1.6"/>
    <x v="1"/>
    <n v="1"/>
    <n v="14.1"/>
  </r>
  <r>
    <n v="403"/>
    <x v="0"/>
    <n v="57"/>
    <x v="1"/>
    <n v="51.4"/>
    <n v="1.63"/>
    <n v="183"/>
    <n v="134"/>
    <n v="73"/>
    <x v="37"/>
    <x v="329"/>
    <x v="0"/>
    <n v="33.700000000000003"/>
    <n v="2"/>
    <x v="0"/>
    <n v="2"/>
    <n v="19.350000000000001"/>
  </r>
  <r>
    <n v="404"/>
    <x v="3"/>
    <n v="18"/>
    <x v="1"/>
    <n v="67.400000000000006"/>
    <n v="1.6"/>
    <n v="182"/>
    <n v="164"/>
    <n v="71"/>
    <x v="126"/>
    <x v="330"/>
    <x v="3"/>
    <n v="33.5"/>
    <n v="2.4"/>
    <x v="1"/>
    <n v="1"/>
    <n v="26.33"/>
  </r>
  <r>
    <n v="405"/>
    <x v="6"/>
    <n v="33"/>
    <x v="1"/>
    <n v="55.6"/>
    <n v="1.61"/>
    <n v="161"/>
    <n v="147"/>
    <n v="54"/>
    <x v="127"/>
    <x v="331"/>
    <x v="0"/>
    <n v="18.899999999999999"/>
    <n v="2.7"/>
    <x v="0"/>
    <n v="3"/>
    <n v="21.45"/>
  </r>
  <r>
    <n v="406"/>
    <x v="0"/>
    <n v="56"/>
    <x v="0"/>
    <n v="125.3"/>
    <n v="1.86"/>
    <n v="197"/>
    <n v="129"/>
    <n v="64"/>
    <x v="75"/>
    <x v="115"/>
    <x v="0"/>
    <n v="22.7"/>
    <n v="2.2000000000000002"/>
    <x v="1"/>
    <n v="2"/>
    <n v="36.22"/>
  </r>
  <r>
    <n v="407"/>
    <x v="5"/>
    <n v="22"/>
    <x v="0"/>
    <n v="102.1"/>
    <n v="1.85"/>
    <n v="190"/>
    <n v="157"/>
    <n v="67"/>
    <x v="26"/>
    <x v="332"/>
    <x v="2"/>
    <n v="28.1"/>
    <n v="2.4"/>
    <x v="0"/>
    <n v="2"/>
    <n v="29.83"/>
  </r>
  <r>
    <n v="408"/>
    <x v="4"/>
    <n v="39"/>
    <x v="0"/>
    <n v="61.9"/>
    <n v="1.77"/>
    <n v="199"/>
    <n v="166"/>
    <n v="69"/>
    <x v="31"/>
    <x v="333"/>
    <x v="3"/>
    <n v="25.3"/>
    <n v="2.2999999999999998"/>
    <x v="1"/>
    <n v="1"/>
    <n v="19.760000000000002"/>
  </r>
  <r>
    <n v="409"/>
    <x v="5"/>
    <n v="46"/>
    <x v="0"/>
    <n v="108.8"/>
    <n v="1.64"/>
    <n v="185"/>
    <n v="169"/>
    <n v="63"/>
    <x v="44"/>
    <x v="334"/>
    <x v="3"/>
    <n v="20.5"/>
    <n v="3.4"/>
    <x v="1"/>
    <n v="1"/>
    <n v="40.450000000000003"/>
  </r>
  <r>
    <n v="410"/>
    <x v="3"/>
    <n v="20"/>
    <x v="1"/>
    <n v="51.1"/>
    <n v="1.58"/>
    <n v="188"/>
    <n v="169"/>
    <n v="64"/>
    <x v="128"/>
    <x v="335"/>
    <x v="0"/>
    <n v="29.6"/>
    <n v="1.6"/>
    <x v="3"/>
    <n v="1"/>
    <n v="20.47"/>
  </r>
  <r>
    <n v="411"/>
    <x v="6"/>
    <n v="29"/>
    <x v="0"/>
    <n v="81.7"/>
    <n v="1.99"/>
    <n v="162"/>
    <n v="126"/>
    <n v="54"/>
    <x v="35"/>
    <x v="336"/>
    <x v="3"/>
    <n v="29.4"/>
    <n v="3.2"/>
    <x v="3"/>
    <n v="1"/>
    <n v="20.63"/>
  </r>
  <r>
    <n v="412"/>
    <x v="9"/>
    <n v="43"/>
    <x v="1"/>
    <n v="42.7"/>
    <n v="1.66"/>
    <n v="173"/>
    <n v="134"/>
    <n v="53"/>
    <x v="25"/>
    <x v="57"/>
    <x v="0"/>
    <n v="33.9"/>
    <n v="1.9"/>
    <x v="3"/>
    <n v="1"/>
    <n v="15.5"/>
  </r>
  <r>
    <n v="413"/>
    <x v="3"/>
    <n v="33"/>
    <x v="0"/>
    <n v="81.8"/>
    <n v="1.99"/>
    <n v="184"/>
    <n v="137"/>
    <n v="51"/>
    <x v="5"/>
    <x v="337"/>
    <x v="3"/>
    <n v="10.5"/>
    <n v="3.5"/>
    <x v="0"/>
    <n v="3"/>
    <n v="20.66"/>
  </r>
  <r>
    <n v="414"/>
    <x v="8"/>
    <n v="54"/>
    <x v="0"/>
    <n v="54.6"/>
    <n v="1.76"/>
    <n v="160"/>
    <n v="137"/>
    <n v="56"/>
    <x v="76"/>
    <x v="338"/>
    <x v="2"/>
    <n v="27.4"/>
    <n v="3.3"/>
    <x v="0"/>
    <n v="2"/>
    <n v="17.63"/>
  </r>
  <r>
    <n v="415"/>
    <x v="1"/>
    <n v="39"/>
    <x v="0"/>
    <n v="107.7"/>
    <n v="1.88"/>
    <n v="162"/>
    <n v="160"/>
    <n v="59"/>
    <x v="129"/>
    <x v="339"/>
    <x v="3"/>
    <n v="28.1"/>
    <n v="3.6"/>
    <x v="3"/>
    <n v="1"/>
    <n v="30.47"/>
  </r>
  <r>
    <n v="416"/>
    <x v="3"/>
    <n v="46"/>
    <x v="1"/>
    <n v="56.9"/>
    <n v="1.6"/>
    <n v="185"/>
    <n v="143"/>
    <n v="65"/>
    <x v="130"/>
    <x v="340"/>
    <x v="2"/>
    <n v="27.7"/>
    <n v="1.6"/>
    <x v="1"/>
    <n v="1"/>
    <n v="22.23"/>
  </r>
  <r>
    <n v="417"/>
    <x v="4"/>
    <n v="31"/>
    <x v="0"/>
    <n v="78.8"/>
    <n v="1.71"/>
    <n v="177"/>
    <n v="121"/>
    <n v="59"/>
    <x v="6"/>
    <x v="341"/>
    <x v="1"/>
    <n v="24.7"/>
    <n v="2.5"/>
    <x v="0"/>
    <n v="2"/>
    <n v="26.95"/>
  </r>
  <r>
    <n v="418"/>
    <x v="4"/>
    <n v="45"/>
    <x v="1"/>
    <n v="48.2"/>
    <n v="1.64"/>
    <n v="168"/>
    <n v="159"/>
    <n v="67"/>
    <x v="23"/>
    <x v="342"/>
    <x v="3"/>
    <n v="32.1"/>
    <n v="2.5"/>
    <x v="0"/>
    <n v="2"/>
    <n v="17.920000000000002"/>
  </r>
  <r>
    <n v="419"/>
    <x v="3"/>
    <n v="22"/>
    <x v="1"/>
    <n v="50.7"/>
    <n v="1.59"/>
    <n v="197"/>
    <n v="139"/>
    <n v="66"/>
    <x v="7"/>
    <x v="1"/>
    <x v="3"/>
    <n v="29.4"/>
    <n v="1.8"/>
    <x v="1"/>
    <n v="2"/>
    <n v="20.05"/>
  </r>
  <r>
    <n v="420"/>
    <x v="0"/>
    <n v="47"/>
    <x v="0"/>
    <n v="86.6"/>
    <n v="1.99"/>
    <n v="182"/>
    <n v="153"/>
    <n v="70"/>
    <x v="77"/>
    <x v="343"/>
    <x v="3"/>
    <n v="10.6"/>
    <n v="3.5"/>
    <x v="0"/>
    <n v="3"/>
    <n v="21.87"/>
  </r>
  <r>
    <n v="421"/>
    <x v="1"/>
    <n v="22"/>
    <x v="0"/>
    <n v="96.3"/>
    <n v="1.63"/>
    <n v="180"/>
    <n v="162"/>
    <n v="62"/>
    <x v="14"/>
    <x v="344"/>
    <x v="2"/>
    <n v="27.1"/>
    <n v="2.4"/>
    <x v="0"/>
    <n v="2"/>
    <n v="36.25"/>
  </r>
  <r>
    <n v="422"/>
    <x v="8"/>
    <n v="29"/>
    <x v="0"/>
    <n v="80.8"/>
    <n v="1.98"/>
    <n v="160"/>
    <n v="145"/>
    <n v="50"/>
    <x v="131"/>
    <x v="345"/>
    <x v="3"/>
    <n v="14.6"/>
    <n v="3.5"/>
    <x v="2"/>
    <n v="3"/>
    <n v="20.61"/>
  </r>
  <r>
    <n v="423"/>
    <x v="3"/>
    <n v="33"/>
    <x v="1"/>
    <n v="58"/>
    <n v="1.53"/>
    <n v="180"/>
    <n v="126"/>
    <n v="50"/>
    <x v="99"/>
    <x v="346"/>
    <x v="3"/>
    <n v="18.3"/>
    <n v="2.7"/>
    <x v="2"/>
    <n v="3"/>
    <n v="24.78"/>
  </r>
  <r>
    <n v="424"/>
    <x v="0"/>
    <n v="43"/>
    <x v="0"/>
    <n v="95.9"/>
    <n v="1.85"/>
    <n v="186"/>
    <n v="157"/>
    <n v="64"/>
    <x v="76"/>
    <x v="347"/>
    <x v="0"/>
    <n v="27.7"/>
    <n v="3.4"/>
    <x v="3"/>
    <n v="1"/>
    <n v="28.02"/>
  </r>
  <r>
    <n v="425"/>
    <x v="4"/>
    <n v="43"/>
    <x v="1"/>
    <n v="61.5"/>
    <n v="1.58"/>
    <n v="165"/>
    <n v="149"/>
    <n v="50"/>
    <x v="123"/>
    <x v="348"/>
    <x v="1"/>
    <n v="16.8"/>
    <n v="2.7"/>
    <x v="2"/>
    <n v="3"/>
    <n v="24.64"/>
  </r>
  <r>
    <n v="426"/>
    <x v="4"/>
    <n v="38"/>
    <x v="1"/>
    <n v="40.6"/>
    <n v="1.79"/>
    <n v="195"/>
    <n v="161"/>
    <n v="55"/>
    <x v="48"/>
    <x v="143"/>
    <x v="2"/>
    <n v="26.8"/>
    <n v="2.7"/>
    <x v="3"/>
    <n v="1"/>
    <n v="12.67"/>
  </r>
  <r>
    <n v="427"/>
    <x v="6"/>
    <n v="56"/>
    <x v="0"/>
    <n v="82.5"/>
    <n v="1.87"/>
    <n v="187"/>
    <n v="124"/>
    <n v="74"/>
    <x v="132"/>
    <x v="292"/>
    <x v="0"/>
    <n v="13.2"/>
    <n v="3.5"/>
    <x v="2"/>
    <n v="3"/>
    <n v="23.59"/>
  </r>
  <r>
    <n v="428"/>
    <x v="3"/>
    <n v="53"/>
    <x v="0"/>
    <n v="105.1"/>
    <n v="1.84"/>
    <n v="176"/>
    <n v="130"/>
    <n v="62"/>
    <x v="117"/>
    <x v="349"/>
    <x v="2"/>
    <n v="23.3"/>
    <n v="2.9"/>
    <x v="1"/>
    <n v="1"/>
    <n v="31.04"/>
  </r>
  <r>
    <n v="429"/>
    <x v="1"/>
    <n v="50"/>
    <x v="1"/>
    <n v="58.1"/>
    <n v="1.58"/>
    <n v="199"/>
    <n v="120"/>
    <n v="50"/>
    <x v="59"/>
    <x v="132"/>
    <x v="0"/>
    <n v="19.3"/>
    <n v="2.7"/>
    <x v="2"/>
    <n v="3"/>
    <n v="23.27"/>
  </r>
  <r>
    <n v="430"/>
    <x v="7"/>
    <n v="47"/>
    <x v="1"/>
    <n v="61"/>
    <n v="1.76"/>
    <n v="162"/>
    <n v="153"/>
    <n v="54"/>
    <x v="96"/>
    <x v="231"/>
    <x v="1"/>
    <n v="15.6"/>
    <n v="2.7"/>
    <x v="2"/>
    <n v="3"/>
    <n v="19.690000000000001"/>
  </r>
  <r>
    <n v="431"/>
    <x v="1"/>
    <n v="54"/>
    <x v="1"/>
    <n v="64.5"/>
    <n v="1.53"/>
    <n v="171"/>
    <n v="120"/>
    <n v="58"/>
    <x v="67"/>
    <x v="206"/>
    <x v="0"/>
    <n v="17.2"/>
    <n v="2.7"/>
    <x v="0"/>
    <n v="3"/>
    <n v="27.55"/>
  </r>
  <r>
    <n v="432"/>
    <x v="4"/>
    <n v="40"/>
    <x v="0"/>
    <n v="58.2"/>
    <n v="1.98"/>
    <n v="198"/>
    <n v="138"/>
    <n v="74"/>
    <x v="116"/>
    <x v="350"/>
    <x v="2"/>
    <n v="24"/>
    <n v="2.5"/>
    <x v="1"/>
    <n v="2"/>
    <n v="14.85"/>
  </r>
  <r>
    <n v="433"/>
    <x v="4"/>
    <n v="27"/>
    <x v="1"/>
    <n v="69.5"/>
    <n v="1.76"/>
    <n v="171"/>
    <n v="121"/>
    <n v="66"/>
    <x v="133"/>
    <x v="351"/>
    <x v="3"/>
    <n v="34.4"/>
    <n v="2"/>
    <x v="1"/>
    <n v="1"/>
    <n v="22.44"/>
  </r>
  <r>
    <n v="434"/>
    <x v="5"/>
    <n v="22"/>
    <x v="0"/>
    <n v="62.2"/>
    <n v="1.84"/>
    <n v="161"/>
    <n v="140"/>
    <n v="65"/>
    <x v="66"/>
    <x v="352"/>
    <x v="3"/>
    <n v="21.5"/>
    <n v="2.2999999999999998"/>
    <x v="1"/>
    <n v="1"/>
    <n v="18.37"/>
  </r>
  <r>
    <n v="435"/>
    <x v="4"/>
    <n v="53"/>
    <x v="1"/>
    <n v="68"/>
    <n v="1.7"/>
    <n v="181"/>
    <n v="139"/>
    <n v="57"/>
    <x v="107"/>
    <x v="73"/>
    <x v="1"/>
    <n v="25.1"/>
    <n v="2.4"/>
    <x v="0"/>
    <n v="2"/>
    <n v="23.53"/>
  </r>
  <r>
    <n v="436"/>
    <x v="8"/>
    <n v="51"/>
    <x v="1"/>
    <n v="56.3"/>
    <n v="1.5"/>
    <n v="182"/>
    <n v="142"/>
    <n v="66"/>
    <x v="116"/>
    <x v="353"/>
    <x v="2"/>
    <n v="27.4"/>
    <n v="2.4"/>
    <x v="1"/>
    <n v="1"/>
    <n v="25.02"/>
  </r>
  <r>
    <n v="437"/>
    <x v="2"/>
    <n v="48"/>
    <x v="0"/>
    <n v="94.5"/>
    <n v="1.7"/>
    <n v="189"/>
    <n v="140"/>
    <n v="64"/>
    <x v="69"/>
    <x v="354"/>
    <x v="2"/>
    <n v="28.2"/>
    <n v="3.5"/>
    <x v="1"/>
    <n v="2"/>
    <n v="32.700000000000003"/>
  </r>
  <r>
    <n v="438"/>
    <x v="3"/>
    <n v="27"/>
    <x v="1"/>
    <n v="58"/>
    <n v="1.79"/>
    <n v="164"/>
    <n v="143"/>
    <n v="73"/>
    <x v="68"/>
    <x v="355"/>
    <x v="2"/>
    <n v="27.1"/>
    <n v="1.5"/>
    <x v="3"/>
    <n v="1"/>
    <n v="18.100000000000001"/>
  </r>
  <r>
    <n v="439"/>
    <x v="1"/>
    <n v="36"/>
    <x v="0"/>
    <n v="84"/>
    <n v="1.94"/>
    <n v="168"/>
    <n v="123"/>
    <n v="50"/>
    <x v="60"/>
    <x v="356"/>
    <x v="1"/>
    <n v="11.2"/>
    <n v="3.5"/>
    <x v="2"/>
    <n v="3"/>
    <n v="22.32"/>
  </r>
  <r>
    <n v="440"/>
    <x v="2"/>
    <n v="49"/>
    <x v="0"/>
    <n v="61"/>
    <n v="1.87"/>
    <n v="180"/>
    <n v="131"/>
    <n v="61"/>
    <x v="36"/>
    <x v="217"/>
    <x v="3"/>
    <n v="21.3"/>
    <n v="3"/>
    <x v="0"/>
    <n v="2"/>
    <n v="17.440000000000001"/>
  </r>
  <r>
    <n v="441"/>
    <x v="0"/>
    <n v="18"/>
    <x v="1"/>
    <n v="64.8"/>
    <n v="1.53"/>
    <n v="170"/>
    <n v="141"/>
    <n v="54"/>
    <x v="77"/>
    <x v="357"/>
    <x v="0"/>
    <n v="18.600000000000001"/>
    <n v="2.7"/>
    <x v="2"/>
    <n v="3"/>
    <n v="27.68"/>
  </r>
  <r>
    <n v="442"/>
    <x v="7"/>
    <n v="22"/>
    <x v="0"/>
    <n v="45.7"/>
    <n v="1.77"/>
    <n v="164"/>
    <n v="139"/>
    <n v="73"/>
    <x v="29"/>
    <x v="358"/>
    <x v="1"/>
    <n v="20.7"/>
    <n v="2.4"/>
    <x v="1"/>
    <n v="1"/>
    <n v="14.59"/>
  </r>
  <r>
    <n v="443"/>
    <x v="8"/>
    <n v="21"/>
    <x v="0"/>
    <n v="80.900000000000006"/>
    <n v="1.9"/>
    <n v="194"/>
    <n v="137"/>
    <n v="55"/>
    <x v="60"/>
    <x v="359"/>
    <x v="0"/>
    <n v="11.7"/>
    <n v="3.5"/>
    <x v="0"/>
    <n v="3"/>
    <n v="22.41"/>
  </r>
  <r>
    <n v="444"/>
    <x v="1"/>
    <n v="33"/>
    <x v="1"/>
    <n v="64.099999999999994"/>
    <n v="1.63"/>
    <n v="186"/>
    <n v="120"/>
    <n v="74"/>
    <x v="92"/>
    <x v="360"/>
    <x v="3"/>
    <n v="16.399999999999999"/>
    <n v="2.7"/>
    <x v="2"/>
    <n v="3"/>
    <n v="24.13"/>
  </r>
  <r>
    <n v="445"/>
    <x v="2"/>
    <n v="41"/>
    <x v="0"/>
    <n v="67"/>
    <n v="1.77"/>
    <n v="161"/>
    <n v="149"/>
    <n v="50"/>
    <x v="74"/>
    <x v="202"/>
    <x v="1"/>
    <n v="25.6"/>
    <n v="2.6"/>
    <x v="1"/>
    <n v="2"/>
    <n v="21.39"/>
  </r>
  <r>
    <n v="446"/>
    <x v="7"/>
    <n v="33"/>
    <x v="0"/>
    <n v="106.5"/>
    <n v="1.6"/>
    <n v="183"/>
    <n v="152"/>
    <n v="74"/>
    <x v="44"/>
    <x v="361"/>
    <x v="3"/>
    <n v="27.3"/>
    <n v="3.3"/>
    <x v="0"/>
    <n v="2"/>
    <n v="41.6"/>
  </r>
  <r>
    <n v="447"/>
    <x v="5"/>
    <n v="19"/>
    <x v="0"/>
    <n v="95.1"/>
    <n v="1.85"/>
    <n v="190"/>
    <n v="143"/>
    <n v="50"/>
    <x v="101"/>
    <x v="234"/>
    <x v="0"/>
    <n v="25.3"/>
    <n v="2.2999999999999998"/>
    <x v="0"/>
    <n v="2"/>
    <n v="27.79"/>
  </r>
  <r>
    <n v="448"/>
    <x v="8"/>
    <n v="45"/>
    <x v="1"/>
    <n v="65.5"/>
    <n v="1.57"/>
    <n v="192"/>
    <n v="133"/>
    <n v="59"/>
    <x v="78"/>
    <x v="362"/>
    <x v="2"/>
    <n v="34.299999999999997"/>
    <n v="2.2999999999999998"/>
    <x v="3"/>
    <n v="1"/>
    <n v="26.57"/>
  </r>
  <r>
    <n v="449"/>
    <x v="8"/>
    <n v="49"/>
    <x v="0"/>
    <n v="105.7"/>
    <n v="1.64"/>
    <n v="198"/>
    <n v="155"/>
    <n v="59"/>
    <x v="37"/>
    <x v="363"/>
    <x v="2"/>
    <n v="29.5"/>
    <n v="3.1"/>
    <x v="1"/>
    <n v="2"/>
    <n v="39.299999999999997"/>
  </r>
  <r>
    <n v="450"/>
    <x v="5"/>
    <n v="44"/>
    <x v="1"/>
    <n v="48"/>
    <n v="1.76"/>
    <n v="189"/>
    <n v="124"/>
    <n v="52"/>
    <x v="130"/>
    <x v="364"/>
    <x v="0"/>
    <n v="28.6"/>
    <n v="2.6"/>
    <x v="3"/>
    <n v="1"/>
    <n v="15.5"/>
  </r>
  <r>
    <n v="451"/>
    <x v="3"/>
    <n v="37"/>
    <x v="1"/>
    <n v="69.5"/>
    <n v="1.5"/>
    <n v="196"/>
    <n v="130"/>
    <n v="66"/>
    <x v="117"/>
    <x v="299"/>
    <x v="2"/>
    <n v="32.799999999999997"/>
    <n v="2.4"/>
    <x v="3"/>
    <n v="1"/>
    <n v="30.89"/>
  </r>
  <r>
    <n v="452"/>
    <x v="5"/>
    <n v="41"/>
    <x v="0"/>
    <n v="66.099999999999994"/>
    <n v="1.69"/>
    <n v="187"/>
    <n v="143"/>
    <n v="68"/>
    <x v="104"/>
    <x v="365"/>
    <x v="0"/>
    <n v="27.4"/>
    <n v="3.4"/>
    <x v="3"/>
    <n v="1"/>
    <n v="23.14"/>
  </r>
  <r>
    <n v="453"/>
    <x v="8"/>
    <n v="29"/>
    <x v="0"/>
    <n v="68"/>
    <n v="1.7"/>
    <n v="190"/>
    <n v="150"/>
    <n v="60"/>
    <x v="134"/>
    <x v="65"/>
    <x v="1"/>
    <n v="28.9"/>
    <n v="2.9"/>
    <x v="3"/>
    <n v="1"/>
    <n v="23.53"/>
  </r>
  <r>
    <n v="454"/>
    <x v="8"/>
    <n v="52"/>
    <x v="0"/>
    <n v="50.3"/>
    <n v="1.78"/>
    <n v="170"/>
    <n v="132"/>
    <n v="67"/>
    <x v="124"/>
    <x v="300"/>
    <x v="1"/>
    <n v="24.5"/>
    <n v="2.2999999999999998"/>
    <x v="3"/>
    <n v="1"/>
    <n v="15.88"/>
  </r>
  <r>
    <n v="455"/>
    <x v="2"/>
    <n v="50"/>
    <x v="1"/>
    <n v="69.3"/>
    <n v="1.68"/>
    <n v="182"/>
    <n v="135"/>
    <n v="51"/>
    <x v="37"/>
    <x v="256"/>
    <x v="1"/>
    <n v="30.3"/>
    <n v="2"/>
    <x v="3"/>
    <n v="1"/>
    <n v="24.55"/>
  </r>
  <r>
    <n v="456"/>
    <x v="4"/>
    <n v="50"/>
    <x v="0"/>
    <n v="86.7"/>
    <n v="1.63"/>
    <n v="161"/>
    <n v="143"/>
    <n v="58"/>
    <x v="119"/>
    <x v="344"/>
    <x v="2"/>
    <n v="12.1"/>
    <n v="3.5"/>
    <x v="0"/>
    <n v="3"/>
    <n v="32.630000000000003"/>
  </r>
  <r>
    <n v="457"/>
    <x v="7"/>
    <n v="54"/>
    <x v="0"/>
    <n v="125.9"/>
    <n v="1.94"/>
    <n v="199"/>
    <n v="132"/>
    <n v="73"/>
    <x v="14"/>
    <x v="314"/>
    <x v="3"/>
    <n v="28.5"/>
    <n v="2.9"/>
    <x v="1"/>
    <n v="2"/>
    <n v="33.450000000000003"/>
  </r>
  <r>
    <n v="458"/>
    <x v="5"/>
    <n v="29"/>
    <x v="0"/>
    <n v="88.1"/>
    <n v="1.93"/>
    <n v="186"/>
    <n v="143"/>
    <n v="66"/>
    <x v="122"/>
    <x v="120"/>
    <x v="2"/>
    <n v="11.1"/>
    <n v="3.5"/>
    <x v="2"/>
    <n v="3"/>
    <n v="23.65"/>
  </r>
  <r>
    <n v="459"/>
    <x v="7"/>
    <n v="20"/>
    <x v="0"/>
    <n v="124.3"/>
    <n v="1.82"/>
    <n v="194"/>
    <n v="145"/>
    <n v="63"/>
    <x v="23"/>
    <x v="366"/>
    <x v="2"/>
    <n v="22.4"/>
    <n v="3.2"/>
    <x v="1"/>
    <n v="2"/>
    <n v="37.53"/>
  </r>
  <r>
    <n v="460"/>
    <x v="5"/>
    <n v="18"/>
    <x v="0"/>
    <n v="62"/>
    <n v="1.85"/>
    <n v="161"/>
    <n v="121"/>
    <n v="53"/>
    <x v="130"/>
    <x v="367"/>
    <x v="3"/>
    <n v="23.7"/>
    <n v="3"/>
    <x v="1"/>
    <n v="1"/>
    <n v="18.12"/>
  </r>
  <r>
    <n v="461"/>
    <x v="0"/>
    <n v="50"/>
    <x v="1"/>
    <n v="69.7"/>
    <n v="1.72"/>
    <n v="198"/>
    <n v="135"/>
    <n v="66"/>
    <x v="12"/>
    <x v="368"/>
    <x v="3"/>
    <n v="27.3"/>
    <n v="2"/>
    <x v="0"/>
    <n v="2"/>
    <n v="23.56"/>
  </r>
  <r>
    <n v="462"/>
    <x v="8"/>
    <n v="57"/>
    <x v="1"/>
    <n v="60.9"/>
    <n v="1.52"/>
    <n v="196"/>
    <n v="157"/>
    <n v="66"/>
    <x v="34"/>
    <x v="174"/>
    <x v="3"/>
    <n v="30.6"/>
    <n v="1.8"/>
    <x v="1"/>
    <n v="2"/>
    <n v="26.36"/>
  </r>
  <r>
    <n v="463"/>
    <x v="4"/>
    <n v="27"/>
    <x v="0"/>
    <n v="76.5"/>
    <n v="1.97"/>
    <n v="180"/>
    <n v="165"/>
    <n v="61"/>
    <x v="15"/>
    <x v="180"/>
    <x v="3"/>
    <n v="21.3"/>
    <n v="2.2999999999999998"/>
    <x v="3"/>
    <n v="1"/>
    <n v="19.71"/>
  </r>
  <r>
    <n v="464"/>
    <x v="2"/>
    <n v="46"/>
    <x v="0"/>
    <n v="94.7"/>
    <n v="1.82"/>
    <n v="164"/>
    <n v="120"/>
    <n v="69"/>
    <x v="43"/>
    <x v="369"/>
    <x v="2"/>
    <n v="23.2"/>
    <n v="3.2"/>
    <x v="1"/>
    <n v="2"/>
    <n v="28.59"/>
  </r>
  <r>
    <n v="465"/>
    <x v="4"/>
    <n v="30"/>
    <x v="0"/>
    <n v="67.900000000000006"/>
    <n v="1.75"/>
    <n v="180"/>
    <n v="168"/>
    <n v="67"/>
    <x v="23"/>
    <x v="370"/>
    <x v="0"/>
    <n v="29.1"/>
    <n v="3.1"/>
    <x v="3"/>
    <n v="1"/>
    <n v="22.17"/>
  </r>
  <r>
    <n v="466"/>
    <x v="4"/>
    <n v="29"/>
    <x v="0"/>
    <n v="121.1"/>
    <n v="1.87"/>
    <n v="188"/>
    <n v="130"/>
    <n v="52"/>
    <x v="34"/>
    <x v="172"/>
    <x v="1"/>
    <n v="24.1"/>
    <n v="3.2"/>
    <x v="0"/>
    <n v="2"/>
    <n v="34.630000000000003"/>
  </r>
  <r>
    <n v="467"/>
    <x v="4"/>
    <n v="48"/>
    <x v="1"/>
    <n v="71.5"/>
    <n v="1.64"/>
    <n v="179"/>
    <n v="154"/>
    <n v="60"/>
    <x v="85"/>
    <x v="222"/>
    <x v="0"/>
    <n v="32.5"/>
    <n v="1.9"/>
    <x v="0"/>
    <n v="2"/>
    <n v="26.58"/>
  </r>
  <r>
    <n v="468"/>
    <x v="7"/>
    <n v="19"/>
    <x v="0"/>
    <n v="98.6"/>
    <n v="1.7"/>
    <n v="197"/>
    <n v="162"/>
    <n v="74"/>
    <x v="87"/>
    <x v="15"/>
    <x v="2"/>
    <n v="21.1"/>
    <n v="2.4"/>
    <x v="3"/>
    <n v="1"/>
    <n v="34.119999999999997"/>
  </r>
  <r>
    <n v="469"/>
    <x v="5"/>
    <n v="52"/>
    <x v="1"/>
    <n v="68.2"/>
    <n v="1.63"/>
    <n v="179"/>
    <n v="148"/>
    <n v="67"/>
    <x v="21"/>
    <x v="371"/>
    <x v="3"/>
    <n v="27.5"/>
    <n v="2.4"/>
    <x v="1"/>
    <n v="1"/>
    <n v="25.67"/>
  </r>
  <r>
    <n v="470"/>
    <x v="9"/>
    <n v="40"/>
    <x v="1"/>
    <n v="57.7"/>
    <n v="1.69"/>
    <n v="184"/>
    <n v="156"/>
    <n v="53"/>
    <x v="13"/>
    <x v="372"/>
    <x v="1"/>
    <n v="33.1"/>
    <n v="2.4"/>
    <x v="0"/>
    <n v="2"/>
    <n v="20.2"/>
  </r>
  <r>
    <n v="471"/>
    <x v="0"/>
    <n v="34"/>
    <x v="0"/>
    <n v="124.6"/>
    <n v="1.63"/>
    <n v="161"/>
    <n v="136"/>
    <n v="66"/>
    <x v="39"/>
    <x v="373"/>
    <x v="1"/>
    <n v="27.6"/>
    <n v="2.8"/>
    <x v="1"/>
    <n v="2"/>
    <n v="46.9"/>
  </r>
  <r>
    <n v="472"/>
    <x v="1"/>
    <n v="43"/>
    <x v="1"/>
    <n v="73"/>
    <n v="1.59"/>
    <n v="191"/>
    <n v="158"/>
    <n v="67"/>
    <x v="34"/>
    <x v="374"/>
    <x v="0"/>
    <n v="28.9"/>
    <n v="2.2000000000000002"/>
    <x v="1"/>
    <n v="1"/>
    <n v="28.88"/>
  </r>
  <r>
    <n v="473"/>
    <x v="4"/>
    <n v="25"/>
    <x v="1"/>
    <n v="59.4"/>
    <n v="1.51"/>
    <n v="185"/>
    <n v="161"/>
    <n v="54"/>
    <x v="113"/>
    <x v="44"/>
    <x v="2"/>
    <n v="19.8"/>
    <n v="2.7"/>
    <x v="2"/>
    <n v="3"/>
    <n v="26.05"/>
  </r>
  <r>
    <n v="474"/>
    <x v="3"/>
    <n v="46"/>
    <x v="1"/>
    <n v="52"/>
    <n v="1.65"/>
    <n v="165"/>
    <n v="147"/>
    <n v="63"/>
    <x v="84"/>
    <x v="375"/>
    <x v="2"/>
    <n v="34.1"/>
    <n v="1.9"/>
    <x v="3"/>
    <n v="1"/>
    <n v="19.100000000000001"/>
  </r>
  <r>
    <n v="475"/>
    <x v="7"/>
    <n v="43"/>
    <x v="1"/>
    <n v="42.2"/>
    <n v="1.65"/>
    <n v="162"/>
    <n v="148"/>
    <n v="59"/>
    <x v="16"/>
    <x v="146"/>
    <x v="2"/>
    <n v="34.6"/>
    <n v="2.2999999999999998"/>
    <x v="1"/>
    <n v="2"/>
    <n v="15.5"/>
  </r>
  <r>
    <n v="476"/>
    <x v="2"/>
    <n v="27"/>
    <x v="0"/>
    <n v="89.3"/>
    <n v="1.64"/>
    <n v="192"/>
    <n v="162"/>
    <n v="64"/>
    <x v="118"/>
    <x v="376"/>
    <x v="1"/>
    <n v="12.1"/>
    <n v="3.5"/>
    <x v="0"/>
    <n v="3"/>
    <n v="33.200000000000003"/>
  </r>
  <r>
    <n v="477"/>
    <x v="1"/>
    <n v="43"/>
    <x v="0"/>
    <n v="110"/>
    <n v="1.76"/>
    <n v="160"/>
    <n v="122"/>
    <n v="50"/>
    <x v="58"/>
    <x v="377"/>
    <x v="0"/>
    <n v="22"/>
    <n v="3.4"/>
    <x v="1"/>
    <n v="1"/>
    <n v="35.51"/>
  </r>
  <r>
    <n v="478"/>
    <x v="9"/>
    <n v="51"/>
    <x v="1"/>
    <n v="66.2"/>
    <n v="1.58"/>
    <n v="164"/>
    <n v="129"/>
    <n v="65"/>
    <x v="57"/>
    <x v="143"/>
    <x v="1"/>
    <n v="31.3"/>
    <n v="2.2999999999999998"/>
    <x v="1"/>
    <n v="1"/>
    <n v="26.52"/>
  </r>
  <r>
    <n v="479"/>
    <x v="3"/>
    <n v="58"/>
    <x v="0"/>
    <n v="58.6"/>
    <n v="1.66"/>
    <n v="172"/>
    <n v="161"/>
    <n v="60"/>
    <x v="101"/>
    <x v="30"/>
    <x v="1"/>
    <n v="26.8"/>
    <n v="2.9"/>
    <x v="3"/>
    <n v="1"/>
    <n v="21.27"/>
  </r>
  <r>
    <n v="480"/>
    <x v="9"/>
    <n v="24"/>
    <x v="0"/>
    <n v="51"/>
    <n v="1.67"/>
    <n v="178"/>
    <n v="133"/>
    <n v="72"/>
    <x v="64"/>
    <x v="378"/>
    <x v="3"/>
    <n v="21.3"/>
    <n v="2.8"/>
    <x v="1"/>
    <n v="1"/>
    <n v="18.29"/>
  </r>
  <r>
    <n v="481"/>
    <x v="1"/>
    <n v="21"/>
    <x v="0"/>
    <n v="101.5"/>
    <n v="1.95"/>
    <n v="171"/>
    <n v="131"/>
    <n v="69"/>
    <x v="64"/>
    <x v="213"/>
    <x v="0"/>
    <n v="27.9"/>
    <n v="3.1"/>
    <x v="1"/>
    <n v="1"/>
    <n v="26.69"/>
  </r>
  <r>
    <n v="482"/>
    <x v="4"/>
    <n v="28"/>
    <x v="0"/>
    <n v="114.2"/>
    <n v="1.87"/>
    <n v="184"/>
    <n v="166"/>
    <n v="55"/>
    <x v="95"/>
    <x v="205"/>
    <x v="3"/>
    <n v="20.2"/>
    <n v="3.2"/>
    <x v="1"/>
    <n v="2"/>
    <n v="32.659999999999997"/>
  </r>
  <r>
    <n v="483"/>
    <x v="3"/>
    <n v="46"/>
    <x v="0"/>
    <n v="54.4"/>
    <n v="1.72"/>
    <n v="194"/>
    <n v="161"/>
    <n v="73"/>
    <x v="135"/>
    <x v="317"/>
    <x v="2"/>
    <n v="24.8"/>
    <n v="2.9"/>
    <x v="3"/>
    <n v="1"/>
    <n v="18.39"/>
  </r>
  <r>
    <n v="484"/>
    <x v="9"/>
    <n v="53"/>
    <x v="1"/>
    <n v="52.4"/>
    <n v="1.57"/>
    <n v="171"/>
    <n v="149"/>
    <n v="71"/>
    <x v="33"/>
    <x v="379"/>
    <x v="1"/>
    <n v="28.3"/>
    <n v="2.2000000000000002"/>
    <x v="1"/>
    <n v="2"/>
    <n v="21.26"/>
  </r>
  <r>
    <n v="485"/>
    <x v="2"/>
    <n v="42"/>
    <x v="0"/>
    <n v="85.2"/>
    <n v="1.81"/>
    <n v="189"/>
    <n v="151"/>
    <n v="65"/>
    <x v="96"/>
    <x v="151"/>
    <x v="0"/>
    <n v="13.7"/>
    <n v="3.5"/>
    <x v="2"/>
    <n v="3"/>
    <n v="26.01"/>
  </r>
  <r>
    <n v="486"/>
    <x v="5"/>
    <n v="38"/>
    <x v="0"/>
    <n v="83.6"/>
    <n v="1.74"/>
    <n v="164"/>
    <n v="151"/>
    <n v="51"/>
    <x v="97"/>
    <x v="380"/>
    <x v="2"/>
    <n v="11.6"/>
    <n v="3.5"/>
    <x v="2"/>
    <n v="3"/>
    <n v="27.61"/>
  </r>
  <r>
    <n v="487"/>
    <x v="8"/>
    <n v="53"/>
    <x v="0"/>
    <n v="115.4"/>
    <n v="1.92"/>
    <n v="193"/>
    <n v="161"/>
    <n v="50"/>
    <x v="89"/>
    <x v="381"/>
    <x v="0"/>
    <n v="28.3"/>
    <n v="2.2000000000000002"/>
    <x v="0"/>
    <n v="2"/>
    <n v="31.3"/>
  </r>
  <r>
    <n v="488"/>
    <x v="5"/>
    <n v="27"/>
    <x v="0"/>
    <n v="71.2"/>
    <n v="1.97"/>
    <n v="181"/>
    <n v="151"/>
    <n v="73"/>
    <x v="136"/>
    <x v="382"/>
    <x v="1"/>
    <n v="25.9"/>
    <n v="3.6"/>
    <x v="1"/>
    <n v="1"/>
    <n v="18.350000000000001"/>
  </r>
  <r>
    <n v="489"/>
    <x v="1"/>
    <n v="54"/>
    <x v="1"/>
    <n v="78.099999999999994"/>
    <n v="1.6"/>
    <n v="198"/>
    <n v="145"/>
    <n v="73"/>
    <x v="94"/>
    <x v="383"/>
    <x v="0"/>
    <n v="32.9"/>
    <n v="2.4"/>
    <x v="0"/>
    <n v="2"/>
    <n v="30.51"/>
  </r>
  <r>
    <n v="490"/>
    <x v="7"/>
    <n v="26"/>
    <x v="1"/>
    <n v="54.2"/>
    <n v="1.65"/>
    <n v="172"/>
    <n v="120"/>
    <n v="58"/>
    <x v="53"/>
    <x v="384"/>
    <x v="2"/>
    <n v="34.9"/>
    <n v="1.9"/>
    <x v="0"/>
    <n v="2"/>
    <n v="19.91"/>
  </r>
  <r>
    <n v="491"/>
    <x v="8"/>
    <n v="41"/>
    <x v="1"/>
    <n v="77.599999999999994"/>
    <n v="1.76"/>
    <n v="162"/>
    <n v="161"/>
    <n v="71"/>
    <x v="7"/>
    <x v="372"/>
    <x v="3"/>
    <n v="31.8"/>
    <n v="2.2000000000000002"/>
    <x v="0"/>
    <n v="2"/>
    <n v="25.05"/>
  </r>
  <r>
    <n v="492"/>
    <x v="0"/>
    <n v="52"/>
    <x v="1"/>
    <n v="44.1"/>
    <n v="1.62"/>
    <n v="179"/>
    <n v="121"/>
    <n v="61"/>
    <x v="39"/>
    <x v="302"/>
    <x v="1"/>
    <n v="34.799999999999997"/>
    <n v="1.6"/>
    <x v="1"/>
    <n v="1"/>
    <n v="16.8"/>
  </r>
  <r>
    <n v="493"/>
    <x v="2"/>
    <n v="52"/>
    <x v="0"/>
    <n v="85.5"/>
    <n v="1.8"/>
    <n v="190"/>
    <n v="136"/>
    <n v="66"/>
    <x v="119"/>
    <x v="385"/>
    <x v="3"/>
    <n v="10.1"/>
    <n v="3.5"/>
    <x v="2"/>
    <n v="3"/>
    <n v="26.39"/>
  </r>
  <r>
    <n v="494"/>
    <x v="0"/>
    <n v="53"/>
    <x v="1"/>
    <n v="47.8"/>
    <n v="1.76"/>
    <n v="164"/>
    <n v="149"/>
    <n v="74"/>
    <x v="107"/>
    <x v="150"/>
    <x v="1"/>
    <n v="28.4"/>
    <n v="1.5"/>
    <x v="0"/>
    <n v="2"/>
    <n v="15.43"/>
  </r>
  <r>
    <n v="495"/>
    <x v="3"/>
    <n v="35"/>
    <x v="0"/>
    <n v="102.5"/>
    <n v="1.94"/>
    <n v="183"/>
    <n v="158"/>
    <n v="64"/>
    <x v="38"/>
    <x v="43"/>
    <x v="2"/>
    <n v="21.1"/>
    <n v="2.4"/>
    <x v="3"/>
    <n v="1"/>
    <n v="27.23"/>
  </r>
  <r>
    <n v="496"/>
    <x v="8"/>
    <n v="56"/>
    <x v="0"/>
    <n v="118"/>
    <n v="1.9"/>
    <n v="199"/>
    <n v="126"/>
    <n v="68"/>
    <x v="78"/>
    <x v="386"/>
    <x v="1"/>
    <n v="22.6"/>
    <n v="3.2"/>
    <x v="3"/>
    <n v="1"/>
    <n v="32.69"/>
  </r>
  <r>
    <n v="497"/>
    <x v="0"/>
    <n v="49"/>
    <x v="0"/>
    <n v="82.3"/>
    <n v="1.84"/>
    <n v="192"/>
    <n v="146"/>
    <n v="71"/>
    <x v="28"/>
    <x v="387"/>
    <x v="3"/>
    <n v="28.4"/>
    <n v="3.4"/>
    <x v="0"/>
    <n v="2"/>
    <n v="24.31"/>
  </r>
  <r>
    <n v="498"/>
    <x v="0"/>
    <n v="41"/>
    <x v="0"/>
    <n v="81.599999999999994"/>
    <n v="1.87"/>
    <n v="167"/>
    <n v="128"/>
    <n v="59"/>
    <x v="55"/>
    <x v="388"/>
    <x v="1"/>
    <n v="10.199999999999999"/>
    <n v="3.5"/>
    <x v="2"/>
    <n v="3"/>
    <n v="23.33"/>
  </r>
  <r>
    <n v="499"/>
    <x v="9"/>
    <n v="40"/>
    <x v="0"/>
    <n v="60.2"/>
    <n v="1.88"/>
    <n v="183"/>
    <n v="141"/>
    <n v="61"/>
    <x v="74"/>
    <x v="389"/>
    <x v="2"/>
    <n v="25.2"/>
    <n v="3"/>
    <x v="1"/>
    <n v="2"/>
    <n v="17.03"/>
  </r>
  <r>
    <n v="500"/>
    <x v="5"/>
    <n v="49"/>
    <x v="1"/>
    <n v="49.2"/>
    <n v="1.54"/>
    <n v="179"/>
    <n v="153"/>
    <n v="63"/>
    <x v="76"/>
    <x v="295"/>
    <x v="1"/>
    <n v="30.7"/>
    <n v="2.1"/>
    <x v="1"/>
    <n v="2"/>
    <n v="20.75"/>
  </r>
  <r>
    <n v="501"/>
    <x v="9"/>
    <n v="54"/>
    <x v="1"/>
    <n v="46.6"/>
    <n v="1.5"/>
    <n v="175"/>
    <n v="165"/>
    <n v="58"/>
    <x v="82"/>
    <x v="180"/>
    <x v="3"/>
    <n v="30.6"/>
    <n v="2"/>
    <x v="3"/>
    <n v="1"/>
    <n v="20.71"/>
  </r>
  <r>
    <n v="502"/>
    <x v="8"/>
    <n v="29"/>
    <x v="1"/>
    <n v="68.7"/>
    <n v="1.72"/>
    <n v="171"/>
    <n v="168"/>
    <n v="62"/>
    <x v="9"/>
    <x v="390"/>
    <x v="2"/>
    <n v="29.8"/>
    <n v="1.7"/>
    <x v="0"/>
    <n v="2"/>
    <n v="23.22"/>
  </r>
  <r>
    <n v="503"/>
    <x v="8"/>
    <n v="30"/>
    <x v="1"/>
    <n v="60.6"/>
    <n v="1.55"/>
    <n v="172"/>
    <n v="120"/>
    <n v="52"/>
    <x v="1"/>
    <x v="391"/>
    <x v="3"/>
    <n v="32.9"/>
    <n v="1.6"/>
    <x v="1"/>
    <n v="2"/>
    <n v="25.22"/>
  </r>
  <r>
    <n v="504"/>
    <x v="1"/>
    <n v="40"/>
    <x v="0"/>
    <n v="52.1"/>
    <n v="1.61"/>
    <n v="198"/>
    <n v="128"/>
    <n v="70"/>
    <x v="137"/>
    <x v="392"/>
    <x v="1"/>
    <n v="21.3"/>
    <n v="3.3"/>
    <x v="3"/>
    <n v="1"/>
    <n v="20.100000000000001"/>
  </r>
  <r>
    <n v="505"/>
    <x v="9"/>
    <n v="42"/>
    <x v="1"/>
    <n v="46.6"/>
    <n v="1.77"/>
    <n v="184"/>
    <n v="139"/>
    <n v="63"/>
    <x v="138"/>
    <x v="393"/>
    <x v="0"/>
    <n v="28.1"/>
    <n v="2.6"/>
    <x v="3"/>
    <n v="1"/>
    <n v="14.87"/>
  </r>
  <r>
    <n v="506"/>
    <x v="6"/>
    <n v="52"/>
    <x v="0"/>
    <n v="65.5"/>
    <n v="1.74"/>
    <n v="191"/>
    <n v="138"/>
    <n v="70"/>
    <x v="26"/>
    <x v="394"/>
    <x v="3"/>
    <n v="26.2"/>
    <n v="2.8"/>
    <x v="0"/>
    <n v="2"/>
    <n v="21.63"/>
  </r>
  <r>
    <n v="507"/>
    <x v="5"/>
    <n v="58"/>
    <x v="1"/>
    <n v="44.2"/>
    <n v="1.57"/>
    <n v="183"/>
    <n v="155"/>
    <n v="59"/>
    <x v="9"/>
    <x v="368"/>
    <x v="1"/>
    <n v="31.9"/>
    <n v="2.2999999999999998"/>
    <x v="1"/>
    <n v="1"/>
    <n v="17.93"/>
  </r>
  <r>
    <n v="508"/>
    <x v="8"/>
    <n v="47"/>
    <x v="0"/>
    <n v="89.1"/>
    <n v="1.84"/>
    <n v="168"/>
    <n v="159"/>
    <n v="65"/>
    <x v="70"/>
    <x v="50"/>
    <x v="0"/>
    <n v="24"/>
    <n v="3.6"/>
    <x v="1"/>
    <n v="2"/>
    <n v="26.32"/>
  </r>
  <r>
    <n v="509"/>
    <x v="1"/>
    <n v="34"/>
    <x v="0"/>
    <n v="65.900000000000006"/>
    <n v="1.62"/>
    <n v="199"/>
    <n v="164"/>
    <n v="56"/>
    <x v="42"/>
    <x v="395"/>
    <x v="0"/>
    <n v="28.8"/>
    <n v="2.2000000000000002"/>
    <x v="3"/>
    <n v="1"/>
    <n v="25.11"/>
  </r>
  <r>
    <n v="510"/>
    <x v="9"/>
    <n v="37"/>
    <x v="1"/>
    <n v="55.6"/>
    <n v="1.57"/>
    <n v="182"/>
    <n v="123"/>
    <n v="53"/>
    <x v="64"/>
    <x v="212"/>
    <x v="2"/>
    <n v="29.2"/>
    <n v="2.4"/>
    <x v="3"/>
    <n v="1"/>
    <n v="22.56"/>
  </r>
  <r>
    <n v="511"/>
    <x v="5"/>
    <n v="42"/>
    <x v="0"/>
    <n v="63.7"/>
    <n v="1.98"/>
    <n v="172"/>
    <n v="128"/>
    <n v="69"/>
    <x v="18"/>
    <x v="338"/>
    <x v="0"/>
    <n v="24"/>
    <n v="3"/>
    <x v="3"/>
    <n v="1"/>
    <n v="16.25"/>
  </r>
  <r>
    <n v="512"/>
    <x v="9"/>
    <n v="39"/>
    <x v="0"/>
    <n v="86.2"/>
    <n v="1.82"/>
    <n v="191"/>
    <n v="160"/>
    <n v="72"/>
    <x v="139"/>
    <x v="396"/>
    <x v="3"/>
    <n v="10.199999999999999"/>
    <n v="3.5"/>
    <x v="2"/>
    <n v="3"/>
    <n v="26.02"/>
  </r>
  <r>
    <n v="513"/>
    <x v="0"/>
    <n v="30"/>
    <x v="1"/>
    <n v="59.2"/>
    <n v="1.63"/>
    <n v="174"/>
    <n v="141"/>
    <n v="74"/>
    <x v="115"/>
    <x v="44"/>
    <x v="3"/>
    <n v="17.8"/>
    <n v="2.7"/>
    <x v="0"/>
    <n v="3"/>
    <n v="22.28"/>
  </r>
  <r>
    <n v="514"/>
    <x v="1"/>
    <n v="36"/>
    <x v="0"/>
    <n v="85.4"/>
    <n v="1.88"/>
    <n v="195"/>
    <n v="137"/>
    <n v="60"/>
    <x v="77"/>
    <x v="397"/>
    <x v="0"/>
    <n v="13.5"/>
    <n v="3.5"/>
    <x v="2"/>
    <n v="3"/>
    <n v="24.16"/>
  </r>
  <r>
    <n v="515"/>
    <x v="5"/>
    <n v="53"/>
    <x v="1"/>
    <n v="68.099999999999994"/>
    <n v="1.55"/>
    <n v="164"/>
    <n v="131"/>
    <n v="65"/>
    <x v="39"/>
    <x v="398"/>
    <x v="1"/>
    <n v="26.1"/>
    <n v="2.2000000000000002"/>
    <x v="0"/>
    <n v="2"/>
    <n v="28.35"/>
  </r>
  <r>
    <n v="516"/>
    <x v="4"/>
    <n v="29"/>
    <x v="1"/>
    <n v="60"/>
    <n v="1.62"/>
    <n v="181"/>
    <n v="161"/>
    <n v="69"/>
    <x v="124"/>
    <x v="268"/>
    <x v="3"/>
    <n v="28.1"/>
    <n v="1.9"/>
    <x v="3"/>
    <n v="1"/>
    <n v="22.86"/>
  </r>
  <r>
    <n v="517"/>
    <x v="3"/>
    <n v="58"/>
    <x v="1"/>
    <n v="74.8"/>
    <n v="1.69"/>
    <n v="175"/>
    <n v="162"/>
    <n v="53"/>
    <x v="76"/>
    <x v="399"/>
    <x v="3"/>
    <n v="32.799999999999997"/>
    <n v="2.2999999999999998"/>
    <x v="0"/>
    <n v="2"/>
    <n v="26.19"/>
  </r>
  <r>
    <n v="518"/>
    <x v="3"/>
    <n v="36"/>
    <x v="0"/>
    <n v="90.3"/>
    <n v="1.65"/>
    <n v="169"/>
    <n v="158"/>
    <n v="71"/>
    <x v="82"/>
    <x v="400"/>
    <x v="2"/>
    <n v="23.7"/>
    <n v="3.4"/>
    <x v="0"/>
    <n v="2"/>
    <n v="33.17"/>
  </r>
  <r>
    <n v="519"/>
    <x v="5"/>
    <n v="29"/>
    <x v="0"/>
    <n v="86.1"/>
    <n v="1.65"/>
    <n v="183"/>
    <n v="128"/>
    <n v="71"/>
    <x v="97"/>
    <x v="203"/>
    <x v="1"/>
    <n v="11.2"/>
    <n v="3.5"/>
    <x v="0"/>
    <n v="3"/>
    <n v="31.63"/>
  </r>
  <r>
    <n v="520"/>
    <x v="9"/>
    <n v="26"/>
    <x v="0"/>
    <n v="73.7"/>
    <n v="1.66"/>
    <n v="177"/>
    <n v="125"/>
    <n v="72"/>
    <x v="105"/>
    <x v="115"/>
    <x v="0"/>
    <n v="26.7"/>
    <n v="2.2000000000000002"/>
    <x v="3"/>
    <n v="1"/>
    <n v="26.75"/>
  </r>
  <r>
    <n v="521"/>
    <x v="1"/>
    <n v="24"/>
    <x v="1"/>
    <n v="67.7"/>
    <n v="1.56"/>
    <n v="177"/>
    <n v="138"/>
    <n v="66"/>
    <x v="24"/>
    <x v="197"/>
    <x v="1"/>
    <n v="27"/>
    <n v="2.1"/>
    <x v="1"/>
    <n v="2"/>
    <n v="27.82"/>
  </r>
  <r>
    <n v="522"/>
    <x v="3"/>
    <n v="45"/>
    <x v="0"/>
    <n v="78.3"/>
    <n v="1.96"/>
    <n v="166"/>
    <n v="167"/>
    <n v="62"/>
    <x v="28"/>
    <x v="284"/>
    <x v="2"/>
    <n v="29"/>
    <n v="2.2000000000000002"/>
    <x v="1"/>
    <n v="1"/>
    <n v="20.38"/>
  </r>
  <r>
    <n v="523"/>
    <x v="1"/>
    <n v="31"/>
    <x v="1"/>
    <n v="48.2"/>
    <n v="1.65"/>
    <n v="163"/>
    <n v="166"/>
    <n v="60"/>
    <x v="94"/>
    <x v="147"/>
    <x v="2"/>
    <n v="26.1"/>
    <n v="2.5"/>
    <x v="3"/>
    <n v="1"/>
    <n v="17.7"/>
  </r>
  <r>
    <n v="524"/>
    <x v="3"/>
    <n v="48"/>
    <x v="1"/>
    <n v="56.8"/>
    <n v="1.51"/>
    <n v="185"/>
    <n v="126"/>
    <n v="52"/>
    <x v="18"/>
    <x v="72"/>
    <x v="1"/>
    <n v="32.1"/>
    <n v="2.1"/>
    <x v="0"/>
    <n v="2"/>
    <n v="24.91"/>
  </r>
  <r>
    <n v="525"/>
    <x v="0"/>
    <n v="36"/>
    <x v="0"/>
    <n v="112.4"/>
    <n v="1.63"/>
    <n v="164"/>
    <n v="135"/>
    <n v="58"/>
    <x v="73"/>
    <x v="401"/>
    <x v="2"/>
    <n v="25"/>
    <n v="3.4"/>
    <x v="0"/>
    <n v="2"/>
    <n v="42.3"/>
  </r>
  <r>
    <n v="526"/>
    <x v="9"/>
    <n v="33"/>
    <x v="1"/>
    <n v="59"/>
    <n v="1.67"/>
    <n v="175"/>
    <n v="124"/>
    <n v="55"/>
    <x v="111"/>
    <x v="402"/>
    <x v="2"/>
    <n v="33.700000000000003"/>
    <n v="1.9"/>
    <x v="1"/>
    <n v="1"/>
    <n v="21.16"/>
  </r>
  <r>
    <n v="527"/>
    <x v="0"/>
    <n v="22"/>
    <x v="0"/>
    <n v="98.4"/>
    <n v="1.88"/>
    <n v="194"/>
    <n v="135"/>
    <n v="71"/>
    <x v="106"/>
    <x v="403"/>
    <x v="2"/>
    <n v="21.3"/>
    <n v="2.2000000000000002"/>
    <x v="3"/>
    <n v="1"/>
    <n v="27.84"/>
  </r>
  <r>
    <n v="528"/>
    <x v="3"/>
    <n v="52"/>
    <x v="0"/>
    <n v="66.5"/>
    <n v="1.6"/>
    <n v="185"/>
    <n v="120"/>
    <n v="70"/>
    <x v="33"/>
    <x v="188"/>
    <x v="1"/>
    <n v="26.8"/>
    <n v="2.1"/>
    <x v="0"/>
    <n v="2"/>
    <n v="25.98"/>
  </r>
  <r>
    <n v="529"/>
    <x v="4"/>
    <n v="29"/>
    <x v="0"/>
    <n v="106.5"/>
    <n v="1.81"/>
    <n v="177"/>
    <n v="156"/>
    <n v="60"/>
    <x v="28"/>
    <x v="404"/>
    <x v="2"/>
    <n v="25.7"/>
    <n v="2.5"/>
    <x v="0"/>
    <n v="2"/>
    <n v="32.51"/>
  </r>
  <r>
    <n v="530"/>
    <x v="4"/>
    <n v="42"/>
    <x v="0"/>
    <n v="88.4"/>
    <n v="1.93"/>
    <n v="188"/>
    <n v="158"/>
    <n v="65"/>
    <x v="140"/>
    <x v="405"/>
    <x v="0"/>
    <n v="12.4"/>
    <n v="3.5"/>
    <x v="0"/>
    <n v="3"/>
    <n v="23.73"/>
  </r>
  <r>
    <n v="531"/>
    <x v="0"/>
    <n v="38"/>
    <x v="0"/>
    <n v="88.4"/>
    <n v="1.79"/>
    <n v="182"/>
    <n v="138"/>
    <n v="68"/>
    <x v="67"/>
    <x v="270"/>
    <x v="0"/>
    <n v="12.5"/>
    <n v="3.5"/>
    <x v="2"/>
    <n v="3"/>
    <n v="27.59"/>
  </r>
  <r>
    <n v="532"/>
    <x v="4"/>
    <n v="53"/>
    <x v="1"/>
    <n v="53.3"/>
    <n v="1.74"/>
    <n v="173"/>
    <n v="156"/>
    <n v="54"/>
    <x v="18"/>
    <x v="42"/>
    <x v="3"/>
    <n v="32.200000000000003"/>
    <n v="1.8"/>
    <x v="1"/>
    <n v="2"/>
    <n v="17.600000000000001"/>
  </r>
  <r>
    <n v="533"/>
    <x v="3"/>
    <n v="40"/>
    <x v="1"/>
    <n v="58.1"/>
    <n v="1.56"/>
    <n v="174"/>
    <n v="136"/>
    <n v="63"/>
    <x v="138"/>
    <x v="406"/>
    <x v="0"/>
    <n v="34.4"/>
    <n v="2.2000000000000002"/>
    <x v="3"/>
    <n v="1"/>
    <n v="23.87"/>
  </r>
  <r>
    <n v="534"/>
    <x v="5"/>
    <n v="33"/>
    <x v="1"/>
    <n v="74.2"/>
    <n v="1.76"/>
    <n v="192"/>
    <n v="145"/>
    <n v="66"/>
    <x v="11"/>
    <x v="407"/>
    <x v="3"/>
    <n v="25.9"/>
    <n v="1.5"/>
    <x v="0"/>
    <n v="2"/>
    <n v="23.95"/>
  </r>
  <r>
    <n v="535"/>
    <x v="0"/>
    <n v="56"/>
    <x v="0"/>
    <n v="84.6"/>
    <n v="1.63"/>
    <n v="184"/>
    <n v="141"/>
    <n v="52"/>
    <x v="69"/>
    <x v="408"/>
    <x v="1"/>
    <n v="20.2"/>
    <n v="2.9"/>
    <x v="0"/>
    <n v="2"/>
    <n v="31.84"/>
  </r>
  <r>
    <n v="536"/>
    <x v="7"/>
    <n v="59"/>
    <x v="0"/>
    <n v="78"/>
    <n v="1.92"/>
    <n v="180"/>
    <n v="127"/>
    <n v="53"/>
    <x v="129"/>
    <x v="409"/>
    <x v="2"/>
    <n v="28.1"/>
    <n v="2.7"/>
    <x v="1"/>
    <n v="1"/>
    <n v="21.16"/>
  </r>
  <r>
    <n v="537"/>
    <x v="9"/>
    <n v="56"/>
    <x v="0"/>
    <n v="89"/>
    <n v="1.68"/>
    <n v="176"/>
    <n v="152"/>
    <n v="65"/>
    <x v="127"/>
    <x v="410"/>
    <x v="0"/>
    <n v="10.5"/>
    <n v="3.5"/>
    <x v="2"/>
    <n v="3"/>
    <n v="31.53"/>
  </r>
  <r>
    <n v="538"/>
    <x v="4"/>
    <n v="31"/>
    <x v="1"/>
    <n v="42.7"/>
    <n v="1.76"/>
    <n v="182"/>
    <n v="121"/>
    <n v="65"/>
    <x v="85"/>
    <x v="1"/>
    <x v="3"/>
    <n v="34.9"/>
    <n v="2.2000000000000002"/>
    <x v="1"/>
    <n v="1"/>
    <n v="13.78"/>
  </r>
  <r>
    <n v="539"/>
    <x v="4"/>
    <n v="48"/>
    <x v="0"/>
    <n v="83.9"/>
    <n v="1.82"/>
    <n v="176"/>
    <n v="149"/>
    <n v="70"/>
    <x v="125"/>
    <x v="411"/>
    <x v="1"/>
    <n v="13.1"/>
    <n v="3.5"/>
    <x v="2"/>
    <n v="3"/>
    <n v="25.33"/>
  </r>
  <r>
    <n v="540"/>
    <x v="8"/>
    <n v="22"/>
    <x v="1"/>
    <n v="78.7"/>
    <n v="1.52"/>
    <n v="173"/>
    <n v="166"/>
    <n v="74"/>
    <x v="35"/>
    <x v="412"/>
    <x v="3"/>
    <n v="31.5"/>
    <n v="2.2999999999999998"/>
    <x v="1"/>
    <n v="2"/>
    <n v="34.06"/>
  </r>
  <r>
    <n v="541"/>
    <x v="6"/>
    <n v="52"/>
    <x v="1"/>
    <n v="65.900000000000006"/>
    <n v="1.52"/>
    <n v="188"/>
    <n v="139"/>
    <n v="53"/>
    <x v="7"/>
    <x v="13"/>
    <x v="2"/>
    <n v="27"/>
    <n v="2.2999999999999998"/>
    <x v="0"/>
    <n v="2"/>
    <n v="28.52"/>
  </r>
  <r>
    <n v="542"/>
    <x v="0"/>
    <n v="40"/>
    <x v="0"/>
    <n v="76.900000000000006"/>
    <n v="1.92"/>
    <n v="179"/>
    <n v="137"/>
    <n v="68"/>
    <x v="15"/>
    <x v="413"/>
    <x v="0"/>
    <n v="22.4"/>
    <n v="3.7"/>
    <x v="0"/>
    <n v="2"/>
    <n v="20.86"/>
  </r>
  <r>
    <n v="543"/>
    <x v="2"/>
    <n v="46"/>
    <x v="0"/>
    <n v="84.3"/>
    <n v="2"/>
    <n v="189"/>
    <n v="162"/>
    <n v="66"/>
    <x v="100"/>
    <x v="414"/>
    <x v="1"/>
    <n v="13.3"/>
    <n v="3.5"/>
    <x v="2"/>
    <n v="3"/>
    <n v="21.07"/>
  </r>
  <r>
    <n v="544"/>
    <x v="4"/>
    <n v="28"/>
    <x v="1"/>
    <n v="62.4"/>
    <n v="1.6"/>
    <n v="178"/>
    <n v="129"/>
    <n v="62"/>
    <x v="94"/>
    <x v="378"/>
    <x v="3"/>
    <n v="34.1"/>
    <n v="1.7"/>
    <x v="1"/>
    <n v="2"/>
    <n v="24.37"/>
  </r>
  <r>
    <n v="545"/>
    <x v="9"/>
    <n v="35"/>
    <x v="0"/>
    <n v="63.7"/>
    <n v="1.74"/>
    <n v="198"/>
    <n v="143"/>
    <n v="71"/>
    <x v="8"/>
    <x v="288"/>
    <x v="1"/>
    <n v="29.8"/>
    <n v="2.7"/>
    <x v="0"/>
    <n v="2"/>
    <n v="21.04"/>
  </r>
  <r>
    <n v="546"/>
    <x v="7"/>
    <n v="29"/>
    <x v="1"/>
    <n v="54.9"/>
    <n v="1.52"/>
    <n v="172"/>
    <n v="123"/>
    <n v="72"/>
    <x v="26"/>
    <x v="415"/>
    <x v="3"/>
    <n v="27"/>
    <n v="2"/>
    <x v="1"/>
    <n v="1"/>
    <n v="23.76"/>
  </r>
  <r>
    <n v="547"/>
    <x v="4"/>
    <n v="26"/>
    <x v="0"/>
    <n v="76.400000000000006"/>
    <n v="1.79"/>
    <n v="177"/>
    <n v="156"/>
    <n v="73"/>
    <x v="21"/>
    <x v="68"/>
    <x v="3"/>
    <n v="21.3"/>
    <n v="2.7"/>
    <x v="1"/>
    <n v="2"/>
    <n v="23.84"/>
  </r>
  <r>
    <n v="548"/>
    <x v="7"/>
    <n v="27"/>
    <x v="0"/>
    <n v="106.4"/>
    <n v="1.86"/>
    <n v="182"/>
    <n v="123"/>
    <n v="50"/>
    <x v="33"/>
    <x v="390"/>
    <x v="2"/>
    <n v="20.6"/>
    <n v="3.1"/>
    <x v="3"/>
    <n v="1"/>
    <n v="30.76"/>
  </r>
  <r>
    <n v="549"/>
    <x v="3"/>
    <n v="34"/>
    <x v="1"/>
    <n v="68.400000000000006"/>
    <n v="1.5"/>
    <n v="192"/>
    <n v="132"/>
    <n v="61"/>
    <x v="18"/>
    <x v="416"/>
    <x v="2"/>
    <n v="33.700000000000003"/>
    <n v="2.1"/>
    <x v="0"/>
    <n v="2"/>
    <n v="30.4"/>
  </r>
  <r>
    <n v="550"/>
    <x v="3"/>
    <n v="55"/>
    <x v="0"/>
    <n v="63.5"/>
    <n v="1.86"/>
    <n v="198"/>
    <n v="144"/>
    <n v="53"/>
    <x v="89"/>
    <x v="40"/>
    <x v="3"/>
    <n v="22.9"/>
    <n v="2.9"/>
    <x v="0"/>
    <n v="2"/>
    <n v="18.350000000000001"/>
  </r>
  <r>
    <n v="551"/>
    <x v="6"/>
    <n v="24"/>
    <x v="1"/>
    <n v="59.4"/>
    <n v="1.5"/>
    <n v="199"/>
    <n v="132"/>
    <n v="60"/>
    <x v="23"/>
    <x v="417"/>
    <x v="0"/>
    <n v="25"/>
    <n v="2"/>
    <x v="1"/>
    <n v="2"/>
    <n v="26.4"/>
  </r>
  <r>
    <n v="552"/>
    <x v="5"/>
    <n v="30"/>
    <x v="0"/>
    <n v="113.4"/>
    <n v="1.91"/>
    <n v="177"/>
    <n v="137"/>
    <n v="54"/>
    <x v="7"/>
    <x v="418"/>
    <x v="1"/>
    <n v="22.2"/>
    <n v="3.7"/>
    <x v="1"/>
    <n v="1"/>
    <n v="31.08"/>
  </r>
  <r>
    <n v="553"/>
    <x v="2"/>
    <n v="57"/>
    <x v="1"/>
    <n v="61.9"/>
    <n v="1.52"/>
    <n v="168"/>
    <n v="143"/>
    <n v="51"/>
    <x v="93"/>
    <x v="419"/>
    <x v="1"/>
    <n v="28.4"/>
    <n v="2.6"/>
    <x v="1"/>
    <n v="1"/>
    <n v="26.79"/>
  </r>
  <r>
    <n v="554"/>
    <x v="8"/>
    <n v="59"/>
    <x v="1"/>
    <n v="70.7"/>
    <n v="1.68"/>
    <n v="192"/>
    <n v="121"/>
    <n v="66"/>
    <x v="21"/>
    <x v="420"/>
    <x v="2"/>
    <n v="34.9"/>
    <n v="1.9"/>
    <x v="1"/>
    <n v="2"/>
    <n v="25.05"/>
  </r>
  <r>
    <n v="555"/>
    <x v="6"/>
    <n v="26"/>
    <x v="0"/>
    <n v="111.5"/>
    <n v="1.9"/>
    <n v="191"/>
    <n v="167"/>
    <n v="57"/>
    <x v="73"/>
    <x v="172"/>
    <x v="0"/>
    <n v="25.2"/>
    <n v="2.2000000000000002"/>
    <x v="3"/>
    <n v="1"/>
    <n v="30.89"/>
  </r>
  <r>
    <n v="556"/>
    <x v="1"/>
    <n v="44"/>
    <x v="1"/>
    <n v="72.099999999999994"/>
    <n v="1.66"/>
    <n v="176"/>
    <n v="152"/>
    <n v="55"/>
    <x v="44"/>
    <x v="135"/>
    <x v="3"/>
    <n v="27"/>
    <n v="2.5"/>
    <x v="3"/>
    <n v="1"/>
    <n v="26.16"/>
  </r>
  <r>
    <n v="557"/>
    <x v="8"/>
    <n v="19"/>
    <x v="0"/>
    <n v="56.9"/>
    <n v="1.87"/>
    <n v="178"/>
    <n v="138"/>
    <n v="70"/>
    <x v="138"/>
    <x v="375"/>
    <x v="2"/>
    <n v="23.3"/>
    <n v="3.7"/>
    <x v="1"/>
    <n v="1"/>
    <n v="16.27"/>
  </r>
  <r>
    <n v="558"/>
    <x v="0"/>
    <n v="22"/>
    <x v="0"/>
    <n v="86.2"/>
    <n v="1.9"/>
    <n v="186"/>
    <n v="128"/>
    <n v="58"/>
    <x v="81"/>
    <x v="421"/>
    <x v="3"/>
    <n v="11.7"/>
    <n v="3.5"/>
    <x v="2"/>
    <n v="3"/>
    <n v="23.88"/>
  </r>
  <r>
    <n v="559"/>
    <x v="9"/>
    <n v="46"/>
    <x v="0"/>
    <n v="59.4"/>
    <n v="1.68"/>
    <n v="165"/>
    <n v="147"/>
    <n v="62"/>
    <x v="62"/>
    <x v="156"/>
    <x v="3"/>
    <n v="20.2"/>
    <n v="2.5"/>
    <x v="0"/>
    <n v="2"/>
    <n v="21.05"/>
  </r>
  <r>
    <n v="560"/>
    <x v="1"/>
    <n v="54"/>
    <x v="1"/>
    <n v="75.599999999999994"/>
    <n v="1.72"/>
    <n v="194"/>
    <n v="154"/>
    <n v="60"/>
    <x v="64"/>
    <x v="422"/>
    <x v="2"/>
    <n v="26.4"/>
    <n v="1.9"/>
    <x v="1"/>
    <n v="1"/>
    <n v="25.55"/>
  </r>
  <r>
    <n v="561"/>
    <x v="1"/>
    <n v="55"/>
    <x v="1"/>
    <n v="76.3"/>
    <n v="1.73"/>
    <n v="196"/>
    <n v="158"/>
    <n v="65"/>
    <x v="9"/>
    <x v="302"/>
    <x v="0"/>
    <n v="32"/>
    <n v="2.6"/>
    <x v="1"/>
    <n v="1"/>
    <n v="25.49"/>
  </r>
  <r>
    <n v="562"/>
    <x v="6"/>
    <n v="36"/>
    <x v="0"/>
    <n v="95.8"/>
    <n v="1.86"/>
    <n v="193"/>
    <n v="129"/>
    <n v="65"/>
    <x v="18"/>
    <x v="423"/>
    <x v="1"/>
    <n v="21.2"/>
    <n v="3.2"/>
    <x v="1"/>
    <n v="1"/>
    <n v="27.69"/>
  </r>
  <r>
    <n v="563"/>
    <x v="5"/>
    <n v="25"/>
    <x v="0"/>
    <n v="120.6"/>
    <n v="1.83"/>
    <n v="179"/>
    <n v="120"/>
    <n v="51"/>
    <x v="29"/>
    <x v="177"/>
    <x v="2"/>
    <n v="22.3"/>
    <n v="2.5"/>
    <x v="1"/>
    <n v="2"/>
    <n v="36.01"/>
  </r>
  <r>
    <n v="564"/>
    <x v="6"/>
    <n v="18"/>
    <x v="1"/>
    <n v="65.3"/>
    <n v="1.55"/>
    <n v="184"/>
    <n v="161"/>
    <n v="59"/>
    <x v="24"/>
    <x v="424"/>
    <x v="0"/>
    <n v="28.5"/>
    <n v="2.2000000000000002"/>
    <x v="1"/>
    <n v="2"/>
    <n v="27.18"/>
  </r>
  <r>
    <n v="565"/>
    <x v="0"/>
    <n v="39"/>
    <x v="0"/>
    <n v="85.3"/>
    <n v="1.89"/>
    <n v="163"/>
    <n v="140"/>
    <n v="61"/>
    <x v="104"/>
    <x v="10"/>
    <x v="3"/>
    <n v="27.6"/>
    <n v="3.6"/>
    <x v="3"/>
    <n v="1"/>
    <n v="23.88"/>
  </r>
  <r>
    <n v="566"/>
    <x v="4"/>
    <n v="34"/>
    <x v="0"/>
    <n v="68"/>
    <n v="1.68"/>
    <n v="169"/>
    <n v="128"/>
    <n v="57"/>
    <x v="88"/>
    <x v="425"/>
    <x v="2"/>
    <n v="25.8"/>
    <n v="3.4"/>
    <x v="3"/>
    <n v="1"/>
    <n v="24.09"/>
  </r>
  <r>
    <n v="567"/>
    <x v="4"/>
    <n v="24"/>
    <x v="1"/>
    <n v="52.6"/>
    <n v="1.57"/>
    <n v="169"/>
    <n v="166"/>
    <n v="60"/>
    <x v="28"/>
    <x v="114"/>
    <x v="1"/>
    <n v="31.9"/>
    <n v="2.4"/>
    <x v="3"/>
    <n v="1"/>
    <n v="21.34"/>
  </r>
  <r>
    <n v="568"/>
    <x v="5"/>
    <n v="42"/>
    <x v="0"/>
    <n v="63.3"/>
    <n v="1.77"/>
    <n v="183"/>
    <n v="134"/>
    <n v="59"/>
    <x v="31"/>
    <x v="253"/>
    <x v="1"/>
    <n v="25.7"/>
    <n v="3.3"/>
    <x v="1"/>
    <n v="2"/>
    <n v="20.2"/>
  </r>
  <r>
    <n v="569"/>
    <x v="0"/>
    <n v="21"/>
    <x v="1"/>
    <n v="76.3"/>
    <n v="1.65"/>
    <n v="180"/>
    <n v="154"/>
    <n v="62"/>
    <x v="36"/>
    <x v="224"/>
    <x v="3"/>
    <n v="31.8"/>
    <n v="1.7"/>
    <x v="1"/>
    <n v="2"/>
    <n v="28.03"/>
  </r>
  <r>
    <n v="570"/>
    <x v="5"/>
    <n v="53"/>
    <x v="0"/>
    <n v="61"/>
    <n v="1.63"/>
    <n v="170"/>
    <n v="124"/>
    <n v="74"/>
    <x v="63"/>
    <x v="426"/>
    <x v="2"/>
    <n v="20"/>
    <n v="3.4"/>
    <x v="1"/>
    <n v="1"/>
    <n v="22.96"/>
  </r>
  <r>
    <n v="571"/>
    <x v="7"/>
    <n v="23"/>
    <x v="1"/>
    <n v="67.8"/>
    <n v="1.61"/>
    <n v="186"/>
    <n v="160"/>
    <n v="66"/>
    <x v="33"/>
    <x v="38"/>
    <x v="1"/>
    <n v="34.299999999999997"/>
    <n v="1.8"/>
    <x v="3"/>
    <n v="1"/>
    <n v="26.16"/>
  </r>
  <r>
    <n v="572"/>
    <x v="4"/>
    <n v="48"/>
    <x v="0"/>
    <n v="114.9"/>
    <n v="1.86"/>
    <n v="175"/>
    <n v="141"/>
    <n v="56"/>
    <x v="89"/>
    <x v="235"/>
    <x v="2"/>
    <n v="21.1"/>
    <n v="3.6"/>
    <x v="1"/>
    <n v="1"/>
    <n v="33.21"/>
  </r>
  <r>
    <n v="573"/>
    <x v="1"/>
    <n v="36"/>
    <x v="0"/>
    <n v="88"/>
    <n v="1.71"/>
    <n v="185"/>
    <n v="160"/>
    <n v="73"/>
    <x v="55"/>
    <x v="427"/>
    <x v="1"/>
    <n v="12"/>
    <n v="3.5"/>
    <x v="2"/>
    <n v="3"/>
    <n v="30.09"/>
  </r>
  <r>
    <n v="574"/>
    <x v="2"/>
    <n v="56"/>
    <x v="1"/>
    <n v="67.7"/>
    <n v="1.58"/>
    <n v="189"/>
    <n v="142"/>
    <n v="52"/>
    <x v="35"/>
    <x v="292"/>
    <x v="3"/>
    <n v="32.700000000000003"/>
    <n v="1.9"/>
    <x v="3"/>
    <n v="1"/>
    <n v="27.12"/>
  </r>
  <r>
    <n v="575"/>
    <x v="9"/>
    <n v="44"/>
    <x v="0"/>
    <n v="124.8"/>
    <n v="1.85"/>
    <n v="175"/>
    <n v="126"/>
    <n v="69"/>
    <x v="14"/>
    <x v="193"/>
    <x v="3"/>
    <n v="24.4"/>
    <n v="3.5"/>
    <x v="0"/>
    <n v="2"/>
    <n v="36.46"/>
  </r>
  <r>
    <n v="576"/>
    <x v="0"/>
    <n v="27"/>
    <x v="1"/>
    <n v="53"/>
    <n v="1.58"/>
    <n v="166"/>
    <n v="142"/>
    <n v="62"/>
    <x v="32"/>
    <x v="7"/>
    <x v="2"/>
    <n v="34.5"/>
    <n v="1.8"/>
    <x v="0"/>
    <n v="2"/>
    <n v="21.23"/>
  </r>
  <r>
    <n v="577"/>
    <x v="8"/>
    <n v="43"/>
    <x v="0"/>
    <n v="61.2"/>
    <n v="1.88"/>
    <n v="175"/>
    <n v="163"/>
    <n v="68"/>
    <x v="8"/>
    <x v="398"/>
    <x v="0"/>
    <n v="24.7"/>
    <n v="2.9"/>
    <x v="1"/>
    <n v="1"/>
    <n v="17.32"/>
  </r>
  <r>
    <n v="578"/>
    <x v="5"/>
    <n v="36"/>
    <x v="1"/>
    <n v="48.7"/>
    <n v="1.68"/>
    <n v="194"/>
    <n v="144"/>
    <n v="56"/>
    <x v="40"/>
    <x v="146"/>
    <x v="0"/>
    <n v="33.700000000000003"/>
    <n v="1.6"/>
    <x v="1"/>
    <n v="1"/>
    <n v="17.25"/>
  </r>
  <r>
    <n v="579"/>
    <x v="9"/>
    <n v="56"/>
    <x v="1"/>
    <n v="50.6"/>
    <n v="1.7"/>
    <n v="175"/>
    <n v="146"/>
    <n v="58"/>
    <x v="28"/>
    <x v="22"/>
    <x v="3"/>
    <n v="33.1"/>
    <n v="2.2999999999999998"/>
    <x v="3"/>
    <n v="1"/>
    <n v="17.510000000000002"/>
  </r>
  <r>
    <n v="580"/>
    <x v="8"/>
    <n v="20"/>
    <x v="1"/>
    <n v="72.599999999999994"/>
    <n v="1.73"/>
    <n v="199"/>
    <n v="160"/>
    <n v="68"/>
    <x v="7"/>
    <x v="47"/>
    <x v="1"/>
    <n v="34.799999999999997"/>
    <n v="2.5"/>
    <x v="1"/>
    <n v="2"/>
    <n v="24.26"/>
  </r>
  <r>
    <n v="581"/>
    <x v="9"/>
    <n v="30"/>
    <x v="1"/>
    <n v="70.400000000000006"/>
    <n v="1.56"/>
    <n v="171"/>
    <n v="125"/>
    <n v="62"/>
    <x v="8"/>
    <x v="161"/>
    <x v="0"/>
    <n v="34.299999999999997"/>
    <n v="2.4"/>
    <x v="0"/>
    <n v="2"/>
    <n v="28.93"/>
  </r>
  <r>
    <n v="582"/>
    <x v="2"/>
    <n v="45"/>
    <x v="0"/>
    <n v="52.5"/>
    <n v="1.88"/>
    <n v="194"/>
    <n v="153"/>
    <n v="71"/>
    <x v="9"/>
    <x v="428"/>
    <x v="3"/>
    <n v="29"/>
    <n v="2.9"/>
    <x v="0"/>
    <n v="2"/>
    <n v="14.85"/>
  </r>
  <r>
    <n v="583"/>
    <x v="8"/>
    <n v="37"/>
    <x v="0"/>
    <n v="76.3"/>
    <n v="1.77"/>
    <n v="180"/>
    <n v="128"/>
    <n v="57"/>
    <x v="89"/>
    <x v="418"/>
    <x v="1"/>
    <n v="27.3"/>
    <n v="2.1"/>
    <x v="0"/>
    <n v="2"/>
    <n v="24.35"/>
  </r>
  <r>
    <n v="584"/>
    <x v="6"/>
    <n v="45"/>
    <x v="1"/>
    <n v="41.2"/>
    <n v="1.58"/>
    <n v="195"/>
    <n v="168"/>
    <n v="71"/>
    <x v="43"/>
    <x v="16"/>
    <x v="1"/>
    <n v="28.7"/>
    <n v="2.6"/>
    <x v="3"/>
    <n v="1"/>
    <n v="16.5"/>
  </r>
  <r>
    <n v="585"/>
    <x v="3"/>
    <n v="25"/>
    <x v="1"/>
    <n v="55.3"/>
    <n v="1.76"/>
    <n v="176"/>
    <n v="152"/>
    <n v="67"/>
    <x v="120"/>
    <x v="429"/>
    <x v="0"/>
    <n v="15.5"/>
    <n v="2.7"/>
    <x v="0"/>
    <n v="3"/>
    <n v="17.850000000000001"/>
  </r>
  <r>
    <n v="586"/>
    <x v="6"/>
    <n v="58"/>
    <x v="1"/>
    <n v="49.7"/>
    <n v="1.67"/>
    <n v="191"/>
    <n v="125"/>
    <n v="72"/>
    <x v="82"/>
    <x v="430"/>
    <x v="3"/>
    <n v="31.9"/>
    <n v="2.2999999999999998"/>
    <x v="0"/>
    <n v="2"/>
    <n v="17.82"/>
  </r>
  <r>
    <n v="587"/>
    <x v="4"/>
    <n v="56"/>
    <x v="0"/>
    <n v="48.3"/>
    <n v="1.87"/>
    <n v="165"/>
    <n v="156"/>
    <n v="51"/>
    <x v="80"/>
    <x v="296"/>
    <x v="1"/>
    <n v="29.8"/>
    <n v="3.3"/>
    <x v="1"/>
    <n v="1"/>
    <n v="13.81"/>
  </r>
  <r>
    <n v="588"/>
    <x v="3"/>
    <n v="18"/>
    <x v="0"/>
    <n v="83.2"/>
    <n v="1.96"/>
    <n v="183"/>
    <n v="150"/>
    <n v="67"/>
    <x v="100"/>
    <x v="431"/>
    <x v="1"/>
    <n v="13.6"/>
    <n v="3.5"/>
    <x v="0"/>
    <n v="3"/>
    <n v="21.66"/>
  </r>
  <r>
    <n v="589"/>
    <x v="6"/>
    <n v="20"/>
    <x v="0"/>
    <n v="120.5"/>
    <n v="1.73"/>
    <n v="186"/>
    <n v="153"/>
    <n v="67"/>
    <x v="69"/>
    <x v="432"/>
    <x v="2"/>
    <n v="29.3"/>
    <n v="3.4"/>
    <x v="1"/>
    <n v="2"/>
    <n v="40.26"/>
  </r>
  <r>
    <n v="590"/>
    <x v="3"/>
    <n v="30"/>
    <x v="0"/>
    <n v="121.6"/>
    <n v="2"/>
    <n v="179"/>
    <n v="160"/>
    <n v="60"/>
    <x v="12"/>
    <x v="433"/>
    <x v="2"/>
    <n v="28"/>
    <n v="3.3"/>
    <x v="0"/>
    <n v="2"/>
    <n v="30.4"/>
  </r>
  <r>
    <n v="591"/>
    <x v="3"/>
    <n v="45"/>
    <x v="1"/>
    <n v="73"/>
    <n v="1.75"/>
    <n v="184"/>
    <n v="148"/>
    <n v="50"/>
    <x v="36"/>
    <x v="434"/>
    <x v="0"/>
    <n v="26.6"/>
    <n v="2"/>
    <x v="0"/>
    <n v="2"/>
    <n v="23.84"/>
  </r>
  <r>
    <n v="592"/>
    <x v="1"/>
    <n v="42"/>
    <x v="1"/>
    <n v="57.5"/>
    <n v="1.67"/>
    <n v="161"/>
    <n v="133"/>
    <n v="63"/>
    <x v="141"/>
    <x v="243"/>
    <x v="2"/>
    <n v="16.2"/>
    <n v="2.7"/>
    <x v="2"/>
    <n v="3"/>
    <n v="20.62"/>
  </r>
  <r>
    <n v="593"/>
    <x v="5"/>
    <n v="50"/>
    <x v="1"/>
    <n v="42.7"/>
    <n v="1.53"/>
    <n v="168"/>
    <n v="155"/>
    <n v="65"/>
    <x v="39"/>
    <x v="435"/>
    <x v="3"/>
    <n v="28.4"/>
    <n v="2.4"/>
    <x v="0"/>
    <n v="2"/>
    <n v="18.239999999999998"/>
  </r>
  <r>
    <n v="594"/>
    <x v="5"/>
    <n v="55"/>
    <x v="0"/>
    <n v="129.9"/>
    <n v="1.73"/>
    <n v="187"/>
    <n v="155"/>
    <n v="60"/>
    <x v="117"/>
    <x v="436"/>
    <x v="0"/>
    <n v="21.7"/>
    <n v="3.1"/>
    <x v="1"/>
    <n v="1"/>
    <n v="43.4"/>
  </r>
  <r>
    <n v="595"/>
    <x v="1"/>
    <n v="23"/>
    <x v="0"/>
    <n v="108.6"/>
    <n v="1.92"/>
    <n v="197"/>
    <n v="134"/>
    <n v="50"/>
    <x v="50"/>
    <x v="437"/>
    <x v="0"/>
    <n v="25.8"/>
    <n v="3.5"/>
    <x v="3"/>
    <n v="1"/>
    <n v="29.46"/>
  </r>
  <r>
    <n v="596"/>
    <x v="9"/>
    <n v="49"/>
    <x v="0"/>
    <n v="88.6"/>
    <n v="2"/>
    <n v="162"/>
    <n v="127"/>
    <n v="56"/>
    <x v="100"/>
    <x v="56"/>
    <x v="2"/>
    <n v="14.9"/>
    <n v="3.5"/>
    <x v="0"/>
    <n v="3"/>
    <n v="22.15"/>
  </r>
  <r>
    <n v="597"/>
    <x v="7"/>
    <n v="38"/>
    <x v="1"/>
    <n v="49.7"/>
    <n v="1.51"/>
    <n v="179"/>
    <n v="145"/>
    <n v="65"/>
    <x v="23"/>
    <x v="438"/>
    <x v="1"/>
    <n v="32.6"/>
    <n v="2.5"/>
    <x v="1"/>
    <n v="1"/>
    <n v="21.8"/>
  </r>
  <r>
    <n v="598"/>
    <x v="9"/>
    <n v="33"/>
    <x v="1"/>
    <n v="56.4"/>
    <n v="1.54"/>
    <n v="165"/>
    <n v="155"/>
    <n v="63"/>
    <x v="107"/>
    <x v="286"/>
    <x v="3"/>
    <n v="29.2"/>
    <n v="1.5"/>
    <x v="1"/>
    <n v="1"/>
    <n v="23.78"/>
  </r>
  <r>
    <n v="599"/>
    <x v="8"/>
    <n v="38"/>
    <x v="0"/>
    <n v="46.9"/>
    <n v="1.74"/>
    <n v="198"/>
    <n v="167"/>
    <n v="64"/>
    <x v="8"/>
    <x v="389"/>
    <x v="3"/>
    <n v="20"/>
    <n v="2.6"/>
    <x v="0"/>
    <n v="2"/>
    <n v="15.49"/>
  </r>
  <r>
    <n v="600"/>
    <x v="8"/>
    <n v="28"/>
    <x v="1"/>
    <n v="71.3"/>
    <n v="1.67"/>
    <n v="192"/>
    <n v="140"/>
    <n v="63"/>
    <x v="85"/>
    <x v="273"/>
    <x v="3"/>
    <n v="28.1"/>
    <n v="1.5"/>
    <x v="0"/>
    <n v="2"/>
    <n v="25.57"/>
  </r>
  <r>
    <n v="601"/>
    <x v="3"/>
    <n v="54"/>
    <x v="0"/>
    <n v="71.599999999999994"/>
    <n v="1.86"/>
    <n v="160"/>
    <n v="147"/>
    <n v="70"/>
    <x v="36"/>
    <x v="308"/>
    <x v="0"/>
    <n v="25.3"/>
    <n v="2.2000000000000002"/>
    <x v="1"/>
    <n v="2"/>
    <n v="20.7"/>
  </r>
  <r>
    <n v="602"/>
    <x v="6"/>
    <n v="53"/>
    <x v="0"/>
    <n v="82.3"/>
    <n v="1.61"/>
    <n v="196"/>
    <n v="123"/>
    <n v="60"/>
    <x v="55"/>
    <x v="439"/>
    <x v="3"/>
    <n v="11.6"/>
    <n v="3.5"/>
    <x v="2"/>
    <n v="3"/>
    <n v="31.75"/>
  </r>
  <r>
    <n v="603"/>
    <x v="6"/>
    <n v="52"/>
    <x v="1"/>
    <n v="70.599999999999994"/>
    <n v="1.69"/>
    <n v="165"/>
    <n v="135"/>
    <n v="65"/>
    <x v="89"/>
    <x v="440"/>
    <x v="1"/>
    <n v="26.1"/>
    <n v="2.2000000000000002"/>
    <x v="1"/>
    <n v="1"/>
    <n v="24.72"/>
  </r>
  <r>
    <n v="604"/>
    <x v="5"/>
    <n v="36"/>
    <x v="0"/>
    <n v="109.8"/>
    <n v="1.62"/>
    <n v="193"/>
    <n v="141"/>
    <n v="68"/>
    <x v="38"/>
    <x v="441"/>
    <x v="1"/>
    <n v="24.4"/>
    <n v="3.5"/>
    <x v="1"/>
    <n v="1"/>
    <n v="41.84"/>
  </r>
  <r>
    <n v="605"/>
    <x v="0"/>
    <n v="37"/>
    <x v="1"/>
    <n v="73.5"/>
    <n v="1.69"/>
    <n v="174"/>
    <n v="131"/>
    <n v="66"/>
    <x v="63"/>
    <x v="442"/>
    <x v="2"/>
    <n v="27.5"/>
    <n v="1.6"/>
    <x v="3"/>
    <n v="1"/>
    <n v="25.73"/>
  </r>
  <r>
    <n v="606"/>
    <x v="9"/>
    <n v="35"/>
    <x v="0"/>
    <n v="85.6"/>
    <n v="1.85"/>
    <n v="185"/>
    <n v="135"/>
    <n v="55"/>
    <x v="56"/>
    <x v="443"/>
    <x v="3"/>
    <n v="14.5"/>
    <n v="3.5"/>
    <x v="2"/>
    <n v="3"/>
    <n v="25.01"/>
  </r>
  <r>
    <n v="607"/>
    <x v="4"/>
    <n v="58"/>
    <x v="1"/>
    <n v="74.599999999999994"/>
    <n v="1.68"/>
    <n v="173"/>
    <n v="159"/>
    <n v="60"/>
    <x v="8"/>
    <x v="444"/>
    <x v="0"/>
    <n v="26"/>
    <n v="2"/>
    <x v="0"/>
    <n v="2"/>
    <n v="26.43"/>
  </r>
  <r>
    <n v="608"/>
    <x v="2"/>
    <n v="31"/>
    <x v="1"/>
    <n v="63.2"/>
    <n v="1.8"/>
    <n v="166"/>
    <n v="157"/>
    <n v="66"/>
    <x v="3"/>
    <x v="375"/>
    <x v="2"/>
    <n v="25.5"/>
    <n v="2.6"/>
    <x v="3"/>
    <n v="1"/>
    <n v="19.510000000000002"/>
  </r>
  <r>
    <n v="609"/>
    <x v="6"/>
    <n v="32"/>
    <x v="1"/>
    <n v="62.6"/>
    <n v="1.63"/>
    <n v="190"/>
    <n v="161"/>
    <n v="58"/>
    <x v="41"/>
    <x v="445"/>
    <x v="1"/>
    <n v="15"/>
    <n v="2.7"/>
    <x v="2"/>
    <n v="3"/>
    <n v="23.56"/>
  </r>
  <r>
    <n v="610"/>
    <x v="2"/>
    <n v="48"/>
    <x v="0"/>
    <n v="87.1"/>
    <n v="1.76"/>
    <n v="183"/>
    <n v="156"/>
    <n v="67"/>
    <x v="51"/>
    <x v="446"/>
    <x v="3"/>
    <n v="11.6"/>
    <n v="3.5"/>
    <x v="2"/>
    <n v="3"/>
    <n v="28.12"/>
  </r>
  <r>
    <n v="611"/>
    <x v="3"/>
    <n v="18"/>
    <x v="0"/>
    <n v="82.3"/>
    <n v="1.84"/>
    <n v="190"/>
    <n v="148"/>
    <n v="66"/>
    <x v="52"/>
    <x v="447"/>
    <x v="1"/>
    <n v="13.3"/>
    <n v="3.5"/>
    <x v="2"/>
    <n v="3"/>
    <n v="24.31"/>
  </r>
  <r>
    <n v="612"/>
    <x v="2"/>
    <n v="20"/>
    <x v="1"/>
    <n v="64.3"/>
    <n v="1.78"/>
    <n v="188"/>
    <n v="137"/>
    <n v="61"/>
    <x v="98"/>
    <x v="334"/>
    <x v="2"/>
    <n v="18.7"/>
    <n v="2.7"/>
    <x v="0"/>
    <n v="3"/>
    <n v="20.29"/>
  </r>
  <r>
    <n v="613"/>
    <x v="4"/>
    <n v="33"/>
    <x v="1"/>
    <n v="53.7"/>
    <n v="1.66"/>
    <n v="191"/>
    <n v="129"/>
    <n v="72"/>
    <x v="23"/>
    <x v="312"/>
    <x v="1"/>
    <n v="29.5"/>
    <n v="2.5"/>
    <x v="1"/>
    <n v="1"/>
    <n v="19.489999999999998"/>
  </r>
  <r>
    <n v="614"/>
    <x v="1"/>
    <n v="40"/>
    <x v="0"/>
    <n v="63"/>
    <n v="2"/>
    <n v="176"/>
    <n v="161"/>
    <n v="71"/>
    <x v="24"/>
    <x v="448"/>
    <x v="3"/>
    <n v="26.8"/>
    <n v="2.9"/>
    <x v="0"/>
    <n v="2"/>
    <n v="15.75"/>
  </r>
  <r>
    <n v="615"/>
    <x v="4"/>
    <n v="28"/>
    <x v="0"/>
    <n v="128.4"/>
    <n v="1.86"/>
    <n v="173"/>
    <n v="158"/>
    <n v="71"/>
    <x v="107"/>
    <x v="363"/>
    <x v="3"/>
    <n v="23.6"/>
    <n v="3.3"/>
    <x v="0"/>
    <n v="2"/>
    <n v="37.11"/>
  </r>
  <r>
    <n v="616"/>
    <x v="2"/>
    <n v="29"/>
    <x v="0"/>
    <n v="88"/>
    <n v="1.89"/>
    <n v="199"/>
    <n v="137"/>
    <n v="54"/>
    <x v="46"/>
    <x v="449"/>
    <x v="2"/>
    <n v="13.3"/>
    <n v="3.5"/>
    <x v="2"/>
    <n v="3"/>
    <n v="24.64"/>
  </r>
  <r>
    <n v="617"/>
    <x v="4"/>
    <n v="27"/>
    <x v="1"/>
    <n v="63.7"/>
    <n v="1.52"/>
    <n v="195"/>
    <n v="120"/>
    <n v="60"/>
    <x v="17"/>
    <x v="276"/>
    <x v="3"/>
    <n v="25.4"/>
    <n v="2.1"/>
    <x v="0"/>
    <n v="2"/>
    <n v="27.57"/>
  </r>
  <r>
    <n v="618"/>
    <x v="7"/>
    <n v="49"/>
    <x v="0"/>
    <n v="83.7"/>
    <n v="1.87"/>
    <n v="183"/>
    <n v="158"/>
    <n v="53"/>
    <x v="28"/>
    <x v="242"/>
    <x v="1"/>
    <n v="23.9"/>
    <n v="2.2999999999999998"/>
    <x v="0"/>
    <n v="2"/>
    <n v="23.94"/>
  </r>
  <r>
    <n v="619"/>
    <x v="3"/>
    <n v="33"/>
    <x v="0"/>
    <n v="102.6"/>
    <n v="1.75"/>
    <n v="186"/>
    <n v="140"/>
    <n v="53"/>
    <x v="44"/>
    <x v="450"/>
    <x v="1"/>
    <n v="27.9"/>
    <n v="2.2000000000000002"/>
    <x v="1"/>
    <n v="2"/>
    <n v="33.5"/>
  </r>
  <r>
    <n v="620"/>
    <x v="9"/>
    <n v="25"/>
    <x v="1"/>
    <n v="77.7"/>
    <n v="1.55"/>
    <n v="184"/>
    <n v="120"/>
    <n v="52"/>
    <x v="72"/>
    <x v="451"/>
    <x v="0"/>
    <n v="33"/>
    <n v="1.7"/>
    <x v="3"/>
    <n v="1"/>
    <n v="32.340000000000003"/>
  </r>
  <r>
    <n v="621"/>
    <x v="1"/>
    <n v="55"/>
    <x v="0"/>
    <n v="87.5"/>
    <n v="1.88"/>
    <n v="191"/>
    <n v="134"/>
    <n v="73"/>
    <x v="17"/>
    <x v="452"/>
    <x v="0"/>
    <n v="27.2"/>
    <n v="2.6"/>
    <x v="0"/>
    <n v="2"/>
    <n v="24.76"/>
  </r>
  <r>
    <n v="622"/>
    <x v="6"/>
    <n v="29"/>
    <x v="0"/>
    <n v="87"/>
    <n v="1.86"/>
    <n v="177"/>
    <n v="123"/>
    <n v="72"/>
    <x v="30"/>
    <x v="453"/>
    <x v="0"/>
    <n v="11"/>
    <n v="3.5"/>
    <x v="0"/>
    <n v="3"/>
    <n v="25.15"/>
  </r>
  <r>
    <n v="623"/>
    <x v="8"/>
    <n v="41"/>
    <x v="0"/>
    <n v="82.8"/>
    <n v="1.66"/>
    <n v="177"/>
    <n v="139"/>
    <n v="74"/>
    <x v="47"/>
    <x v="454"/>
    <x v="1"/>
    <n v="11.2"/>
    <n v="3.5"/>
    <x v="2"/>
    <n v="3"/>
    <n v="30.05"/>
  </r>
  <r>
    <n v="624"/>
    <x v="9"/>
    <n v="45"/>
    <x v="1"/>
    <n v="65.400000000000006"/>
    <n v="1.68"/>
    <n v="196"/>
    <n v="129"/>
    <n v="66"/>
    <x v="134"/>
    <x v="91"/>
    <x v="1"/>
    <n v="35"/>
    <n v="2.6"/>
    <x v="1"/>
    <n v="1"/>
    <n v="23.17"/>
  </r>
  <r>
    <n v="625"/>
    <x v="8"/>
    <n v="25"/>
    <x v="1"/>
    <n v="47.2"/>
    <n v="1.71"/>
    <n v="185"/>
    <n v="142"/>
    <n v="56"/>
    <x v="50"/>
    <x v="227"/>
    <x v="2"/>
    <n v="26"/>
    <n v="2.5"/>
    <x v="3"/>
    <n v="1"/>
    <n v="16.14"/>
  </r>
  <r>
    <n v="626"/>
    <x v="3"/>
    <n v="45"/>
    <x v="1"/>
    <n v="58.2"/>
    <n v="1.7"/>
    <n v="168"/>
    <n v="160"/>
    <n v="53"/>
    <x v="142"/>
    <x v="268"/>
    <x v="0"/>
    <n v="26.8"/>
    <n v="2"/>
    <x v="1"/>
    <n v="1"/>
    <n v="20.14"/>
  </r>
  <r>
    <n v="627"/>
    <x v="1"/>
    <n v="53"/>
    <x v="1"/>
    <n v="73.5"/>
    <n v="1.55"/>
    <n v="194"/>
    <n v="153"/>
    <n v="72"/>
    <x v="21"/>
    <x v="312"/>
    <x v="1"/>
    <n v="26.3"/>
    <n v="2.1"/>
    <x v="0"/>
    <n v="2"/>
    <n v="30.59"/>
  </r>
  <r>
    <n v="628"/>
    <x v="5"/>
    <n v="43"/>
    <x v="1"/>
    <n v="55.2"/>
    <n v="1.73"/>
    <n v="167"/>
    <n v="165"/>
    <n v="62"/>
    <x v="41"/>
    <x v="455"/>
    <x v="2"/>
    <n v="16.600000000000001"/>
    <n v="2.7"/>
    <x v="2"/>
    <n v="3"/>
    <n v="18.440000000000001"/>
  </r>
  <r>
    <n v="629"/>
    <x v="6"/>
    <n v="25"/>
    <x v="1"/>
    <n v="64.400000000000006"/>
    <n v="1.71"/>
    <n v="179"/>
    <n v="167"/>
    <n v="61"/>
    <x v="20"/>
    <x v="456"/>
    <x v="1"/>
    <n v="27.1"/>
    <n v="1.8"/>
    <x v="1"/>
    <n v="1"/>
    <n v="22.02"/>
  </r>
  <r>
    <n v="630"/>
    <x v="7"/>
    <n v="45"/>
    <x v="1"/>
    <n v="73.5"/>
    <n v="1.74"/>
    <n v="181"/>
    <n v="152"/>
    <n v="50"/>
    <x v="13"/>
    <x v="457"/>
    <x v="2"/>
    <n v="30"/>
    <n v="2.2999999999999998"/>
    <x v="0"/>
    <n v="2"/>
    <n v="24.28"/>
  </r>
  <r>
    <n v="631"/>
    <x v="5"/>
    <n v="45"/>
    <x v="0"/>
    <n v="89.6"/>
    <n v="1.81"/>
    <n v="178"/>
    <n v="153"/>
    <n v="70"/>
    <x v="119"/>
    <x v="458"/>
    <x v="0"/>
    <n v="12.4"/>
    <n v="3.5"/>
    <x v="2"/>
    <n v="3"/>
    <n v="27.35"/>
  </r>
  <r>
    <n v="632"/>
    <x v="3"/>
    <n v="54"/>
    <x v="0"/>
    <n v="86.5"/>
    <n v="1.76"/>
    <n v="189"/>
    <n v="158"/>
    <n v="68"/>
    <x v="26"/>
    <x v="459"/>
    <x v="0"/>
    <n v="29"/>
    <n v="3.4"/>
    <x v="1"/>
    <n v="2"/>
    <n v="27.92"/>
  </r>
  <r>
    <n v="633"/>
    <x v="9"/>
    <n v="58"/>
    <x v="1"/>
    <n v="46.1"/>
    <n v="1.67"/>
    <n v="187"/>
    <n v="129"/>
    <n v="70"/>
    <x v="76"/>
    <x v="71"/>
    <x v="0"/>
    <n v="25.3"/>
    <n v="1.8"/>
    <x v="0"/>
    <n v="2"/>
    <n v="16.53"/>
  </r>
  <r>
    <n v="634"/>
    <x v="7"/>
    <n v="53"/>
    <x v="0"/>
    <n v="68.5"/>
    <n v="1.97"/>
    <n v="194"/>
    <n v="139"/>
    <n v="69"/>
    <x v="1"/>
    <x v="342"/>
    <x v="1"/>
    <n v="23.2"/>
    <n v="2.1"/>
    <x v="1"/>
    <n v="2"/>
    <n v="17.649999999999999"/>
  </r>
  <r>
    <n v="635"/>
    <x v="4"/>
    <n v="44"/>
    <x v="0"/>
    <n v="94.6"/>
    <n v="1.84"/>
    <n v="170"/>
    <n v="120"/>
    <n v="67"/>
    <x v="32"/>
    <x v="460"/>
    <x v="1"/>
    <n v="26"/>
    <n v="3.1"/>
    <x v="0"/>
    <n v="2"/>
    <n v="27.94"/>
  </r>
  <r>
    <n v="636"/>
    <x v="2"/>
    <n v="34"/>
    <x v="1"/>
    <n v="54.2"/>
    <n v="1.52"/>
    <n v="190"/>
    <n v="132"/>
    <n v="60"/>
    <x v="15"/>
    <x v="461"/>
    <x v="2"/>
    <n v="31"/>
    <n v="2.2000000000000002"/>
    <x v="1"/>
    <n v="1"/>
    <n v="23.46"/>
  </r>
  <r>
    <n v="637"/>
    <x v="7"/>
    <n v="26"/>
    <x v="0"/>
    <n v="47.7"/>
    <n v="1.77"/>
    <n v="198"/>
    <n v="120"/>
    <n v="69"/>
    <x v="11"/>
    <x v="434"/>
    <x v="3"/>
    <n v="24.8"/>
    <n v="2.7"/>
    <x v="1"/>
    <n v="2"/>
    <n v="15.23"/>
  </r>
  <r>
    <n v="638"/>
    <x v="3"/>
    <n v="50"/>
    <x v="0"/>
    <n v="52.2"/>
    <n v="1.84"/>
    <n v="195"/>
    <n v="124"/>
    <n v="52"/>
    <x v="82"/>
    <x v="462"/>
    <x v="3"/>
    <n v="28.2"/>
    <n v="3.1"/>
    <x v="0"/>
    <n v="2"/>
    <n v="15.42"/>
  </r>
  <r>
    <n v="639"/>
    <x v="0"/>
    <n v="37"/>
    <x v="0"/>
    <n v="88.8"/>
    <n v="1.95"/>
    <n v="189"/>
    <n v="135"/>
    <n v="66"/>
    <x v="92"/>
    <x v="463"/>
    <x v="0"/>
    <n v="10.3"/>
    <n v="3.5"/>
    <x v="2"/>
    <n v="3"/>
    <n v="23.35"/>
  </r>
  <r>
    <n v="640"/>
    <x v="2"/>
    <n v="30"/>
    <x v="0"/>
    <n v="101"/>
    <n v="1.68"/>
    <n v="182"/>
    <n v="134"/>
    <n v="61"/>
    <x v="85"/>
    <x v="464"/>
    <x v="3"/>
    <n v="28.2"/>
    <n v="2.9"/>
    <x v="0"/>
    <n v="2"/>
    <n v="35.79"/>
  </r>
  <r>
    <n v="641"/>
    <x v="8"/>
    <n v="45"/>
    <x v="0"/>
    <n v="118.4"/>
    <n v="1.95"/>
    <n v="178"/>
    <n v="168"/>
    <n v="59"/>
    <x v="107"/>
    <x v="295"/>
    <x v="0"/>
    <n v="24.9"/>
    <n v="2.4"/>
    <x v="1"/>
    <n v="2"/>
    <n v="31.14"/>
  </r>
  <r>
    <n v="642"/>
    <x v="6"/>
    <n v="46"/>
    <x v="1"/>
    <n v="47.9"/>
    <n v="1.72"/>
    <n v="171"/>
    <n v="147"/>
    <n v="57"/>
    <x v="39"/>
    <x v="399"/>
    <x v="2"/>
    <n v="26.3"/>
    <n v="2"/>
    <x v="1"/>
    <n v="1"/>
    <n v="16.190000000000001"/>
  </r>
  <r>
    <n v="643"/>
    <x v="8"/>
    <n v="30"/>
    <x v="1"/>
    <n v="51.5"/>
    <n v="1.74"/>
    <n v="174"/>
    <n v="150"/>
    <n v="64"/>
    <x v="9"/>
    <x v="288"/>
    <x v="3"/>
    <n v="33.9"/>
    <n v="2"/>
    <x v="1"/>
    <n v="2"/>
    <n v="17.010000000000002"/>
  </r>
  <r>
    <n v="644"/>
    <x v="7"/>
    <n v="52"/>
    <x v="1"/>
    <n v="79.900000000000006"/>
    <n v="1.51"/>
    <n v="190"/>
    <n v="142"/>
    <n v="54"/>
    <x v="143"/>
    <x v="465"/>
    <x v="3"/>
    <n v="31.5"/>
    <n v="2.6"/>
    <x v="1"/>
    <n v="1"/>
    <n v="35.04"/>
  </r>
  <r>
    <n v="645"/>
    <x v="8"/>
    <n v="23"/>
    <x v="0"/>
    <n v="121.3"/>
    <n v="1.85"/>
    <n v="196"/>
    <n v="167"/>
    <n v="53"/>
    <x v="129"/>
    <x v="466"/>
    <x v="0"/>
    <n v="21.6"/>
    <n v="3.6"/>
    <x v="3"/>
    <n v="1"/>
    <n v="35.44"/>
  </r>
  <r>
    <n v="646"/>
    <x v="3"/>
    <n v="35"/>
    <x v="1"/>
    <n v="78.900000000000006"/>
    <n v="1.64"/>
    <n v="196"/>
    <n v="164"/>
    <n v="70"/>
    <x v="76"/>
    <x v="467"/>
    <x v="2"/>
    <n v="25.3"/>
    <n v="2.6"/>
    <x v="0"/>
    <n v="2"/>
    <n v="29.34"/>
  </r>
  <r>
    <n v="647"/>
    <x v="4"/>
    <n v="22"/>
    <x v="0"/>
    <n v="88.5"/>
    <n v="1.62"/>
    <n v="174"/>
    <n v="162"/>
    <n v="69"/>
    <x v="122"/>
    <x v="468"/>
    <x v="3"/>
    <n v="10.7"/>
    <n v="3.5"/>
    <x v="2"/>
    <n v="3"/>
    <n v="33.72"/>
  </r>
  <r>
    <n v="648"/>
    <x v="9"/>
    <n v="42"/>
    <x v="0"/>
    <n v="73.5"/>
    <n v="1.63"/>
    <n v="188"/>
    <n v="136"/>
    <n v="68"/>
    <x v="106"/>
    <x v="469"/>
    <x v="3"/>
    <n v="26.1"/>
    <n v="3.2"/>
    <x v="1"/>
    <n v="1"/>
    <n v="27.66"/>
  </r>
  <r>
    <n v="649"/>
    <x v="6"/>
    <n v="19"/>
    <x v="0"/>
    <n v="127.9"/>
    <n v="1.93"/>
    <n v="185"/>
    <n v="168"/>
    <n v="70"/>
    <x v="7"/>
    <x v="463"/>
    <x v="3"/>
    <n v="21.8"/>
    <n v="3"/>
    <x v="0"/>
    <n v="2"/>
    <n v="34.340000000000003"/>
  </r>
  <r>
    <n v="650"/>
    <x v="8"/>
    <n v="27"/>
    <x v="0"/>
    <n v="88.5"/>
    <n v="1.98"/>
    <n v="161"/>
    <n v="153"/>
    <n v="53"/>
    <x v="60"/>
    <x v="470"/>
    <x v="2"/>
    <n v="11.1"/>
    <n v="3.5"/>
    <x v="0"/>
    <n v="3"/>
    <n v="22.57"/>
  </r>
  <r>
    <n v="651"/>
    <x v="8"/>
    <n v="47"/>
    <x v="1"/>
    <n v="43.4"/>
    <n v="1.62"/>
    <n v="179"/>
    <n v="132"/>
    <n v="64"/>
    <x v="66"/>
    <x v="471"/>
    <x v="2"/>
    <n v="25.3"/>
    <n v="2.2999999999999998"/>
    <x v="1"/>
    <n v="1"/>
    <n v="16.54"/>
  </r>
  <r>
    <n v="652"/>
    <x v="7"/>
    <n v="22"/>
    <x v="1"/>
    <n v="42.8"/>
    <n v="1.56"/>
    <n v="174"/>
    <n v="133"/>
    <n v="66"/>
    <x v="43"/>
    <x v="472"/>
    <x v="3"/>
    <n v="32.200000000000003"/>
    <n v="2.6"/>
    <x v="1"/>
    <n v="2"/>
    <n v="17.59"/>
  </r>
  <r>
    <n v="653"/>
    <x v="9"/>
    <n v="50"/>
    <x v="0"/>
    <n v="64.5"/>
    <n v="1.79"/>
    <n v="163"/>
    <n v="130"/>
    <n v="61"/>
    <x v="21"/>
    <x v="368"/>
    <x v="0"/>
    <n v="28.1"/>
    <n v="2.4"/>
    <x v="0"/>
    <n v="2"/>
    <n v="20.13"/>
  </r>
  <r>
    <n v="654"/>
    <x v="5"/>
    <n v="18"/>
    <x v="1"/>
    <n v="50.7"/>
    <n v="1.53"/>
    <n v="181"/>
    <n v="147"/>
    <n v="52"/>
    <x v="28"/>
    <x v="360"/>
    <x v="0"/>
    <n v="33"/>
    <n v="2.1"/>
    <x v="1"/>
    <n v="2"/>
    <n v="21.66"/>
  </r>
  <r>
    <n v="655"/>
    <x v="8"/>
    <n v="35"/>
    <x v="0"/>
    <n v="59.2"/>
    <n v="1.66"/>
    <n v="197"/>
    <n v="161"/>
    <n v="59"/>
    <x v="1"/>
    <x v="151"/>
    <x v="3"/>
    <n v="21.3"/>
    <n v="3.2"/>
    <x v="1"/>
    <n v="1"/>
    <n v="21.48"/>
  </r>
  <r>
    <n v="656"/>
    <x v="3"/>
    <n v="49"/>
    <x v="1"/>
    <n v="78.900000000000006"/>
    <n v="1.73"/>
    <n v="182"/>
    <n v="151"/>
    <n v="64"/>
    <x v="82"/>
    <x v="247"/>
    <x v="2"/>
    <n v="34"/>
    <n v="2.2999999999999998"/>
    <x v="3"/>
    <n v="1"/>
    <n v="26.36"/>
  </r>
  <r>
    <n v="657"/>
    <x v="0"/>
    <n v="28"/>
    <x v="1"/>
    <n v="78.7"/>
    <n v="1.63"/>
    <n v="185"/>
    <n v="154"/>
    <n v="59"/>
    <x v="94"/>
    <x v="462"/>
    <x v="3"/>
    <n v="31.7"/>
    <n v="1.8"/>
    <x v="1"/>
    <n v="2"/>
    <n v="29.62"/>
  </r>
  <r>
    <n v="658"/>
    <x v="6"/>
    <n v="38"/>
    <x v="0"/>
    <n v="68.7"/>
    <n v="1.92"/>
    <n v="170"/>
    <n v="150"/>
    <n v="73"/>
    <x v="34"/>
    <x v="473"/>
    <x v="2"/>
    <n v="29"/>
    <n v="3"/>
    <x v="0"/>
    <n v="2"/>
    <n v="18.64"/>
  </r>
  <r>
    <n v="659"/>
    <x v="8"/>
    <n v="43"/>
    <x v="1"/>
    <n v="53.1"/>
    <n v="1.59"/>
    <n v="187"/>
    <n v="136"/>
    <n v="72"/>
    <x v="10"/>
    <x v="26"/>
    <x v="3"/>
    <n v="29.5"/>
    <n v="2.5"/>
    <x v="3"/>
    <n v="1"/>
    <n v="21"/>
  </r>
  <r>
    <n v="660"/>
    <x v="3"/>
    <n v="42"/>
    <x v="0"/>
    <n v="64.8"/>
    <n v="1.65"/>
    <n v="161"/>
    <n v="166"/>
    <n v="67"/>
    <x v="94"/>
    <x v="416"/>
    <x v="2"/>
    <n v="24.4"/>
    <n v="2.8"/>
    <x v="1"/>
    <n v="2"/>
    <n v="23.8"/>
  </r>
  <r>
    <n v="661"/>
    <x v="3"/>
    <n v="39"/>
    <x v="1"/>
    <n v="50.3"/>
    <n v="1.61"/>
    <n v="167"/>
    <n v="128"/>
    <n v="50"/>
    <x v="21"/>
    <x v="474"/>
    <x v="1"/>
    <n v="32.799999999999997"/>
    <n v="2.5"/>
    <x v="3"/>
    <n v="1"/>
    <n v="19.41"/>
  </r>
  <r>
    <n v="662"/>
    <x v="6"/>
    <n v="44"/>
    <x v="0"/>
    <n v="102.3"/>
    <n v="1.63"/>
    <n v="188"/>
    <n v="129"/>
    <n v="52"/>
    <x v="33"/>
    <x v="475"/>
    <x v="0"/>
    <n v="20.9"/>
    <n v="2.6"/>
    <x v="0"/>
    <n v="2"/>
    <n v="38.5"/>
  </r>
  <r>
    <n v="663"/>
    <x v="5"/>
    <n v="30"/>
    <x v="0"/>
    <n v="62.9"/>
    <n v="1.92"/>
    <n v="170"/>
    <n v="127"/>
    <n v="70"/>
    <x v="15"/>
    <x v="452"/>
    <x v="1"/>
    <n v="25.2"/>
    <n v="3.6"/>
    <x v="3"/>
    <n v="1"/>
    <n v="17.059999999999999"/>
  </r>
  <r>
    <n v="664"/>
    <x v="3"/>
    <n v="50"/>
    <x v="1"/>
    <n v="56.5"/>
    <n v="1.6"/>
    <n v="196"/>
    <n v="140"/>
    <n v="61"/>
    <x v="122"/>
    <x v="476"/>
    <x v="0"/>
    <n v="19.2"/>
    <n v="2.7"/>
    <x v="2"/>
    <n v="3"/>
    <n v="22.07"/>
  </r>
  <r>
    <n v="665"/>
    <x v="0"/>
    <n v="51"/>
    <x v="1"/>
    <n v="74.599999999999994"/>
    <n v="1.55"/>
    <n v="177"/>
    <n v="132"/>
    <n v="50"/>
    <x v="144"/>
    <x v="335"/>
    <x v="2"/>
    <n v="33.299999999999997"/>
    <n v="2.1"/>
    <x v="3"/>
    <n v="1"/>
    <n v="31.05"/>
  </r>
  <r>
    <n v="666"/>
    <x v="3"/>
    <n v="58"/>
    <x v="0"/>
    <n v="52"/>
    <n v="1.79"/>
    <n v="173"/>
    <n v="169"/>
    <n v="52"/>
    <x v="20"/>
    <x v="172"/>
    <x v="1"/>
    <n v="29.6"/>
    <n v="3"/>
    <x v="1"/>
    <n v="1"/>
    <n v="16.23"/>
  </r>
  <r>
    <n v="667"/>
    <x v="3"/>
    <n v="52"/>
    <x v="1"/>
    <n v="52.1"/>
    <n v="1.67"/>
    <n v="169"/>
    <n v="124"/>
    <n v="52"/>
    <x v="19"/>
    <x v="127"/>
    <x v="0"/>
    <n v="32"/>
    <n v="1.5"/>
    <x v="3"/>
    <n v="1"/>
    <n v="18.68"/>
  </r>
  <r>
    <n v="668"/>
    <x v="3"/>
    <n v="18"/>
    <x v="1"/>
    <n v="72.2"/>
    <n v="1.54"/>
    <n v="194"/>
    <n v="125"/>
    <n v="54"/>
    <x v="64"/>
    <x v="477"/>
    <x v="3"/>
    <n v="27.1"/>
    <n v="1.7"/>
    <x v="3"/>
    <n v="1"/>
    <n v="30.44"/>
  </r>
  <r>
    <n v="669"/>
    <x v="4"/>
    <n v="38"/>
    <x v="0"/>
    <n v="85.8"/>
    <n v="1.8"/>
    <n v="168"/>
    <n v="149"/>
    <n v="68"/>
    <x v="71"/>
    <x v="478"/>
    <x v="2"/>
    <n v="10.1"/>
    <n v="3.5"/>
    <x v="0"/>
    <n v="3"/>
    <n v="26.48"/>
  </r>
  <r>
    <n v="670"/>
    <x v="4"/>
    <n v="23"/>
    <x v="0"/>
    <n v="81.400000000000006"/>
    <n v="1.85"/>
    <n v="194"/>
    <n v="150"/>
    <n v="74"/>
    <x v="102"/>
    <x v="479"/>
    <x v="2"/>
    <n v="12.4"/>
    <n v="3.5"/>
    <x v="0"/>
    <n v="3"/>
    <n v="23.78"/>
  </r>
  <r>
    <n v="671"/>
    <x v="5"/>
    <n v="45"/>
    <x v="1"/>
    <n v="50.9"/>
    <n v="1.65"/>
    <n v="170"/>
    <n v="136"/>
    <n v="50"/>
    <x v="35"/>
    <x v="195"/>
    <x v="3"/>
    <n v="30.1"/>
    <n v="2.2999999999999998"/>
    <x v="3"/>
    <n v="1"/>
    <n v="18.7"/>
  </r>
  <r>
    <n v="672"/>
    <x v="8"/>
    <n v="34"/>
    <x v="0"/>
    <n v="52"/>
    <n v="1.78"/>
    <n v="171"/>
    <n v="130"/>
    <n v="53"/>
    <x v="82"/>
    <x v="259"/>
    <x v="3"/>
    <n v="22.4"/>
    <n v="2.7"/>
    <x v="0"/>
    <n v="2"/>
    <n v="16.41"/>
  </r>
  <r>
    <n v="673"/>
    <x v="3"/>
    <n v="22"/>
    <x v="0"/>
    <n v="71"/>
    <n v="1.93"/>
    <n v="162"/>
    <n v="139"/>
    <n v="53"/>
    <x v="24"/>
    <x v="287"/>
    <x v="0"/>
    <n v="21.2"/>
    <n v="2.9"/>
    <x v="0"/>
    <n v="2"/>
    <n v="19.059999999999999"/>
  </r>
  <r>
    <n v="674"/>
    <x v="9"/>
    <n v="48"/>
    <x v="0"/>
    <n v="80.599999999999994"/>
    <n v="1.77"/>
    <n v="198"/>
    <n v="167"/>
    <n v="66"/>
    <x v="132"/>
    <x v="480"/>
    <x v="2"/>
    <n v="12.9"/>
    <n v="3.5"/>
    <x v="0"/>
    <n v="3"/>
    <n v="25.73"/>
  </r>
  <r>
    <n v="675"/>
    <x v="8"/>
    <n v="22"/>
    <x v="1"/>
    <n v="58.3"/>
    <n v="1.72"/>
    <n v="173"/>
    <n v="128"/>
    <n v="63"/>
    <x v="75"/>
    <x v="481"/>
    <x v="0"/>
    <n v="32.6"/>
    <n v="1.6"/>
    <x v="1"/>
    <n v="2"/>
    <n v="19.71"/>
  </r>
  <r>
    <n v="676"/>
    <x v="5"/>
    <n v="55"/>
    <x v="1"/>
    <n v="63"/>
    <n v="1.7"/>
    <n v="187"/>
    <n v="121"/>
    <n v="67"/>
    <x v="31"/>
    <x v="8"/>
    <x v="3"/>
    <n v="34.9"/>
    <n v="2.5"/>
    <x v="1"/>
    <n v="1"/>
    <n v="21.8"/>
  </r>
  <r>
    <n v="677"/>
    <x v="1"/>
    <n v="20"/>
    <x v="0"/>
    <n v="111"/>
    <n v="1.94"/>
    <n v="170"/>
    <n v="156"/>
    <n v="50"/>
    <x v="73"/>
    <x v="21"/>
    <x v="2"/>
    <n v="27.6"/>
    <n v="3.3"/>
    <x v="0"/>
    <n v="2"/>
    <n v="29.49"/>
  </r>
  <r>
    <n v="678"/>
    <x v="8"/>
    <n v="40"/>
    <x v="1"/>
    <n v="52.6"/>
    <n v="1.66"/>
    <n v="198"/>
    <n v="120"/>
    <n v="71"/>
    <x v="7"/>
    <x v="482"/>
    <x v="3"/>
    <n v="32.9"/>
    <n v="1.7"/>
    <x v="1"/>
    <n v="2"/>
    <n v="19.09"/>
  </r>
  <r>
    <n v="679"/>
    <x v="8"/>
    <n v="54"/>
    <x v="0"/>
    <n v="116.4"/>
    <n v="2"/>
    <n v="184"/>
    <n v="123"/>
    <n v="65"/>
    <x v="15"/>
    <x v="210"/>
    <x v="0"/>
    <n v="26.2"/>
    <n v="3.1"/>
    <x v="1"/>
    <n v="1"/>
    <n v="29.1"/>
  </r>
  <r>
    <n v="680"/>
    <x v="2"/>
    <n v="54"/>
    <x v="1"/>
    <n v="75.599999999999994"/>
    <n v="1.61"/>
    <n v="180"/>
    <n v="155"/>
    <n v="52"/>
    <x v="39"/>
    <x v="435"/>
    <x v="0"/>
    <n v="34.9"/>
    <n v="2.5"/>
    <x v="0"/>
    <n v="2"/>
    <n v="29.17"/>
  </r>
  <r>
    <n v="681"/>
    <x v="7"/>
    <n v="27"/>
    <x v="0"/>
    <n v="61.6"/>
    <n v="1.8"/>
    <n v="169"/>
    <n v="144"/>
    <n v="72"/>
    <x v="26"/>
    <x v="483"/>
    <x v="0"/>
    <n v="26.4"/>
    <n v="3.1"/>
    <x v="3"/>
    <n v="1"/>
    <n v="19.010000000000002"/>
  </r>
  <r>
    <n v="682"/>
    <x v="2"/>
    <n v="27"/>
    <x v="0"/>
    <n v="108"/>
    <n v="1.8"/>
    <n v="174"/>
    <n v="122"/>
    <n v="70"/>
    <x v="82"/>
    <x v="174"/>
    <x v="2"/>
    <n v="28.6"/>
    <n v="2.5"/>
    <x v="0"/>
    <n v="2"/>
    <n v="33.33"/>
  </r>
  <r>
    <n v="683"/>
    <x v="0"/>
    <n v="36"/>
    <x v="1"/>
    <n v="59.3"/>
    <n v="1.75"/>
    <n v="178"/>
    <n v="128"/>
    <n v="58"/>
    <x v="103"/>
    <x v="339"/>
    <x v="3"/>
    <n v="34.5"/>
    <n v="2.2999999999999998"/>
    <x v="1"/>
    <n v="1"/>
    <n v="19.36"/>
  </r>
  <r>
    <n v="684"/>
    <x v="4"/>
    <n v="34"/>
    <x v="0"/>
    <n v="75.7"/>
    <n v="1.94"/>
    <n v="181"/>
    <n v="141"/>
    <n v="72"/>
    <x v="13"/>
    <x v="484"/>
    <x v="3"/>
    <n v="29.3"/>
    <n v="2.4"/>
    <x v="0"/>
    <n v="2"/>
    <n v="20.11"/>
  </r>
  <r>
    <n v="685"/>
    <x v="4"/>
    <n v="38"/>
    <x v="1"/>
    <n v="56.3"/>
    <n v="1.6"/>
    <n v="180"/>
    <n v="142"/>
    <n v="53"/>
    <x v="101"/>
    <x v="485"/>
    <x v="0"/>
    <n v="28.8"/>
    <n v="1.9"/>
    <x v="0"/>
    <n v="2"/>
    <n v="21.99"/>
  </r>
  <r>
    <n v="686"/>
    <x v="7"/>
    <n v="31"/>
    <x v="1"/>
    <n v="58.2"/>
    <n v="1.73"/>
    <n v="191"/>
    <n v="131"/>
    <n v="70"/>
    <x v="21"/>
    <x v="486"/>
    <x v="0"/>
    <n v="25.8"/>
    <n v="1.8"/>
    <x v="1"/>
    <n v="2"/>
    <n v="19.45"/>
  </r>
  <r>
    <n v="687"/>
    <x v="6"/>
    <n v="26"/>
    <x v="0"/>
    <n v="55.7"/>
    <n v="1.68"/>
    <n v="182"/>
    <n v="129"/>
    <n v="54"/>
    <x v="15"/>
    <x v="171"/>
    <x v="0"/>
    <n v="21.7"/>
    <n v="2.9"/>
    <x v="1"/>
    <n v="1"/>
    <n v="19.73"/>
  </r>
  <r>
    <n v="688"/>
    <x v="6"/>
    <n v="18"/>
    <x v="0"/>
    <n v="125.9"/>
    <n v="1.67"/>
    <n v="172"/>
    <n v="153"/>
    <n v="60"/>
    <x v="85"/>
    <x v="487"/>
    <x v="0"/>
    <n v="20.6"/>
    <n v="2.2000000000000002"/>
    <x v="1"/>
    <n v="2"/>
    <n v="45.14"/>
  </r>
  <r>
    <n v="689"/>
    <x v="5"/>
    <n v="30"/>
    <x v="1"/>
    <n v="62.7"/>
    <n v="1.67"/>
    <n v="164"/>
    <n v="162"/>
    <n v="70"/>
    <x v="73"/>
    <x v="440"/>
    <x v="1"/>
    <n v="26.1"/>
    <n v="2.6"/>
    <x v="0"/>
    <n v="2"/>
    <n v="22.48"/>
  </r>
  <r>
    <n v="690"/>
    <x v="7"/>
    <n v="21"/>
    <x v="0"/>
    <n v="86.6"/>
    <n v="1.86"/>
    <n v="163"/>
    <n v="129"/>
    <n v="58"/>
    <x v="18"/>
    <x v="423"/>
    <x v="1"/>
    <n v="21.8"/>
    <n v="2.6"/>
    <x v="1"/>
    <n v="2"/>
    <n v="25.03"/>
  </r>
  <r>
    <n v="691"/>
    <x v="8"/>
    <n v="18"/>
    <x v="0"/>
    <n v="64.5"/>
    <n v="1.82"/>
    <n v="187"/>
    <n v="149"/>
    <n v="52"/>
    <x v="37"/>
    <x v="435"/>
    <x v="1"/>
    <n v="23.4"/>
    <n v="2.4"/>
    <x v="1"/>
    <n v="2"/>
    <n v="19.47"/>
  </r>
  <r>
    <n v="692"/>
    <x v="6"/>
    <n v="57"/>
    <x v="0"/>
    <n v="76.599999999999994"/>
    <n v="1.86"/>
    <n v="173"/>
    <n v="141"/>
    <n v="55"/>
    <x v="36"/>
    <x v="188"/>
    <x v="0"/>
    <n v="25.4"/>
    <n v="2.8"/>
    <x v="0"/>
    <n v="2"/>
    <n v="22.14"/>
  </r>
  <r>
    <n v="693"/>
    <x v="3"/>
    <n v="49"/>
    <x v="0"/>
    <n v="81.400000000000006"/>
    <n v="1.83"/>
    <n v="167"/>
    <n v="125"/>
    <n v="73"/>
    <x v="77"/>
    <x v="488"/>
    <x v="0"/>
    <n v="13.6"/>
    <n v="3.5"/>
    <x v="2"/>
    <n v="3"/>
    <n v="24.31"/>
  </r>
  <r>
    <n v="694"/>
    <x v="9"/>
    <n v="51"/>
    <x v="0"/>
    <n v="60.7"/>
    <n v="1.71"/>
    <n v="168"/>
    <n v="169"/>
    <n v="60"/>
    <x v="36"/>
    <x v="489"/>
    <x v="3"/>
    <n v="22.1"/>
    <n v="2.5"/>
    <x v="3"/>
    <n v="1"/>
    <n v="20.76"/>
  </r>
  <r>
    <n v="695"/>
    <x v="8"/>
    <n v="45"/>
    <x v="1"/>
    <n v="57.2"/>
    <n v="1.55"/>
    <n v="194"/>
    <n v="121"/>
    <n v="58"/>
    <x v="41"/>
    <x v="490"/>
    <x v="2"/>
    <n v="18.399999999999999"/>
    <n v="2.7"/>
    <x v="2"/>
    <n v="3"/>
    <n v="23.81"/>
  </r>
  <r>
    <n v="696"/>
    <x v="0"/>
    <n v="48"/>
    <x v="1"/>
    <n v="73"/>
    <n v="1.59"/>
    <n v="196"/>
    <n v="149"/>
    <n v="64"/>
    <x v="17"/>
    <x v="491"/>
    <x v="3"/>
    <n v="32"/>
    <n v="2.1"/>
    <x v="1"/>
    <n v="2"/>
    <n v="28.88"/>
  </r>
  <r>
    <n v="697"/>
    <x v="3"/>
    <n v="25"/>
    <x v="0"/>
    <n v="123.8"/>
    <n v="1.99"/>
    <n v="180"/>
    <n v="121"/>
    <n v="72"/>
    <x v="15"/>
    <x v="492"/>
    <x v="1"/>
    <n v="25.6"/>
    <n v="2.6"/>
    <x v="1"/>
    <n v="1"/>
    <n v="31.26"/>
  </r>
  <r>
    <n v="698"/>
    <x v="3"/>
    <n v="56"/>
    <x v="0"/>
    <n v="93.6"/>
    <n v="1.66"/>
    <n v="177"/>
    <n v="151"/>
    <n v="52"/>
    <x v="18"/>
    <x v="304"/>
    <x v="3"/>
    <n v="29"/>
    <n v="2.2000000000000002"/>
    <x v="3"/>
    <n v="1"/>
    <n v="33.97"/>
  </r>
  <r>
    <n v="699"/>
    <x v="7"/>
    <n v="43"/>
    <x v="0"/>
    <n v="76.8"/>
    <n v="1.92"/>
    <n v="192"/>
    <n v="161"/>
    <n v="50"/>
    <x v="12"/>
    <x v="176"/>
    <x v="0"/>
    <n v="21.1"/>
    <n v="2.5"/>
    <x v="1"/>
    <n v="1"/>
    <n v="20.83"/>
  </r>
  <r>
    <n v="700"/>
    <x v="5"/>
    <n v="51"/>
    <x v="1"/>
    <n v="54.7"/>
    <n v="1.53"/>
    <n v="167"/>
    <n v="135"/>
    <n v="69"/>
    <x v="2"/>
    <x v="493"/>
    <x v="1"/>
    <n v="26.8"/>
    <n v="2"/>
    <x v="0"/>
    <n v="2"/>
    <n v="23.37"/>
  </r>
  <r>
    <n v="701"/>
    <x v="0"/>
    <n v="20"/>
    <x v="0"/>
    <n v="92.3"/>
    <n v="1.94"/>
    <n v="176"/>
    <n v="131"/>
    <n v="71"/>
    <x v="36"/>
    <x v="494"/>
    <x v="1"/>
    <n v="24.3"/>
    <n v="2.1"/>
    <x v="1"/>
    <n v="2"/>
    <n v="24.52"/>
  </r>
  <r>
    <n v="702"/>
    <x v="6"/>
    <n v="29"/>
    <x v="1"/>
    <n v="71.8"/>
    <n v="1.55"/>
    <n v="190"/>
    <n v="120"/>
    <n v="68"/>
    <x v="37"/>
    <x v="322"/>
    <x v="2"/>
    <n v="26.3"/>
    <n v="2.4"/>
    <x v="0"/>
    <n v="2"/>
    <n v="29.89"/>
  </r>
  <r>
    <n v="703"/>
    <x v="7"/>
    <n v="18"/>
    <x v="1"/>
    <n v="66.900000000000006"/>
    <n v="1.57"/>
    <n v="193"/>
    <n v="127"/>
    <n v="63"/>
    <x v="53"/>
    <x v="495"/>
    <x v="2"/>
    <n v="30.7"/>
    <n v="2.2000000000000002"/>
    <x v="1"/>
    <n v="2"/>
    <n v="27.14"/>
  </r>
  <r>
    <n v="704"/>
    <x v="6"/>
    <n v="22"/>
    <x v="1"/>
    <n v="48.7"/>
    <n v="1.76"/>
    <n v="165"/>
    <n v="167"/>
    <n v="66"/>
    <x v="18"/>
    <x v="385"/>
    <x v="1"/>
    <n v="29"/>
    <n v="2.2000000000000002"/>
    <x v="0"/>
    <n v="2"/>
    <n v="15.72"/>
  </r>
  <r>
    <n v="705"/>
    <x v="7"/>
    <n v="47"/>
    <x v="0"/>
    <n v="66.2"/>
    <n v="1.71"/>
    <n v="181"/>
    <n v="169"/>
    <n v="71"/>
    <x v="24"/>
    <x v="496"/>
    <x v="1"/>
    <n v="22.8"/>
    <n v="2.9"/>
    <x v="1"/>
    <n v="1"/>
    <n v="22.64"/>
  </r>
  <r>
    <n v="706"/>
    <x v="7"/>
    <n v="47"/>
    <x v="1"/>
    <n v="40"/>
    <n v="1.76"/>
    <n v="173"/>
    <n v="132"/>
    <n v="63"/>
    <x v="110"/>
    <x v="497"/>
    <x v="3"/>
    <n v="26.7"/>
    <n v="2.2000000000000002"/>
    <x v="1"/>
    <n v="1"/>
    <n v="12.91"/>
  </r>
  <r>
    <n v="707"/>
    <x v="7"/>
    <n v="34"/>
    <x v="0"/>
    <n v="112.4"/>
    <n v="1.85"/>
    <n v="162"/>
    <n v="134"/>
    <n v="66"/>
    <x v="13"/>
    <x v="123"/>
    <x v="1"/>
    <n v="23.4"/>
    <n v="3.6"/>
    <x v="0"/>
    <n v="2"/>
    <n v="32.840000000000003"/>
  </r>
  <r>
    <n v="708"/>
    <x v="5"/>
    <n v="40"/>
    <x v="1"/>
    <n v="70"/>
    <n v="1.55"/>
    <n v="171"/>
    <n v="163"/>
    <n v="74"/>
    <x v="124"/>
    <x v="498"/>
    <x v="0"/>
    <n v="31.1"/>
    <n v="1.5"/>
    <x v="1"/>
    <n v="1"/>
    <n v="29.14"/>
  </r>
  <r>
    <n v="709"/>
    <x v="7"/>
    <n v="32"/>
    <x v="0"/>
    <n v="84"/>
    <n v="1.74"/>
    <n v="195"/>
    <n v="127"/>
    <n v="63"/>
    <x v="35"/>
    <x v="12"/>
    <x v="3"/>
    <n v="25.8"/>
    <n v="2.1"/>
    <x v="1"/>
    <n v="1"/>
    <n v="27.74"/>
  </r>
  <r>
    <n v="710"/>
    <x v="1"/>
    <n v="54"/>
    <x v="1"/>
    <n v="43.8"/>
    <n v="1.65"/>
    <n v="171"/>
    <n v="129"/>
    <n v="61"/>
    <x v="28"/>
    <x v="474"/>
    <x v="0"/>
    <n v="26.6"/>
    <n v="1.7"/>
    <x v="0"/>
    <n v="2"/>
    <n v="16.09"/>
  </r>
  <r>
    <n v="711"/>
    <x v="9"/>
    <n v="38"/>
    <x v="0"/>
    <n v="123.3"/>
    <n v="1.62"/>
    <n v="161"/>
    <n v="165"/>
    <n v="65"/>
    <x v="33"/>
    <x v="499"/>
    <x v="0"/>
    <n v="21.2"/>
    <n v="2.2999999999999998"/>
    <x v="0"/>
    <n v="2"/>
    <n v="46.98"/>
  </r>
  <r>
    <n v="712"/>
    <x v="6"/>
    <n v="31"/>
    <x v="1"/>
    <n v="57.9"/>
    <n v="1.56"/>
    <n v="161"/>
    <n v="124"/>
    <n v="50"/>
    <x v="60"/>
    <x v="5"/>
    <x v="0"/>
    <n v="15.1"/>
    <n v="2.7"/>
    <x v="2"/>
    <n v="3"/>
    <n v="23.79"/>
  </r>
  <r>
    <n v="713"/>
    <x v="8"/>
    <n v="19"/>
    <x v="0"/>
    <n v="82.4"/>
    <n v="1.96"/>
    <n v="174"/>
    <n v="169"/>
    <n v="62"/>
    <x v="125"/>
    <x v="500"/>
    <x v="1"/>
    <n v="10.1"/>
    <n v="3.5"/>
    <x v="2"/>
    <n v="3"/>
    <n v="21.45"/>
  </r>
  <r>
    <n v="714"/>
    <x v="2"/>
    <n v="28"/>
    <x v="0"/>
    <n v="84.8"/>
    <n v="1.79"/>
    <n v="182"/>
    <n v="138"/>
    <n v="55"/>
    <x v="14"/>
    <x v="180"/>
    <x v="2"/>
    <n v="28.8"/>
    <n v="2.2999999999999998"/>
    <x v="0"/>
    <n v="2"/>
    <n v="26.47"/>
  </r>
  <r>
    <n v="715"/>
    <x v="0"/>
    <n v="56"/>
    <x v="0"/>
    <n v="109.6"/>
    <n v="1.66"/>
    <n v="188"/>
    <n v="166"/>
    <n v="66"/>
    <x v="28"/>
    <x v="231"/>
    <x v="2"/>
    <n v="20.5"/>
    <n v="3.1"/>
    <x v="1"/>
    <n v="2"/>
    <n v="39.770000000000003"/>
  </r>
  <r>
    <n v="716"/>
    <x v="4"/>
    <n v="55"/>
    <x v="0"/>
    <n v="86.4"/>
    <n v="1.77"/>
    <n v="176"/>
    <n v="157"/>
    <n v="61"/>
    <x v="75"/>
    <x v="72"/>
    <x v="0"/>
    <n v="27.3"/>
    <n v="2.8"/>
    <x v="1"/>
    <n v="2"/>
    <n v="27.58"/>
  </r>
  <r>
    <n v="717"/>
    <x v="5"/>
    <n v="51"/>
    <x v="1"/>
    <n v="63.9"/>
    <n v="1.8"/>
    <n v="191"/>
    <n v="130"/>
    <n v="72"/>
    <x v="53"/>
    <x v="328"/>
    <x v="1"/>
    <n v="33.700000000000003"/>
    <n v="2.7"/>
    <x v="0"/>
    <n v="2"/>
    <n v="19.72"/>
  </r>
  <r>
    <n v="718"/>
    <x v="8"/>
    <n v="55"/>
    <x v="1"/>
    <n v="70.8"/>
    <n v="1.62"/>
    <n v="166"/>
    <n v="162"/>
    <n v="68"/>
    <x v="63"/>
    <x v="501"/>
    <x v="3"/>
    <n v="26"/>
    <n v="1.8"/>
    <x v="1"/>
    <n v="1"/>
    <n v="26.98"/>
  </r>
  <r>
    <n v="719"/>
    <x v="3"/>
    <n v="51"/>
    <x v="0"/>
    <n v="115.3"/>
    <n v="1.67"/>
    <n v="189"/>
    <n v="139"/>
    <n v="55"/>
    <x v="82"/>
    <x v="502"/>
    <x v="0"/>
    <n v="24.4"/>
    <n v="2.5"/>
    <x v="1"/>
    <n v="2"/>
    <n v="41.34"/>
  </r>
  <r>
    <n v="720"/>
    <x v="1"/>
    <n v="35"/>
    <x v="1"/>
    <n v="55.3"/>
    <n v="1.56"/>
    <n v="187"/>
    <n v="139"/>
    <n v="56"/>
    <x v="98"/>
    <x v="496"/>
    <x v="3"/>
    <n v="19.8"/>
    <n v="2.7"/>
    <x v="2"/>
    <n v="3"/>
    <n v="22.72"/>
  </r>
  <r>
    <n v="721"/>
    <x v="4"/>
    <n v="47"/>
    <x v="0"/>
    <n v="73.900000000000006"/>
    <n v="1.8"/>
    <n v="173"/>
    <n v="140"/>
    <n v="50"/>
    <x v="89"/>
    <x v="503"/>
    <x v="3"/>
    <n v="28.3"/>
    <n v="3.7"/>
    <x v="1"/>
    <n v="1"/>
    <n v="22.81"/>
  </r>
  <r>
    <n v="722"/>
    <x v="2"/>
    <n v="32"/>
    <x v="0"/>
    <n v="97.3"/>
    <n v="1.96"/>
    <n v="189"/>
    <n v="137"/>
    <n v="50"/>
    <x v="89"/>
    <x v="180"/>
    <x v="1"/>
    <n v="24.9"/>
    <n v="3.4"/>
    <x v="1"/>
    <n v="2"/>
    <n v="25.33"/>
  </r>
  <r>
    <n v="723"/>
    <x v="8"/>
    <n v="44"/>
    <x v="1"/>
    <n v="60.4"/>
    <n v="1.65"/>
    <n v="176"/>
    <n v="169"/>
    <n v="54"/>
    <x v="7"/>
    <x v="504"/>
    <x v="1"/>
    <n v="32.6"/>
    <n v="2.1"/>
    <x v="0"/>
    <n v="2"/>
    <n v="22.19"/>
  </r>
  <r>
    <n v="724"/>
    <x v="4"/>
    <n v="51"/>
    <x v="0"/>
    <n v="49.3"/>
    <n v="1.61"/>
    <n v="191"/>
    <n v="129"/>
    <n v="55"/>
    <x v="89"/>
    <x v="338"/>
    <x v="2"/>
    <n v="28.3"/>
    <n v="2.9"/>
    <x v="3"/>
    <n v="1"/>
    <n v="19.02"/>
  </r>
  <r>
    <n v="725"/>
    <x v="8"/>
    <n v="55"/>
    <x v="0"/>
    <n v="91.8"/>
    <n v="1.78"/>
    <n v="165"/>
    <n v="153"/>
    <n v="65"/>
    <x v="70"/>
    <x v="433"/>
    <x v="2"/>
    <n v="23.5"/>
    <n v="3.4"/>
    <x v="1"/>
    <n v="1"/>
    <n v="28.97"/>
  </r>
  <r>
    <n v="726"/>
    <x v="1"/>
    <n v="50"/>
    <x v="1"/>
    <n v="73.599999999999994"/>
    <n v="1.55"/>
    <n v="183"/>
    <n v="145"/>
    <n v="74"/>
    <x v="50"/>
    <x v="505"/>
    <x v="1"/>
    <n v="33.9"/>
    <n v="2.1"/>
    <x v="1"/>
    <n v="1"/>
    <n v="30.63"/>
  </r>
  <r>
    <n v="727"/>
    <x v="2"/>
    <n v="41"/>
    <x v="0"/>
    <n v="47.1"/>
    <n v="1.78"/>
    <n v="165"/>
    <n v="149"/>
    <n v="65"/>
    <x v="32"/>
    <x v="181"/>
    <x v="0"/>
    <n v="24.7"/>
    <n v="2.4"/>
    <x v="1"/>
    <n v="1"/>
    <n v="14.87"/>
  </r>
  <r>
    <n v="728"/>
    <x v="3"/>
    <n v="32"/>
    <x v="0"/>
    <n v="65.2"/>
    <n v="1.62"/>
    <n v="186"/>
    <n v="128"/>
    <n v="63"/>
    <x v="61"/>
    <x v="119"/>
    <x v="2"/>
    <n v="25.3"/>
    <n v="3.4"/>
    <x v="3"/>
    <n v="1"/>
    <n v="24.84"/>
  </r>
  <r>
    <n v="729"/>
    <x v="7"/>
    <n v="47"/>
    <x v="0"/>
    <n v="87.2"/>
    <n v="1.64"/>
    <n v="177"/>
    <n v="165"/>
    <n v="50"/>
    <x v="145"/>
    <x v="506"/>
    <x v="3"/>
    <n v="15"/>
    <n v="3.5"/>
    <x v="0"/>
    <n v="3"/>
    <n v="32.42"/>
  </r>
  <r>
    <n v="730"/>
    <x v="6"/>
    <n v="59"/>
    <x v="0"/>
    <n v="96.7"/>
    <n v="1.71"/>
    <n v="183"/>
    <n v="150"/>
    <n v="62"/>
    <x v="121"/>
    <x v="507"/>
    <x v="0"/>
    <n v="28.4"/>
    <n v="2.9"/>
    <x v="1"/>
    <n v="1"/>
    <n v="33.07"/>
  </r>
  <r>
    <n v="731"/>
    <x v="3"/>
    <n v="34"/>
    <x v="1"/>
    <n v="46.9"/>
    <n v="1.61"/>
    <n v="196"/>
    <n v="161"/>
    <n v="69"/>
    <x v="73"/>
    <x v="494"/>
    <x v="3"/>
    <n v="28.6"/>
    <n v="1.7"/>
    <x v="1"/>
    <n v="2"/>
    <n v="18.09"/>
  </r>
  <r>
    <n v="732"/>
    <x v="7"/>
    <n v="22"/>
    <x v="1"/>
    <n v="72.099999999999994"/>
    <n v="1.62"/>
    <n v="183"/>
    <n v="123"/>
    <n v="59"/>
    <x v="82"/>
    <x v="508"/>
    <x v="1"/>
    <n v="25.1"/>
    <n v="2.1"/>
    <x v="1"/>
    <n v="1"/>
    <n v="27.47"/>
  </r>
  <r>
    <n v="733"/>
    <x v="5"/>
    <n v="46"/>
    <x v="1"/>
    <n v="62.5"/>
    <n v="1.54"/>
    <n v="197"/>
    <n v="125"/>
    <n v="73"/>
    <x v="79"/>
    <x v="438"/>
    <x v="3"/>
    <n v="18.100000000000001"/>
    <n v="2.7"/>
    <x v="0"/>
    <n v="3"/>
    <n v="26.35"/>
  </r>
  <r>
    <n v="734"/>
    <x v="9"/>
    <n v="21"/>
    <x v="0"/>
    <n v="110.7"/>
    <n v="1.69"/>
    <n v="193"/>
    <n v="133"/>
    <n v="59"/>
    <x v="107"/>
    <x v="509"/>
    <x v="0"/>
    <n v="27"/>
    <n v="2.7"/>
    <x v="1"/>
    <n v="1"/>
    <n v="38.76"/>
  </r>
  <r>
    <n v="735"/>
    <x v="0"/>
    <n v="27"/>
    <x v="0"/>
    <n v="102.6"/>
    <n v="1.83"/>
    <n v="199"/>
    <n v="123"/>
    <n v="58"/>
    <x v="39"/>
    <x v="489"/>
    <x v="1"/>
    <n v="26.5"/>
    <n v="3.5"/>
    <x v="1"/>
    <n v="2"/>
    <n v="30.64"/>
  </r>
  <r>
    <n v="736"/>
    <x v="0"/>
    <n v="34"/>
    <x v="1"/>
    <n v="64.3"/>
    <n v="1.62"/>
    <n v="174"/>
    <n v="145"/>
    <n v="62"/>
    <x v="141"/>
    <x v="510"/>
    <x v="0"/>
    <n v="19.8"/>
    <n v="2.7"/>
    <x v="2"/>
    <n v="3"/>
    <n v="24.5"/>
  </r>
  <r>
    <n v="737"/>
    <x v="6"/>
    <n v="27"/>
    <x v="0"/>
    <n v="80.7"/>
    <n v="1.61"/>
    <n v="170"/>
    <n v="166"/>
    <n v="52"/>
    <x v="46"/>
    <x v="511"/>
    <x v="3"/>
    <n v="14.3"/>
    <n v="3.5"/>
    <x v="0"/>
    <n v="3"/>
    <n v="31.13"/>
  </r>
  <r>
    <n v="738"/>
    <x v="2"/>
    <n v="34"/>
    <x v="0"/>
    <n v="115.3"/>
    <n v="1.81"/>
    <n v="181"/>
    <n v="167"/>
    <n v="67"/>
    <x v="89"/>
    <x v="167"/>
    <x v="0"/>
    <n v="24.5"/>
    <n v="2.2000000000000002"/>
    <x v="3"/>
    <n v="1"/>
    <n v="35.19"/>
  </r>
  <r>
    <n v="739"/>
    <x v="1"/>
    <n v="37"/>
    <x v="0"/>
    <n v="87.8"/>
    <n v="1.69"/>
    <n v="183"/>
    <n v="158"/>
    <n v="69"/>
    <x v="51"/>
    <x v="512"/>
    <x v="1"/>
    <n v="10.3"/>
    <n v="3.5"/>
    <x v="2"/>
    <n v="3"/>
    <n v="30.74"/>
  </r>
  <r>
    <n v="740"/>
    <x v="2"/>
    <n v="41"/>
    <x v="0"/>
    <n v="74.3"/>
    <n v="1.61"/>
    <n v="160"/>
    <n v="136"/>
    <n v="51"/>
    <x v="107"/>
    <x v="276"/>
    <x v="3"/>
    <n v="24.8"/>
    <n v="3.5"/>
    <x v="0"/>
    <n v="2"/>
    <n v="28.66"/>
  </r>
  <r>
    <n v="741"/>
    <x v="1"/>
    <n v="22"/>
    <x v="1"/>
    <n v="78.5"/>
    <n v="1.7"/>
    <n v="177"/>
    <n v="138"/>
    <n v="66"/>
    <x v="89"/>
    <x v="247"/>
    <x v="3"/>
    <n v="31.9"/>
    <n v="2.1"/>
    <x v="0"/>
    <n v="2"/>
    <n v="27.16"/>
  </r>
  <r>
    <n v="742"/>
    <x v="2"/>
    <n v="51"/>
    <x v="1"/>
    <n v="77.3"/>
    <n v="1.58"/>
    <n v="171"/>
    <n v="168"/>
    <n v="68"/>
    <x v="64"/>
    <x v="513"/>
    <x v="2"/>
    <n v="31.1"/>
    <n v="2"/>
    <x v="3"/>
    <n v="1"/>
    <n v="30.96"/>
  </r>
  <r>
    <n v="743"/>
    <x v="9"/>
    <n v="23"/>
    <x v="1"/>
    <n v="64.5"/>
    <n v="1.7"/>
    <n v="187"/>
    <n v="125"/>
    <n v="72"/>
    <x v="66"/>
    <x v="514"/>
    <x v="2"/>
    <n v="30.4"/>
    <n v="1.7"/>
    <x v="3"/>
    <n v="1"/>
    <n v="22.32"/>
  </r>
  <r>
    <n v="744"/>
    <x v="5"/>
    <n v="19"/>
    <x v="0"/>
    <n v="72"/>
    <n v="1.94"/>
    <n v="199"/>
    <n v="148"/>
    <n v="62"/>
    <x v="21"/>
    <x v="234"/>
    <x v="0"/>
    <n v="24.7"/>
    <n v="3.2"/>
    <x v="1"/>
    <n v="2"/>
    <n v="19.13"/>
  </r>
  <r>
    <n v="745"/>
    <x v="5"/>
    <n v="30"/>
    <x v="1"/>
    <n v="77.900000000000006"/>
    <n v="1.77"/>
    <n v="166"/>
    <n v="130"/>
    <n v="62"/>
    <x v="39"/>
    <x v="515"/>
    <x v="2"/>
    <n v="27.9"/>
    <n v="2.6"/>
    <x v="0"/>
    <n v="2"/>
    <n v="24.87"/>
  </r>
  <r>
    <n v="746"/>
    <x v="7"/>
    <n v="28"/>
    <x v="1"/>
    <n v="69.599999999999994"/>
    <n v="1.58"/>
    <n v="182"/>
    <n v="135"/>
    <n v="50"/>
    <x v="6"/>
    <x v="211"/>
    <x v="2"/>
    <n v="27.8"/>
    <n v="2"/>
    <x v="1"/>
    <n v="2"/>
    <n v="27.88"/>
  </r>
  <r>
    <n v="747"/>
    <x v="4"/>
    <n v="40"/>
    <x v="0"/>
    <n v="68.900000000000006"/>
    <n v="1.99"/>
    <n v="180"/>
    <n v="149"/>
    <n v="51"/>
    <x v="62"/>
    <x v="516"/>
    <x v="2"/>
    <n v="25"/>
    <n v="2.4"/>
    <x v="0"/>
    <n v="2"/>
    <n v="17.399999999999999"/>
  </r>
  <r>
    <n v="748"/>
    <x v="5"/>
    <n v="33"/>
    <x v="0"/>
    <n v="45.9"/>
    <n v="1.89"/>
    <n v="193"/>
    <n v="144"/>
    <n v="50"/>
    <x v="35"/>
    <x v="517"/>
    <x v="2"/>
    <n v="21.6"/>
    <n v="2.9"/>
    <x v="1"/>
    <n v="2"/>
    <n v="12.85"/>
  </r>
  <r>
    <n v="749"/>
    <x v="5"/>
    <n v="48"/>
    <x v="1"/>
    <n v="68.2"/>
    <n v="1.69"/>
    <n v="170"/>
    <n v="159"/>
    <n v="73"/>
    <x v="143"/>
    <x v="518"/>
    <x v="1"/>
    <n v="28.4"/>
    <n v="2.5"/>
    <x v="1"/>
    <n v="1"/>
    <n v="23.88"/>
  </r>
  <r>
    <n v="750"/>
    <x v="3"/>
    <n v="28"/>
    <x v="1"/>
    <n v="79.599999999999994"/>
    <n v="1.59"/>
    <n v="181"/>
    <n v="130"/>
    <n v="54"/>
    <x v="6"/>
    <x v="519"/>
    <x v="1"/>
    <n v="28.2"/>
    <n v="1.5"/>
    <x v="1"/>
    <n v="2"/>
    <n v="31.49"/>
  </r>
  <r>
    <n v="751"/>
    <x v="3"/>
    <n v="33"/>
    <x v="1"/>
    <n v="53.6"/>
    <n v="1.52"/>
    <n v="194"/>
    <n v="126"/>
    <n v="73"/>
    <x v="73"/>
    <x v="520"/>
    <x v="2"/>
    <n v="30.9"/>
    <n v="2.2999999999999998"/>
    <x v="3"/>
    <n v="1"/>
    <n v="23.2"/>
  </r>
  <r>
    <n v="752"/>
    <x v="7"/>
    <n v="25"/>
    <x v="1"/>
    <n v="57.7"/>
    <n v="1.58"/>
    <n v="188"/>
    <n v="145"/>
    <n v="52"/>
    <x v="89"/>
    <x v="521"/>
    <x v="0"/>
    <n v="25.7"/>
    <n v="2.2000000000000002"/>
    <x v="1"/>
    <n v="2"/>
    <n v="23.11"/>
  </r>
  <r>
    <n v="753"/>
    <x v="4"/>
    <n v="21"/>
    <x v="0"/>
    <n v="74.2"/>
    <n v="1.93"/>
    <n v="187"/>
    <n v="141"/>
    <n v="56"/>
    <x v="31"/>
    <x v="304"/>
    <x v="1"/>
    <n v="28.3"/>
    <n v="2.5"/>
    <x v="1"/>
    <n v="2"/>
    <n v="19.920000000000002"/>
  </r>
  <r>
    <n v="754"/>
    <x v="6"/>
    <n v="57"/>
    <x v="1"/>
    <n v="64.400000000000006"/>
    <n v="1.56"/>
    <n v="177"/>
    <n v="144"/>
    <n v="73"/>
    <x v="30"/>
    <x v="522"/>
    <x v="2"/>
    <n v="17.8"/>
    <n v="2.7"/>
    <x v="2"/>
    <n v="3"/>
    <n v="26.46"/>
  </r>
  <r>
    <n v="755"/>
    <x v="3"/>
    <n v="21"/>
    <x v="1"/>
    <n v="54.9"/>
    <n v="1.78"/>
    <n v="173"/>
    <n v="138"/>
    <n v="71"/>
    <x v="72"/>
    <x v="523"/>
    <x v="1"/>
    <n v="31.7"/>
    <n v="2"/>
    <x v="3"/>
    <n v="1"/>
    <n v="17.329999999999998"/>
  </r>
  <r>
    <n v="756"/>
    <x v="6"/>
    <n v="42"/>
    <x v="0"/>
    <n v="50.3"/>
    <n v="1.64"/>
    <n v="177"/>
    <n v="150"/>
    <n v="62"/>
    <x v="54"/>
    <x v="524"/>
    <x v="3"/>
    <n v="27"/>
    <n v="2.4"/>
    <x v="1"/>
    <n v="1"/>
    <n v="18.7"/>
  </r>
  <r>
    <n v="757"/>
    <x v="8"/>
    <n v="20"/>
    <x v="1"/>
    <n v="46.5"/>
    <n v="1.68"/>
    <n v="187"/>
    <n v="145"/>
    <n v="72"/>
    <x v="135"/>
    <x v="221"/>
    <x v="1"/>
    <n v="27.9"/>
    <n v="2.4"/>
    <x v="3"/>
    <n v="1"/>
    <n v="16.48"/>
  </r>
  <r>
    <n v="758"/>
    <x v="3"/>
    <n v="49"/>
    <x v="0"/>
    <n v="57.8"/>
    <n v="1.99"/>
    <n v="183"/>
    <n v="161"/>
    <n v="67"/>
    <x v="105"/>
    <x v="525"/>
    <x v="1"/>
    <n v="24.7"/>
    <n v="3.1"/>
    <x v="1"/>
    <n v="1"/>
    <n v="14.6"/>
  </r>
  <r>
    <n v="759"/>
    <x v="9"/>
    <n v="20"/>
    <x v="0"/>
    <n v="83"/>
    <n v="1.8"/>
    <n v="167"/>
    <n v="160"/>
    <n v="73"/>
    <x v="146"/>
    <x v="526"/>
    <x v="0"/>
    <n v="29.6"/>
    <n v="2.9"/>
    <x v="3"/>
    <n v="1"/>
    <n v="25.62"/>
  </r>
  <r>
    <n v="760"/>
    <x v="4"/>
    <n v="44"/>
    <x v="0"/>
    <n v="82.5"/>
    <n v="1.79"/>
    <n v="167"/>
    <n v="155"/>
    <n v="70"/>
    <x v="132"/>
    <x v="346"/>
    <x v="1"/>
    <n v="13.8"/>
    <n v="3.5"/>
    <x v="2"/>
    <n v="3"/>
    <n v="25.75"/>
  </r>
  <r>
    <n v="761"/>
    <x v="7"/>
    <n v="46"/>
    <x v="1"/>
    <n v="66.5"/>
    <n v="1.73"/>
    <n v="163"/>
    <n v="142"/>
    <n v="56"/>
    <x v="2"/>
    <x v="527"/>
    <x v="0"/>
    <n v="34.700000000000003"/>
    <n v="2"/>
    <x v="1"/>
    <n v="1"/>
    <n v="22.22"/>
  </r>
  <r>
    <n v="762"/>
    <x v="8"/>
    <n v="49"/>
    <x v="1"/>
    <n v="70.2"/>
    <n v="1.67"/>
    <n v="186"/>
    <n v="166"/>
    <n v="50"/>
    <x v="105"/>
    <x v="526"/>
    <x v="3"/>
    <n v="32.5"/>
    <n v="1.8"/>
    <x v="1"/>
    <n v="1"/>
    <n v="25.17"/>
  </r>
  <r>
    <n v="763"/>
    <x v="4"/>
    <n v="36"/>
    <x v="0"/>
    <n v="121.9"/>
    <n v="1.93"/>
    <n v="195"/>
    <n v="132"/>
    <n v="54"/>
    <x v="6"/>
    <x v="144"/>
    <x v="2"/>
    <n v="21.8"/>
    <n v="3.4"/>
    <x v="1"/>
    <n v="2"/>
    <n v="32.729999999999997"/>
  </r>
  <r>
    <n v="764"/>
    <x v="9"/>
    <n v="38"/>
    <x v="1"/>
    <n v="70.3"/>
    <n v="1.52"/>
    <n v="164"/>
    <n v="144"/>
    <n v="66"/>
    <x v="17"/>
    <x v="528"/>
    <x v="0"/>
    <n v="25.6"/>
    <n v="2"/>
    <x v="0"/>
    <n v="2"/>
    <n v="30.43"/>
  </r>
  <r>
    <n v="765"/>
    <x v="4"/>
    <n v="22"/>
    <x v="1"/>
    <n v="40.299999999999997"/>
    <n v="1.56"/>
    <n v="192"/>
    <n v="121"/>
    <n v="57"/>
    <x v="35"/>
    <x v="138"/>
    <x v="1"/>
    <n v="30.8"/>
    <n v="2.1"/>
    <x v="0"/>
    <n v="2"/>
    <n v="16.559999999999999"/>
  </r>
  <r>
    <n v="766"/>
    <x v="9"/>
    <n v="35"/>
    <x v="0"/>
    <n v="101.4"/>
    <n v="1.76"/>
    <n v="193"/>
    <n v="121"/>
    <n v="64"/>
    <x v="38"/>
    <x v="529"/>
    <x v="1"/>
    <n v="23.6"/>
    <n v="2.9"/>
    <x v="3"/>
    <n v="1"/>
    <n v="32.74"/>
  </r>
  <r>
    <n v="767"/>
    <x v="9"/>
    <n v="45"/>
    <x v="0"/>
    <n v="79.2"/>
    <n v="1.95"/>
    <n v="189"/>
    <n v="135"/>
    <n v="69"/>
    <x v="43"/>
    <x v="228"/>
    <x v="0"/>
    <n v="22.8"/>
    <n v="2.8"/>
    <x v="1"/>
    <n v="2"/>
    <n v="20.83"/>
  </r>
  <r>
    <n v="768"/>
    <x v="6"/>
    <n v="59"/>
    <x v="1"/>
    <n v="75.8"/>
    <n v="1.77"/>
    <n v="167"/>
    <n v="128"/>
    <n v="53"/>
    <x v="85"/>
    <x v="530"/>
    <x v="3"/>
    <n v="33.1"/>
    <n v="1.8"/>
    <x v="1"/>
    <n v="1"/>
    <n v="24.19"/>
  </r>
  <r>
    <n v="769"/>
    <x v="2"/>
    <n v="39"/>
    <x v="0"/>
    <n v="71.7"/>
    <n v="1.88"/>
    <n v="198"/>
    <n v="147"/>
    <n v="51"/>
    <x v="72"/>
    <x v="531"/>
    <x v="2"/>
    <n v="23.7"/>
    <n v="2.2000000000000002"/>
    <x v="3"/>
    <n v="1"/>
    <n v="20.29"/>
  </r>
  <r>
    <n v="770"/>
    <x v="8"/>
    <n v="38"/>
    <x v="1"/>
    <n v="57.7"/>
    <n v="1.56"/>
    <n v="185"/>
    <n v="132"/>
    <n v="54"/>
    <x v="27"/>
    <x v="144"/>
    <x v="1"/>
    <n v="16.600000000000001"/>
    <n v="2.7"/>
    <x v="2"/>
    <n v="3"/>
    <n v="23.71"/>
  </r>
  <r>
    <n v="771"/>
    <x v="4"/>
    <n v="23"/>
    <x v="1"/>
    <n v="47.4"/>
    <n v="1.6"/>
    <n v="196"/>
    <n v="154"/>
    <n v="50"/>
    <x v="134"/>
    <x v="267"/>
    <x v="3"/>
    <n v="33.5"/>
    <n v="1.6"/>
    <x v="1"/>
    <n v="1"/>
    <n v="18.52"/>
  </r>
  <r>
    <n v="772"/>
    <x v="1"/>
    <n v="18"/>
    <x v="1"/>
    <n v="57.2"/>
    <n v="1.75"/>
    <n v="193"/>
    <n v="160"/>
    <n v="74"/>
    <x v="28"/>
    <x v="532"/>
    <x v="2"/>
    <n v="33.5"/>
    <n v="2.4"/>
    <x v="1"/>
    <n v="2"/>
    <n v="18.68"/>
  </r>
  <r>
    <n v="773"/>
    <x v="8"/>
    <n v="22"/>
    <x v="1"/>
    <n v="44.8"/>
    <n v="1.72"/>
    <n v="166"/>
    <n v="132"/>
    <n v="54"/>
    <x v="26"/>
    <x v="533"/>
    <x v="2"/>
    <n v="28.6"/>
    <n v="1.8"/>
    <x v="0"/>
    <n v="2"/>
    <n v="15.14"/>
  </r>
  <r>
    <n v="774"/>
    <x v="2"/>
    <n v="58"/>
    <x v="0"/>
    <n v="90.2"/>
    <n v="1.72"/>
    <n v="199"/>
    <n v="150"/>
    <n v="55"/>
    <x v="111"/>
    <x v="534"/>
    <x v="1"/>
    <n v="28.3"/>
    <n v="2.1"/>
    <x v="3"/>
    <n v="1"/>
    <n v="30.49"/>
  </r>
  <r>
    <n v="775"/>
    <x v="8"/>
    <n v="29"/>
    <x v="0"/>
    <n v="84.9"/>
    <n v="1.72"/>
    <n v="187"/>
    <n v="140"/>
    <n v="51"/>
    <x v="65"/>
    <x v="535"/>
    <x v="0"/>
    <n v="14.3"/>
    <n v="3.5"/>
    <x v="0"/>
    <n v="3"/>
    <n v="28.7"/>
  </r>
  <r>
    <n v="776"/>
    <x v="5"/>
    <n v="43"/>
    <x v="0"/>
    <n v="95.7"/>
    <n v="1.77"/>
    <n v="198"/>
    <n v="151"/>
    <n v="50"/>
    <x v="9"/>
    <x v="457"/>
    <x v="1"/>
    <n v="24.2"/>
    <n v="3.4"/>
    <x v="1"/>
    <n v="1"/>
    <n v="30.55"/>
  </r>
  <r>
    <n v="777"/>
    <x v="1"/>
    <n v="51"/>
    <x v="0"/>
    <n v="59"/>
    <n v="1.65"/>
    <n v="198"/>
    <n v="153"/>
    <n v="53"/>
    <x v="74"/>
    <x v="89"/>
    <x v="1"/>
    <n v="20.7"/>
    <n v="2.2999999999999998"/>
    <x v="1"/>
    <n v="2"/>
    <n v="21.67"/>
  </r>
  <r>
    <n v="778"/>
    <x v="2"/>
    <n v="31"/>
    <x v="1"/>
    <n v="60.5"/>
    <n v="1.77"/>
    <n v="187"/>
    <n v="127"/>
    <n v="56"/>
    <x v="71"/>
    <x v="536"/>
    <x v="1"/>
    <n v="15"/>
    <n v="2.7"/>
    <x v="0"/>
    <n v="3"/>
    <n v="19.309999999999999"/>
  </r>
  <r>
    <n v="779"/>
    <x v="6"/>
    <n v="43"/>
    <x v="1"/>
    <n v="53.8"/>
    <n v="1.72"/>
    <n v="173"/>
    <n v="160"/>
    <n v="71"/>
    <x v="8"/>
    <x v="18"/>
    <x v="3"/>
    <n v="30.2"/>
    <n v="2.2999999999999998"/>
    <x v="0"/>
    <n v="2"/>
    <n v="18.190000000000001"/>
  </r>
  <r>
    <n v="780"/>
    <x v="4"/>
    <n v="44"/>
    <x v="0"/>
    <n v="86.6"/>
    <n v="1.97"/>
    <n v="197"/>
    <n v="167"/>
    <n v="50"/>
    <x v="97"/>
    <x v="537"/>
    <x v="0"/>
    <n v="11.7"/>
    <n v="3.5"/>
    <x v="2"/>
    <n v="3"/>
    <n v="22.31"/>
  </r>
  <r>
    <n v="781"/>
    <x v="0"/>
    <n v="26"/>
    <x v="1"/>
    <n v="72.8"/>
    <n v="1.67"/>
    <n v="163"/>
    <n v="121"/>
    <n v="50"/>
    <x v="18"/>
    <x v="538"/>
    <x v="3"/>
    <n v="35"/>
    <n v="1.9"/>
    <x v="3"/>
    <n v="1"/>
    <n v="26.1"/>
  </r>
  <r>
    <n v="782"/>
    <x v="2"/>
    <n v="43"/>
    <x v="1"/>
    <n v="66.3"/>
    <n v="1.77"/>
    <n v="177"/>
    <n v="157"/>
    <n v="57"/>
    <x v="26"/>
    <x v="32"/>
    <x v="1"/>
    <n v="32.700000000000003"/>
    <n v="1.7"/>
    <x v="0"/>
    <n v="2"/>
    <n v="21.16"/>
  </r>
  <r>
    <n v="783"/>
    <x v="7"/>
    <n v="39"/>
    <x v="1"/>
    <n v="56"/>
    <n v="1.6"/>
    <n v="184"/>
    <n v="151"/>
    <n v="69"/>
    <x v="50"/>
    <x v="422"/>
    <x v="0"/>
    <n v="32.6"/>
    <n v="2"/>
    <x v="3"/>
    <n v="1"/>
    <n v="21.87"/>
  </r>
  <r>
    <n v="784"/>
    <x v="4"/>
    <n v="47"/>
    <x v="0"/>
    <n v="45.9"/>
    <n v="1.93"/>
    <n v="166"/>
    <n v="159"/>
    <n v="65"/>
    <x v="28"/>
    <x v="539"/>
    <x v="2"/>
    <n v="29.6"/>
    <n v="2"/>
    <x v="1"/>
    <n v="2"/>
    <n v="12.32"/>
  </r>
  <r>
    <n v="785"/>
    <x v="2"/>
    <n v="34"/>
    <x v="0"/>
    <n v="88"/>
    <n v="1.64"/>
    <n v="197"/>
    <n v="147"/>
    <n v="70"/>
    <x v="125"/>
    <x v="540"/>
    <x v="0"/>
    <n v="14.4"/>
    <n v="3.5"/>
    <x v="0"/>
    <n v="3"/>
    <n v="32.72"/>
  </r>
  <r>
    <n v="786"/>
    <x v="5"/>
    <n v="43"/>
    <x v="0"/>
    <n v="94"/>
    <n v="1.79"/>
    <n v="187"/>
    <n v="156"/>
    <n v="62"/>
    <x v="34"/>
    <x v="222"/>
    <x v="1"/>
    <n v="23.2"/>
    <n v="3.4"/>
    <x v="3"/>
    <n v="1"/>
    <n v="29.34"/>
  </r>
  <r>
    <n v="787"/>
    <x v="0"/>
    <n v="53"/>
    <x v="1"/>
    <n v="44.7"/>
    <n v="1.79"/>
    <n v="164"/>
    <n v="160"/>
    <n v="72"/>
    <x v="33"/>
    <x v="541"/>
    <x v="0"/>
    <n v="26.7"/>
    <n v="2.1"/>
    <x v="1"/>
    <n v="2"/>
    <n v="13.95"/>
  </r>
  <r>
    <n v="788"/>
    <x v="5"/>
    <n v="18"/>
    <x v="0"/>
    <n v="63.2"/>
    <n v="1.63"/>
    <n v="162"/>
    <n v="120"/>
    <n v="73"/>
    <x v="78"/>
    <x v="542"/>
    <x v="2"/>
    <n v="27.5"/>
    <n v="2.2000000000000002"/>
    <x v="1"/>
    <n v="1"/>
    <n v="23.79"/>
  </r>
  <r>
    <n v="789"/>
    <x v="0"/>
    <n v="25"/>
    <x v="0"/>
    <n v="95.6"/>
    <n v="1.9"/>
    <n v="190"/>
    <n v="160"/>
    <n v="72"/>
    <x v="43"/>
    <x v="543"/>
    <x v="2"/>
    <n v="23.8"/>
    <n v="2.4"/>
    <x v="0"/>
    <n v="2"/>
    <n v="26.48"/>
  </r>
  <r>
    <n v="790"/>
    <x v="7"/>
    <n v="52"/>
    <x v="0"/>
    <n v="47.8"/>
    <n v="1.86"/>
    <n v="179"/>
    <n v="129"/>
    <n v="67"/>
    <x v="69"/>
    <x v="544"/>
    <x v="0"/>
    <n v="24.7"/>
    <n v="2.8"/>
    <x v="1"/>
    <n v="2"/>
    <n v="13.82"/>
  </r>
  <r>
    <n v="791"/>
    <x v="4"/>
    <n v="32"/>
    <x v="0"/>
    <n v="85.3"/>
    <n v="1.64"/>
    <n v="178"/>
    <n v="123"/>
    <n v="69"/>
    <x v="127"/>
    <x v="545"/>
    <x v="2"/>
    <n v="13.2"/>
    <n v="3.5"/>
    <x v="0"/>
    <n v="3"/>
    <n v="31.71"/>
  </r>
  <r>
    <n v="792"/>
    <x v="6"/>
    <n v="39"/>
    <x v="0"/>
    <n v="59.7"/>
    <n v="1.83"/>
    <n v="170"/>
    <n v="154"/>
    <n v="59"/>
    <x v="14"/>
    <x v="424"/>
    <x v="3"/>
    <n v="29.1"/>
    <n v="2.2999999999999998"/>
    <x v="0"/>
    <n v="2"/>
    <n v="17.829999999999998"/>
  </r>
  <r>
    <n v="793"/>
    <x v="5"/>
    <n v="31"/>
    <x v="0"/>
    <n v="70.2"/>
    <n v="1.98"/>
    <n v="199"/>
    <n v="129"/>
    <n v="61"/>
    <x v="144"/>
    <x v="546"/>
    <x v="0"/>
    <n v="24.2"/>
    <n v="2.5"/>
    <x v="3"/>
    <n v="1"/>
    <n v="17.91"/>
  </r>
  <r>
    <n v="794"/>
    <x v="5"/>
    <n v="43"/>
    <x v="1"/>
    <n v="72.7"/>
    <n v="1.8"/>
    <n v="162"/>
    <n v="166"/>
    <n v="50"/>
    <x v="146"/>
    <x v="547"/>
    <x v="2"/>
    <n v="32.799999999999997"/>
    <n v="2.1"/>
    <x v="1"/>
    <n v="1"/>
    <n v="22.44"/>
  </r>
  <r>
    <n v="795"/>
    <x v="9"/>
    <n v="45"/>
    <x v="1"/>
    <n v="50.4"/>
    <n v="1.79"/>
    <n v="182"/>
    <n v="130"/>
    <n v="59"/>
    <x v="136"/>
    <x v="548"/>
    <x v="2"/>
    <n v="27.7"/>
    <n v="2.5"/>
    <x v="3"/>
    <n v="1"/>
    <n v="15.73"/>
  </r>
  <r>
    <n v="796"/>
    <x v="0"/>
    <n v="40"/>
    <x v="0"/>
    <n v="81.7"/>
    <n v="1.74"/>
    <n v="166"/>
    <n v="133"/>
    <n v="58"/>
    <x v="135"/>
    <x v="59"/>
    <x v="0"/>
    <n v="27"/>
    <n v="2.7"/>
    <x v="3"/>
    <n v="1"/>
    <n v="26.99"/>
  </r>
  <r>
    <n v="797"/>
    <x v="3"/>
    <n v="31"/>
    <x v="0"/>
    <n v="49.3"/>
    <n v="1.62"/>
    <n v="182"/>
    <n v="157"/>
    <n v="52"/>
    <x v="45"/>
    <x v="549"/>
    <x v="3"/>
    <n v="20"/>
    <n v="3.2"/>
    <x v="3"/>
    <n v="1"/>
    <n v="18.79"/>
  </r>
  <r>
    <n v="798"/>
    <x v="4"/>
    <n v="41"/>
    <x v="1"/>
    <n v="61.9"/>
    <n v="1.64"/>
    <n v="166"/>
    <n v="131"/>
    <n v="68"/>
    <x v="59"/>
    <x v="179"/>
    <x v="0"/>
    <n v="19.399999999999999"/>
    <n v="2.7"/>
    <x v="0"/>
    <n v="3"/>
    <n v="23.01"/>
  </r>
  <r>
    <n v="799"/>
    <x v="0"/>
    <n v="19"/>
    <x v="1"/>
    <n v="49.1"/>
    <n v="1.68"/>
    <n v="193"/>
    <n v="164"/>
    <n v="58"/>
    <x v="24"/>
    <x v="550"/>
    <x v="2"/>
    <n v="25.3"/>
    <n v="2.6"/>
    <x v="0"/>
    <n v="2"/>
    <n v="17.399999999999999"/>
  </r>
  <r>
    <n v="800"/>
    <x v="9"/>
    <n v="43"/>
    <x v="0"/>
    <n v="66.5"/>
    <n v="1.83"/>
    <n v="178"/>
    <n v="136"/>
    <n v="59"/>
    <x v="2"/>
    <x v="551"/>
    <x v="0"/>
    <n v="27.1"/>
    <n v="2.4"/>
    <x v="1"/>
    <n v="2"/>
    <n v="19.86"/>
  </r>
  <r>
    <n v="801"/>
    <x v="8"/>
    <n v="31"/>
    <x v="0"/>
    <n v="75.5"/>
    <n v="1.93"/>
    <n v="168"/>
    <n v="135"/>
    <n v="68"/>
    <x v="126"/>
    <x v="109"/>
    <x v="2"/>
    <n v="20.5"/>
    <n v="3.4"/>
    <x v="3"/>
    <n v="1"/>
    <n v="20.27"/>
  </r>
  <r>
    <n v="802"/>
    <x v="0"/>
    <n v="24"/>
    <x v="0"/>
    <n v="88.2"/>
    <n v="1.79"/>
    <n v="177"/>
    <n v="154"/>
    <n v="65"/>
    <x v="141"/>
    <x v="552"/>
    <x v="1"/>
    <n v="11.3"/>
    <n v="3.5"/>
    <x v="0"/>
    <n v="3"/>
    <n v="27.53"/>
  </r>
  <r>
    <n v="803"/>
    <x v="6"/>
    <n v="20"/>
    <x v="0"/>
    <n v="74.8"/>
    <n v="1.75"/>
    <n v="184"/>
    <n v="121"/>
    <n v="73"/>
    <x v="16"/>
    <x v="139"/>
    <x v="0"/>
    <n v="25"/>
    <n v="3.3"/>
    <x v="1"/>
    <n v="2"/>
    <n v="24.42"/>
  </r>
  <r>
    <n v="804"/>
    <x v="4"/>
    <n v="40"/>
    <x v="1"/>
    <n v="72.2"/>
    <n v="1.6"/>
    <n v="173"/>
    <n v="130"/>
    <n v="67"/>
    <x v="137"/>
    <x v="340"/>
    <x v="0"/>
    <n v="29.2"/>
    <n v="1.9"/>
    <x v="1"/>
    <n v="1"/>
    <n v="28.2"/>
  </r>
  <r>
    <n v="805"/>
    <x v="9"/>
    <n v="35"/>
    <x v="0"/>
    <n v="62.8"/>
    <n v="1.63"/>
    <n v="184"/>
    <n v="160"/>
    <n v="63"/>
    <x v="39"/>
    <x v="189"/>
    <x v="2"/>
    <n v="21.9"/>
    <n v="3.7"/>
    <x v="0"/>
    <n v="2"/>
    <n v="23.64"/>
  </r>
  <r>
    <n v="806"/>
    <x v="8"/>
    <n v="55"/>
    <x v="0"/>
    <n v="84.7"/>
    <n v="1.79"/>
    <n v="178"/>
    <n v="122"/>
    <n v="52"/>
    <x v="17"/>
    <x v="8"/>
    <x v="2"/>
    <n v="23.3"/>
    <n v="2.4"/>
    <x v="1"/>
    <n v="2"/>
    <n v="26.43"/>
  </r>
  <r>
    <n v="807"/>
    <x v="1"/>
    <n v="52"/>
    <x v="0"/>
    <n v="116.5"/>
    <n v="1.69"/>
    <n v="198"/>
    <n v="148"/>
    <n v="51"/>
    <x v="112"/>
    <x v="553"/>
    <x v="2"/>
    <n v="27.3"/>
    <n v="2.4"/>
    <x v="3"/>
    <n v="1"/>
    <n v="40.79"/>
  </r>
  <r>
    <n v="808"/>
    <x v="9"/>
    <n v="32"/>
    <x v="0"/>
    <n v="77.400000000000006"/>
    <n v="1.92"/>
    <n v="174"/>
    <n v="137"/>
    <n v="50"/>
    <x v="68"/>
    <x v="252"/>
    <x v="2"/>
    <n v="26.7"/>
    <n v="3.3"/>
    <x v="1"/>
    <n v="2"/>
    <n v="21"/>
  </r>
  <r>
    <n v="809"/>
    <x v="1"/>
    <n v="42"/>
    <x v="1"/>
    <n v="72.900000000000006"/>
    <n v="1.62"/>
    <n v="175"/>
    <n v="139"/>
    <n v="67"/>
    <x v="21"/>
    <x v="196"/>
    <x v="0"/>
    <n v="25.7"/>
    <n v="2"/>
    <x v="0"/>
    <n v="2"/>
    <n v="27.78"/>
  </r>
  <r>
    <n v="810"/>
    <x v="4"/>
    <n v="54"/>
    <x v="1"/>
    <n v="58.4"/>
    <n v="1.59"/>
    <n v="186"/>
    <n v="166"/>
    <n v="73"/>
    <x v="9"/>
    <x v="457"/>
    <x v="2"/>
    <n v="32.5"/>
    <n v="1.9"/>
    <x v="3"/>
    <n v="1"/>
    <n v="23.1"/>
  </r>
  <r>
    <n v="811"/>
    <x v="5"/>
    <n v="45"/>
    <x v="1"/>
    <n v="64.3"/>
    <n v="1.54"/>
    <n v="199"/>
    <n v="133"/>
    <n v="58"/>
    <x v="41"/>
    <x v="554"/>
    <x v="0"/>
    <n v="15.3"/>
    <n v="2.7"/>
    <x v="0"/>
    <n v="3"/>
    <n v="27.11"/>
  </r>
  <r>
    <n v="812"/>
    <x v="9"/>
    <n v="27"/>
    <x v="0"/>
    <n v="89.3"/>
    <n v="1.87"/>
    <n v="169"/>
    <n v="153"/>
    <n v="62"/>
    <x v="113"/>
    <x v="555"/>
    <x v="3"/>
    <n v="12.7"/>
    <n v="3.5"/>
    <x v="2"/>
    <n v="3"/>
    <n v="25.54"/>
  </r>
  <r>
    <n v="813"/>
    <x v="7"/>
    <n v="56"/>
    <x v="0"/>
    <n v="90.2"/>
    <n v="1.61"/>
    <n v="163"/>
    <n v="168"/>
    <n v="51"/>
    <x v="82"/>
    <x v="517"/>
    <x v="0"/>
    <n v="22.6"/>
    <n v="2.2999999999999998"/>
    <x v="1"/>
    <n v="2"/>
    <n v="34.799999999999997"/>
  </r>
  <r>
    <n v="814"/>
    <x v="1"/>
    <n v="34"/>
    <x v="1"/>
    <n v="59"/>
    <n v="1.62"/>
    <n v="178"/>
    <n v="150"/>
    <n v="56"/>
    <x v="15"/>
    <x v="462"/>
    <x v="2"/>
    <n v="30.9"/>
    <n v="2.4"/>
    <x v="0"/>
    <n v="2"/>
    <n v="22.48"/>
  </r>
  <r>
    <n v="815"/>
    <x v="6"/>
    <n v="56"/>
    <x v="0"/>
    <n v="58.7"/>
    <n v="1.86"/>
    <n v="187"/>
    <n v="159"/>
    <n v="65"/>
    <x v="58"/>
    <x v="113"/>
    <x v="2"/>
    <n v="22.6"/>
    <n v="3.3"/>
    <x v="1"/>
    <n v="2"/>
    <n v="16.97"/>
  </r>
  <r>
    <n v="816"/>
    <x v="7"/>
    <n v="39"/>
    <x v="0"/>
    <n v="127.5"/>
    <n v="1.82"/>
    <n v="180"/>
    <n v="161"/>
    <n v="70"/>
    <x v="32"/>
    <x v="5"/>
    <x v="3"/>
    <n v="29.8"/>
    <n v="3"/>
    <x v="1"/>
    <n v="2"/>
    <n v="38.49"/>
  </r>
  <r>
    <n v="817"/>
    <x v="2"/>
    <n v="43"/>
    <x v="1"/>
    <n v="68.599999999999994"/>
    <n v="1.52"/>
    <n v="173"/>
    <n v="137"/>
    <n v="68"/>
    <x v="24"/>
    <x v="21"/>
    <x v="0"/>
    <n v="28.1"/>
    <n v="2.6"/>
    <x v="0"/>
    <n v="2"/>
    <n v="29.69"/>
  </r>
  <r>
    <n v="818"/>
    <x v="2"/>
    <n v="42"/>
    <x v="1"/>
    <n v="56.7"/>
    <n v="1.53"/>
    <n v="192"/>
    <n v="149"/>
    <n v="74"/>
    <x v="53"/>
    <x v="556"/>
    <x v="3"/>
    <n v="27.4"/>
    <n v="1.9"/>
    <x v="1"/>
    <n v="1"/>
    <n v="24.22"/>
  </r>
  <r>
    <n v="819"/>
    <x v="8"/>
    <n v="34"/>
    <x v="1"/>
    <n v="64.5"/>
    <n v="1.78"/>
    <n v="169"/>
    <n v="144"/>
    <n v="64"/>
    <x v="16"/>
    <x v="135"/>
    <x v="0"/>
    <n v="27.8"/>
    <n v="1.8"/>
    <x v="0"/>
    <n v="2"/>
    <n v="20.36"/>
  </r>
  <r>
    <n v="820"/>
    <x v="5"/>
    <n v="30"/>
    <x v="1"/>
    <n v="61.6"/>
    <n v="1.52"/>
    <n v="178"/>
    <n v="138"/>
    <n v="71"/>
    <x v="56"/>
    <x v="557"/>
    <x v="2"/>
    <n v="19.5"/>
    <n v="2.7"/>
    <x v="0"/>
    <n v="3"/>
    <n v="26.66"/>
  </r>
  <r>
    <n v="821"/>
    <x v="4"/>
    <n v="37"/>
    <x v="0"/>
    <n v="75.099999999999994"/>
    <n v="1.82"/>
    <n v="189"/>
    <n v="127"/>
    <n v="60"/>
    <x v="40"/>
    <x v="485"/>
    <x v="0"/>
    <n v="26.4"/>
    <n v="3.2"/>
    <x v="0"/>
    <n v="2"/>
    <n v="22.67"/>
  </r>
  <r>
    <n v="822"/>
    <x v="9"/>
    <n v="42"/>
    <x v="0"/>
    <n v="79.3"/>
    <n v="1.93"/>
    <n v="181"/>
    <n v="147"/>
    <n v="50"/>
    <x v="74"/>
    <x v="110"/>
    <x v="2"/>
    <n v="27.3"/>
    <n v="3.3"/>
    <x v="3"/>
    <n v="1"/>
    <n v="21.29"/>
  </r>
  <r>
    <n v="823"/>
    <x v="3"/>
    <n v="21"/>
    <x v="1"/>
    <n v="72.599999999999994"/>
    <n v="1.68"/>
    <n v="162"/>
    <n v="127"/>
    <n v="70"/>
    <x v="17"/>
    <x v="131"/>
    <x v="2"/>
    <n v="34.200000000000003"/>
    <n v="1.8"/>
    <x v="1"/>
    <n v="2"/>
    <n v="25.72"/>
  </r>
  <r>
    <n v="824"/>
    <x v="6"/>
    <n v="27"/>
    <x v="0"/>
    <n v="76.7"/>
    <n v="1.7"/>
    <n v="196"/>
    <n v="150"/>
    <n v="56"/>
    <x v="108"/>
    <x v="254"/>
    <x v="1"/>
    <n v="29.1"/>
    <n v="2.1"/>
    <x v="1"/>
    <n v="1"/>
    <n v="26.54"/>
  </r>
  <r>
    <n v="825"/>
    <x v="1"/>
    <n v="20"/>
    <x v="1"/>
    <n v="44.2"/>
    <n v="1.61"/>
    <n v="177"/>
    <n v="122"/>
    <n v="69"/>
    <x v="9"/>
    <x v="558"/>
    <x v="1"/>
    <n v="32.4"/>
    <n v="2.5"/>
    <x v="3"/>
    <n v="1"/>
    <n v="17.05"/>
  </r>
  <r>
    <n v="826"/>
    <x v="4"/>
    <n v="58"/>
    <x v="1"/>
    <n v="56.5"/>
    <n v="1.7"/>
    <n v="170"/>
    <n v="122"/>
    <n v="57"/>
    <x v="136"/>
    <x v="559"/>
    <x v="0"/>
    <n v="27"/>
    <n v="2.7"/>
    <x v="3"/>
    <n v="1"/>
    <n v="19.55"/>
  </r>
  <r>
    <n v="827"/>
    <x v="7"/>
    <n v="35"/>
    <x v="0"/>
    <n v="100.9"/>
    <n v="1.63"/>
    <n v="161"/>
    <n v="163"/>
    <n v="59"/>
    <x v="94"/>
    <x v="521"/>
    <x v="2"/>
    <n v="28.4"/>
    <n v="3.1"/>
    <x v="3"/>
    <n v="1"/>
    <n v="37.979999999999997"/>
  </r>
  <r>
    <n v="828"/>
    <x v="2"/>
    <n v="53"/>
    <x v="1"/>
    <n v="55.8"/>
    <n v="1.55"/>
    <n v="171"/>
    <n v="141"/>
    <n v="54"/>
    <x v="20"/>
    <x v="150"/>
    <x v="3"/>
    <n v="27"/>
    <n v="1.8"/>
    <x v="0"/>
    <n v="2"/>
    <n v="23.23"/>
  </r>
  <r>
    <n v="829"/>
    <x v="6"/>
    <n v="39"/>
    <x v="0"/>
    <n v="58.3"/>
    <n v="1.93"/>
    <n v="165"/>
    <n v="136"/>
    <n v="58"/>
    <x v="14"/>
    <x v="229"/>
    <x v="2"/>
    <n v="27.4"/>
    <n v="3.7"/>
    <x v="0"/>
    <n v="2"/>
    <n v="15.65"/>
  </r>
  <r>
    <n v="830"/>
    <x v="3"/>
    <n v="51"/>
    <x v="0"/>
    <n v="48.6"/>
    <n v="1.77"/>
    <n v="199"/>
    <n v="155"/>
    <n v="74"/>
    <x v="43"/>
    <x v="560"/>
    <x v="3"/>
    <n v="26.9"/>
    <n v="3.5"/>
    <x v="3"/>
    <n v="1"/>
    <n v="15.51"/>
  </r>
  <r>
    <n v="831"/>
    <x v="9"/>
    <n v="25"/>
    <x v="0"/>
    <n v="81.7"/>
    <n v="1.95"/>
    <n v="188"/>
    <n v="136"/>
    <n v="74"/>
    <x v="114"/>
    <x v="293"/>
    <x v="0"/>
    <n v="13.8"/>
    <n v="3.5"/>
    <x v="0"/>
    <n v="3"/>
    <n v="21.49"/>
  </r>
  <r>
    <n v="832"/>
    <x v="8"/>
    <n v="57"/>
    <x v="0"/>
    <n v="85.6"/>
    <n v="1.69"/>
    <n v="189"/>
    <n v="133"/>
    <n v="50"/>
    <x v="141"/>
    <x v="346"/>
    <x v="0"/>
    <n v="12.7"/>
    <n v="3.5"/>
    <x v="2"/>
    <n v="3"/>
    <n v="29.97"/>
  </r>
  <r>
    <n v="833"/>
    <x v="3"/>
    <n v="36"/>
    <x v="1"/>
    <n v="60"/>
    <n v="1.72"/>
    <n v="161"/>
    <n v="128"/>
    <n v="51"/>
    <x v="109"/>
    <x v="192"/>
    <x v="3"/>
    <n v="18.2"/>
    <n v="2.7"/>
    <x v="2"/>
    <n v="3"/>
    <n v="20.28"/>
  </r>
  <r>
    <n v="834"/>
    <x v="6"/>
    <n v="59"/>
    <x v="0"/>
    <n v="126.4"/>
    <n v="1.69"/>
    <n v="168"/>
    <n v="149"/>
    <n v="68"/>
    <x v="12"/>
    <x v="484"/>
    <x v="3"/>
    <n v="29.5"/>
    <n v="2.9"/>
    <x v="1"/>
    <n v="1"/>
    <n v="44.26"/>
  </r>
  <r>
    <n v="835"/>
    <x v="3"/>
    <n v="58"/>
    <x v="1"/>
    <n v="75.400000000000006"/>
    <n v="1.78"/>
    <n v="161"/>
    <n v="140"/>
    <n v="63"/>
    <x v="95"/>
    <x v="236"/>
    <x v="2"/>
    <n v="26"/>
    <n v="2.5"/>
    <x v="0"/>
    <n v="2"/>
    <n v="23.8"/>
  </r>
  <r>
    <n v="836"/>
    <x v="6"/>
    <n v="54"/>
    <x v="1"/>
    <n v="64.2"/>
    <n v="1.69"/>
    <n v="188"/>
    <n v="131"/>
    <n v="69"/>
    <x v="0"/>
    <x v="325"/>
    <x v="0"/>
    <n v="16.5"/>
    <n v="2.7"/>
    <x v="0"/>
    <n v="3"/>
    <n v="22.48"/>
  </r>
  <r>
    <n v="837"/>
    <x v="6"/>
    <n v="23"/>
    <x v="1"/>
    <n v="65.2"/>
    <n v="1.62"/>
    <n v="192"/>
    <n v="156"/>
    <n v="59"/>
    <x v="18"/>
    <x v="37"/>
    <x v="2"/>
    <n v="31.1"/>
    <n v="2.5"/>
    <x v="1"/>
    <n v="2"/>
    <n v="24.84"/>
  </r>
  <r>
    <n v="838"/>
    <x v="0"/>
    <n v="43"/>
    <x v="1"/>
    <n v="70.099999999999994"/>
    <n v="1.66"/>
    <n v="169"/>
    <n v="151"/>
    <n v="58"/>
    <x v="103"/>
    <x v="561"/>
    <x v="3"/>
    <n v="34.6"/>
    <n v="2.6"/>
    <x v="3"/>
    <n v="1"/>
    <n v="25.44"/>
  </r>
  <r>
    <n v="839"/>
    <x v="1"/>
    <n v="51"/>
    <x v="0"/>
    <n v="102.6"/>
    <n v="1.77"/>
    <n v="193"/>
    <n v="130"/>
    <n v="59"/>
    <x v="101"/>
    <x v="371"/>
    <x v="1"/>
    <n v="21"/>
    <n v="3.4"/>
    <x v="3"/>
    <n v="1"/>
    <n v="32.75"/>
  </r>
  <r>
    <n v="840"/>
    <x v="2"/>
    <n v="23"/>
    <x v="0"/>
    <n v="107.2"/>
    <n v="1.93"/>
    <n v="167"/>
    <n v="139"/>
    <n v="55"/>
    <x v="11"/>
    <x v="36"/>
    <x v="1"/>
    <n v="20.2"/>
    <n v="3.1"/>
    <x v="0"/>
    <n v="2"/>
    <n v="28.78"/>
  </r>
  <r>
    <n v="841"/>
    <x v="0"/>
    <n v="54"/>
    <x v="1"/>
    <n v="56.5"/>
    <n v="1.75"/>
    <n v="196"/>
    <n v="154"/>
    <n v="66"/>
    <x v="141"/>
    <x v="562"/>
    <x v="1"/>
    <n v="15.3"/>
    <n v="2.7"/>
    <x v="2"/>
    <n v="3"/>
    <n v="18.45"/>
  </r>
  <r>
    <n v="842"/>
    <x v="9"/>
    <n v="50"/>
    <x v="1"/>
    <n v="61.6"/>
    <n v="1.75"/>
    <n v="192"/>
    <n v="166"/>
    <n v="74"/>
    <x v="74"/>
    <x v="262"/>
    <x v="3"/>
    <n v="25.5"/>
    <n v="2.2000000000000002"/>
    <x v="0"/>
    <n v="2"/>
    <n v="20.11"/>
  </r>
  <r>
    <n v="843"/>
    <x v="0"/>
    <n v="39"/>
    <x v="0"/>
    <n v="81.7"/>
    <n v="1.75"/>
    <n v="165"/>
    <n v="165"/>
    <n v="55"/>
    <x v="31"/>
    <x v="337"/>
    <x v="2"/>
    <n v="29.1"/>
    <n v="2.8"/>
    <x v="0"/>
    <n v="2"/>
    <n v="26.68"/>
  </r>
  <r>
    <n v="844"/>
    <x v="5"/>
    <n v="38"/>
    <x v="1"/>
    <n v="76.599999999999994"/>
    <n v="1.58"/>
    <n v="199"/>
    <n v="130"/>
    <n v="53"/>
    <x v="136"/>
    <x v="563"/>
    <x v="0"/>
    <n v="32.200000000000003"/>
    <n v="2.2999999999999998"/>
    <x v="3"/>
    <n v="1"/>
    <n v="30.68"/>
  </r>
  <r>
    <n v="845"/>
    <x v="5"/>
    <n v="23"/>
    <x v="0"/>
    <n v="116.8"/>
    <n v="1.79"/>
    <n v="178"/>
    <n v="127"/>
    <n v="69"/>
    <x v="75"/>
    <x v="564"/>
    <x v="3"/>
    <n v="26.8"/>
    <n v="3.4"/>
    <x v="0"/>
    <n v="2"/>
    <n v="36.450000000000003"/>
  </r>
  <r>
    <n v="846"/>
    <x v="2"/>
    <n v="23"/>
    <x v="1"/>
    <n v="60.1"/>
    <n v="1.59"/>
    <n v="191"/>
    <n v="123"/>
    <n v="52"/>
    <x v="60"/>
    <x v="404"/>
    <x v="1"/>
    <n v="17.600000000000001"/>
    <n v="2.7"/>
    <x v="0"/>
    <n v="3"/>
    <n v="23.77"/>
  </r>
  <r>
    <n v="847"/>
    <x v="3"/>
    <n v="21"/>
    <x v="0"/>
    <n v="93.7"/>
    <n v="1.73"/>
    <n v="186"/>
    <n v="146"/>
    <n v="72"/>
    <x v="75"/>
    <x v="232"/>
    <x v="2"/>
    <n v="27.8"/>
    <n v="3.6"/>
    <x v="3"/>
    <n v="1"/>
    <n v="31.31"/>
  </r>
  <r>
    <n v="848"/>
    <x v="1"/>
    <n v="47"/>
    <x v="1"/>
    <n v="41.6"/>
    <n v="1.58"/>
    <n v="160"/>
    <n v="163"/>
    <n v="68"/>
    <x v="8"/>
    <x v="131"/>
    <x v="0"/>
    <n v="26.6"/>
    <n v="2.1"/>
    <x v="0"/>
    <n v="2"/>
    <n v="16.66"/>
  </r>
  <r>
    <n v="849"/>
    <x v="2"/>
    <n v="28"/>
    <x v="1"/>
    <n v="55.1"/>
    <n v="1.79"/>
    <n v="192"/>
    <n v="159"/>
    <n v="67"/>
    <x v="49"/>
    <x v="565"/>
    <x v="0"/>
    <n v="17"/>
    <n v="2.7"/>
    <x v="2"/>
    <n v="3"/>
    <n v="17.2"/>
  </r>
  <r>
    <n v="850"/>
    <x v="6"/>
    <n v="47"/>
    <x v="0"/>
    <n v="127.1"/>
    <n v="1.76"/>
    <n v="199"/>
    <n v="157"/>
    <n v="73"/>
    <x v="144"/>
    <x v="566"/>
    <x v="3"/>
    <n v="24.9"/>
    <n v="3"/>
    <x v="3"/>
    <n v="1"/>
    <n v="41.03"/>
  </r>
  <r>
    <n v="851"/>
    <x v="7"/>
    <n v="48"/>
    <x v="1"/>
    <n v="69.099999999999994"/>
    <n v="1.6"/>
    <n v="191"/>
    <n v="166"/>
    <n v="53"/>
    <x v="33"/>
    <x v="567"/>
    <x v="3"/>
    <n v="26.1"/>
    <n v="2"/>
    <x v="0"/>
    <n v="2"/>
    <n v="26.99"/>
  </r>
  <r>
    <n v="852"/>
    <x v="1"/>
    <n v="41"/>
    <x v="1"/>
    <n v="66.8"/>
    <n v="1.74"/>
    <n v="164"/>
    <n v="149"/>
    <n v="57"/>
    <x v="33"/>
    <x v="379"/>
    <x v="0"/>
    <n v="29.2"/>
    <n v="2.2999999999999998"/>
    <x v="1"/>
    <n v="1"/>
    <n v="22.06"/>
  </r>
  <r>
    <n v="853"/>
    <x v="1"/>
    <n v="26"/>
    <x v="0"/>
    <n v="125.5"/>
    <n v="1.76"/>
    <n v="176"/>
    <n v="163"/>
    <n v="66"/>
    <x v="11"/>
    <x v="568"/>
    <x v="0"/>
    <n v="23.2"/>
    <n v="3.1"/>
    <x v="0"/>
    <n v="2"/>
    <n v="40.520000000000003"/>
  </r>
  <r>
    <n v="854"/>
    <x v="6"/>
    <n v="20"/>
    <x v="1"/>
    <n v="71.3"/>
    <n v="1.58"/>
    <n v="167"/>
    <n v="167"/>
    <n v="54"/>
    <x v="53"/>
    <x v="569"/>
    <x v="1"/>
    <n v="25.4"/>
    <n v="1.5"/>
    <x v="1"/>
    <n v="2"/>
    <n v="28.56"/>
  </r>
  <r>
    <n v="855"/>
    <x v="6"/>
    <n v="48"/>
    <x v="0"/>
    <n v="129.19999999999999"/>
    <n v="1.61"/>
    <n v="193"/>
    <n v="167"/>
    <n v="62"/>
    <x v="107"/>
    <x v="253"/>
    <x v="0"/>
    <n v="21.4"/>
    <n v="2.9"/>
    <x v="0"/>
    <n v="2"/>
    <n v="49.84"/>
  </r>
  <r>
    <n v="856"/>
    <x v="8"/>
    <n v="57"/>
    <x v="0"/>
    <n v="96.3"/>
    <n v="1.86"/>
    <n v="168"/>
    <n v="146"/>
    <n v="74"/>
    <x v="94"/>
    <x v="358"/>
    <x v="3"/>
    <n v="27.6"/>
    <n v="2.2000000000000002"/>
    <x v="1"/>
    <n v="2"/>
    <n v="27.84"/>
  </r>
  <r>
    <n v="857"/>
    <x v="2"/>
    <n v="54"/>
    <x v="1"/>
    <n v="67.5"/>
    <n v="1.54"/>
    <n v="182"/>
    <n v="140"/>
    <n v="50"/>
    <x v="129"/>
    <x v="570"/>
    <x v="2"/>
    <n v="25.2"/>
    <n v="1.5"/>
    <x v="1"/>
    <n v="1"/>
    <n v="28.46"/>
  </r>
  <r>
    <n v="858"/>
    <x v="6"/>
    <n v="53"/>
    <x v="1"/>
    <n v="64.400000000000006"/>
    <n v="1.55"/>
    <n v="194"/>
    <n v="139"/>
    <n v="62"/>
    <x v="127"/>
    <x v="404"/>
    <x v="1"/>
    <n v="19.7"/>
    <n v="2.7"/>
    <x v="0"/>
    <n v="3"/>
    <n v="26.81"/>
  </r>
  <r>
    <n v="859"/>
    <x v="5"/>
    <n v="41"/>
    <x v="1"/>
    <n v="64.900000000000006"/>
    <n v="1.57"/>
    <n v="166"/>
    <n v="123"/>
    <n v="53"/>
    <x v="29"/>
    <x v="571"/>
    <x v="1"/>
    <n v="25.9"/>
    <n v="2.4"/>
    <x v="0"/>
    <n v="2"/>
    <n v="26.33"/>
  </r>
  <r>
    <n v="860"/>
    <x v="9"/>
    <n v="48"/>
    <x v="1"/>
    <n v="52.3"/>
    <n v="1.66"/>
    <n v="174"/>
    <n v="130"/>
    <n v="71"/>
    <x v="136"/>
    <x v="548"/>
    <x v="0"/>
    <n v="33"/>
    <n v="1.8"/>
    <x v="1"/>
    <n v="1"/>
    <n v="18.98"/>
  </r>
  <r>
    <n v="861"/>
    <x v="7"/>
    <n v="23"/>
    <x v="1"/>
    <n v="56.7"/>
    <n v="1.55"/>
    <n v="179"/>
    <n v="132"/>
    <n v="73"/>
    <x v="82"/>
    <x v="262"/>
    <x v="2"/>
    <n v="34"/>
    <n v="1.9"/>
    <x v="0"/>
    <n v="2"/>
    <n v="23.6"/>
  </r>
  <r>
    <n v="862"/>
    <x v="2"/>
    <n v="19"/>
    <x v="1"/>
    <n v="46.8"/>
    <n v="1.63"/>
    <n v="184"/>
    <n v="128"/>
    <n v="63"/>
    <x v="14"/>
    <x v="75"/>
    <x v="1"/>
    <n v="34.4"/>
    <n v="1.6"/>
    <x v="0"/>
    <n v="2"/>
    <n v="17.61"/>
  </r>
  <r>
    <n v="863"/>
    <x v="4"/>
    <n v="37"/>
    <x v="1"/>
    <n v="70.3"/>
    <n v="1.77"/>
    <n v="162"/>
    <n v="123"/>
    <n v="52"/>
    <x v="69"/>
    <x v="572"/>
    <x v="3"/>
    <n v="33.700000000000003"/>
    <n v="1.7"/>
    <x v="3"/>
    <n v="1"/>
    <n v="22.44"/>
  </r>
  <r>
    <n v="864"/>
    <x v="5"/>
    <n v="45"/>
    <x v="0"/>
    <n v="80.8"/>
    <n v="1.76"/>
    <n v="183"/>
    <n v="131"/>
    <n v="54"/>
    <x v="119"/>
    <x v="573"/>
    <x v="0"/>
    <n v="11.4"/>
    <n v="3.5"/>
    <x v="0"/>
    <n v="3"/>
    <n v="26.08"/>
  </r>
  <r>
    <n v="865"/>
    <x v="3"/>
    <n v="28"/>
    <x v="1"/>
    <n v="56"/>
    <n v="1.5"/>
    <n v="193"/>
    <n v="128"/>
    <n v="56"/>
    <x v="114"/>
    <x v="574"/>
    <x v="3"/>
    <n v="16.7"/>
    <n v="2.7"/>
    <x v="2"/>
    <n v="3"/>
    <n v="24.89"/>
  </r>
  <r>
    <n v="866"/>
    <x v="6"/>
    <n v="21"/>
    <x v="0"/>
    <n v="101.2"/>
    <n v="1.84"/>
    <n v="181"/>
    <n v="132"/>
    <n v="50"/>
    <x v="1"/>
    <x v="278"/>
    <x v="0"/>
    <n v="24.3"/>
    <n v="3.3"/>
    <x v="3"/>
    <n v="1"/>
    <n v="29.89"/>
  </r>
  <r>
    <n v="867"/>
    <x v="4"/>
    <n v="32"/>
    <x v="1"/>
    <n v="56.6"/>
    <n v="1.57"/>
    <n v="170"/>
    <n v="167"/>
    <n v="72"/>
    <x v="131"/>
    <x v="535"/>
    <x v="1"/>
    <n v="15.7"/>
    <n v="2.7"/>
    <x v="0"/>
    <n v="3"/>
    <n v="22.96"/>
  </r>
  <r>
    <n v="868"/>
    <x v="6"/>
    <n v="23"/>
    <x v="1"/>
    <n v="40.9"/>
    <n v="1.75"/>
    <n v="167"/>
    <n v="145"/>
    <n v="61"/>
    <x v="10"/>
    <x v="218"/>
    <x v="0"/>
    <n v="25.2"/>
    <n v="2.1"/>
    <x v="1"/>
    <n v="1"/>
    <n v="13.36"/>
  </r>
  <r>
    <n v="869"/>
    <x v="1"/>
    <n v="47"/>
    <x v="0"/>
    <n v="127.8"/>
    <n v="1.65"/>
    <n v="198"/>
    <n v="157"/>
    <n v="60"/>
    <x v="104"/>
    <x v="184"/>
    <x v="2"/>
    <n v="28.7"/>
    <n v="3.5"/>
    <x v="3"/>
    <n v="1"/>
    <n v="46.94"/>
  </r>
  <r>
    <n v="870"/>
    <x v="5"/>
    <n v="55"/>
    <x v="1"/>
    <n v="49.3"/>
    <n v="1.76"/>
    <n v="194"/>
    <n v="161"/>
    <n v="73"/>
    <x v="76"/>
    <x v="292"/>
    <x v="3"/>
    <n v="30.5"/>
    <n v="2"/>
    <x v="3"/>
    <n v="1"/>
    <n v="15.92"/>
  </r>
  <r>
    <n v="871"/>
    <x v="1"/>
    <n v="19"/>
    <x v="1"/>
    <n v="64.3"/>
    <n v="1.63"/>
    <n v="197"/>
    <n v="132"/>
    <n v="57"/>
    <x v="55"/>
    <x v="575"/>
    <x v="2"/>
    <n v="18"/>
    <n v="2.7"/>
    <x v="2"/>
    <n v="3"/>
    <n v="24.2"/>
  </r>
  <r>
    <n v="872"/>
    <x v="8"/>
    <n v="32"/>
    <x v="0"/>
    <n v="49.3"/>
    <n v="1.62"/>
    <n v="167"/>
    <n v="158"/>
    <n v="74"/>
    <x v="13"/>
    <x v="180"/>
    <x v="3"/>
    <n v="29.3"/>
    <n v="2.5"/>
    <x v="1"/>
    <n v="2"/>
    <n v="18.79"/>
  </r>
  <r>
    <n v="873"/>
    <x v="1"/>
    <n v="28"/>
    <x v="1"/>
    <n v="63"/>
    <n v="1.62"/>
    <n v="196"/>
    <n v="147"/>
    <n v="55"/>
    <x v="80"/>
    <x v="121"/>
    <x v="3"/>
    <n v="31.7"/>
    <n v="1.9"/>
    <x v="3"/>
    <n v="1"/>
    <n v="24.01"/>
  </r>
  <r>
    <n v="874"/>
    <x v="8"/>
    <n v="25"/>
    <x v="1"/>
    <n v="41.1"/>
    <n v="1.67"/>
    <n v="186"/>
    <n v="138"/>
    <n v="71"/>
    <x v="8"/>
    <x v="150"/>
    <x v="0"/>
    <n v="31.9"/>
    <n v="2.4"/>
    <x v="1"/>
    <n v="2"/>
    <n v="14.74"/>
  </r>
  <r>
    <n v="875"/>
    <x v="8"/>
    <n v="43"/>
    <x v="1"/>
    <n v="40.5"/>
    <n v="1.74"/>
    <n v="187"/>
    <n v="143"/>
    <n v="51"/>
    <x v="19"/>
    <x v="541"/>
    <x v="1"/>
    <n v="32.9"/>
    <n v="2.2000000000000002"/>
    <x v="1"/>
    <n v="2"/>
    <n v="13.38"/>
  </r>
  <r>
    <n v="876"/>
    <x v="4"/>
    <n v="22"/>
    <x v="0"/>
    <n v="71"/>
    <n v="1.62"/>
    <n v="199"/>
    <n v="138"/>
    <n v="68"/>
    <x v="135"/>
    <x v="576"/>
    <x v="1"/>
    <n v="21.2"/>
    <n v="3.5"/>
    <x v="3"/>
    <n v="1"/>
    <n v="27.05"/>
  </r>
  <r>
    <n v="877"/>
    <x v="6"/>
    <n v="23"/>
    <x v="1"/>
    <n v="60.9"/>
    <n v="1.62"/>
    <n v="193"/>
    <n v="168"/>
    <n v="69"/>
    <x v="5"/>
    <x v="577"/>
    <x v="2"/>
    <n v="16.8"/>
    <n v="2.7"/>
    <x v="2"/>
    <n v="3"/>
    <n v="23.21"/>
  </r>
  <r>
    <n v="878"/>
    <x v="3"/>
    <n v="43"/>
    <x v="1"/>
    <n v="64.7"/>
    <n v="1.66"/>
    <n v="191"/>
    <n v="132"/>
    <n v="69"/>
    <x v="122"/>
    <x v="578"/>
    <x v="0"/>
    <n v="19.8"/>
    <n v="2.7"/>
    <x v="0"/>
    <n v="3"/>
    <n v="23.48"/>
  </r>
  <r>
    <n v="879"/>
    <x v="1"/>
    <n v="21"/>
    <x v="1"/>
    <n v="51"/>
    <n v="1.71"/>
    <n v="174"/>
    <n v="132"/>
    <n v="73"/>
    <x v="53"/>
    <x v="579"/>
    <x v="1"/>
    <n v="34.200000000000003"/>
    <n v="2.2000000000000002"/>
    <x v="1"/>
    <n v="2"/>
    <n v="17.440000000000001"/>
  </r>
  <r>
    <n v="880"/>
    <x v="5"/>
    <n v="36"/>
    <x v="1"/>
    <n v="57.7"/>
    <n v="1.77"/>
    <n v="176"/>
    <n v="147"/>
    <n v="63"/>
    <x v="131"/>
    <x v="580"/>
    <x v="3"/>
    <n v="19.399999999999999"/>
    <n v="2.7"/>
    <x v="0"/>
    <n v="3"/>
    <n v="18.420000000000002"/>
  </r>
  <r>
    <n v="881"/>
    <x v="8"/>
    <n v="37"/>
    <x v="0"/>
    <n v="76.900000000000006"/>
    <n v="1.82"/>
    <n v="192"/>
    <n v="121"/>
    <n v="50"/>
    <x v="6"/>
    <x v="341"/>
    <x v="3"/>
    <n v="24.5"/>
    <n v="2.8"/>
    <x v="0"/>
    <n v="2"/>
    <n v="23.22"/>
  </r>
  <r>
    <n v="882"/>
    <x v="6"/>
    <n v="50"/>
    <x v="0"/>
    <n v="80.5"/>
    <n v="1.77"/>
    <n v="175"/>
    <n v="129"/>
    <n v="59"/>
    <x v="115"/>
    <x v="263"/>
    <x v="0"/>
    <n v="14.3"/>
    <n v="3.5"/>
    <x v="0"/>
    <n v="3"/>
    <n v="25.7"/>
  </r>
  <r>
    <n v="883"/>
    <x v="7"/>
    <n v="37"/>
    <x v="1"/>
    <n v="73.3"/>
    <n v="1.74"/>
    <n v="188"/>
    <n v="141"/>
    <n v="65"/>
    <x v="8"/>
    <x v="581"/>
    <x v="2"/>
    <n v="25.5"/>
    <n v="2.4"/>
    <x v="1"/>
    <n v="2"/>
    <n v="24.21"/>
  </r>
  <r>
    <n v="884"/>
    <x v="2"/>
    <n v="29"/>
    <x v="1"/>
    <n v="49"/>
    <n v="1.57"/>
    <n v="168"/>
    <n v="132"/>
    <n v="53"/>
    <x v="16"/>
    <x v="224"/>
    <x v="0"/>
    <n v="26.5"/>
    <n v="2.6"/>
    <x v="1"/>
    <n v="2"/>
    <n v="19.88"/>
  </r>
  <r>
    <n v="885"/>
    <x v="4"/>
    <n v="18"/>
    <x v="0"/>
    <n v="114.5"/>
    <n v="1.97"/>
    <n v="192"/>
    <n v="128"/>
    <n v="60"/>
    <x v="8"/>
    <x v="317"/>
    <x v="2"/>
    <n v="24.1"/>
    <n v="2.6"/>
    <x v="1"/>
    <n v="1"/>
    <n v="29.5"/>
  </r>
  <r>
    <n v="886"/>
    <x v="3"/>
    <n v="43"/>
    <x v="0"/>
    <n v="81"/>
    <n v="1.78"/>
    <n v="188"/>
    <n v="152"/>
    <n v="65"/>
    <x v="92"/>
    <x v="582"/>
    <x v="0"/>
    <n v="12.4"/>
    <n v="3.5"/>
    <x v="2"/>
    <n v="3"/>
    <n v="25.56"/>
  </r>
  <r>
    <n v="887"/>
    <x v="0"/>
    <n v="31"/>
    <x v="1"/>
    <n v="53.5"/>
    <n v="1.76"/>
    <n v="172"/>
    <n v="133"/>
    <n v="69"/>
    <x v="74"/>
    <x v="128"/>
    <x v="3"/>
    <n v="27.6"/>
    <n v="1.8"/>
    <x v="0"/>
    <n v="2"/>
    <n v="17.27"/>
  </r>
  <r>
    <n v="888"/>
    <x v="4"/>
    <n v="55"/>
    <x v="0"/>
    <n v="52.1"/>
    <n v="1.68"/>
    <n v="180"/>
    <n v="167"/>
    <n v="50"/>
    <x v="104"/>
    <x v="420"/>
    <x v="0"/>
    <n v="23.6"/>
    <n v="3"/>
    <x v="1"/>
    <n v="1"/>
    <n v="18.46"/>
  </r>
  <r>
    <n v="889"/>
    <x v="7"/>
    <n v="54"/>
    <x v="1"/>
    <n v="70.099999999999994"/>
    <n v="1.52"/>
    <n v="180"/>
    <n v="139"/>
    <n v="65"/>
    <x v="134"/>
    <x v="497"/>
    <x v="1"/>
    <n v="26.6"/>
    <n v="2.1"/>
    <x v="3"/>
    <n v="1"/>
    <n v="30.34"/>
  </r>
  <r>
    <n v="890"/>
    <x v="2"/>
    <n v="28"/>
    <x v="0"/>
    <n v="86.9"/>
    <n v="1.78"/>
    <n v="164"/>
    <n v="134"/>
    <n v="68"/>
    <x v="28"/>
    <x v="516"/>
    <x v="1"/>
    <n v="24.9"/>
    <n v="3.7"/>
    <x v="0"/>
    <n v="2"/>
    <n v="27.43"/>
  </r>
  <r>
    <n v="891"/>
    <x v="7"/>
    <n v="53"/>
    <x v="0"/>
    <n v="73.400000000000006"/>
    <n v="1.76"/>
    <n v="169"/>
    <n v="151"/>
    <n v="70"/>
    <x v="58"/>
    <x v="208"/>
    <x v="0"/>
    <n v="27.9"/>
    <n v="2.8"/>
    <x v="1"/>
    <n v="2"/>
    <n v="23.7"/>
  </r>
  <r>
    <n v="892"/>
    <x v="1"/>
    <n v="30"/>
    <x v="0"/>
    <n v="90"/>
    <n v="1.66"/>
    <n v="165"/>
    <n v="152"/>
    <n v="71"/>
    <x v="31"/>
    <x v="28"/>
    <x v="2"/>
    <n v="26.6"/>
    <n v="2.1"/>
    <x v="0"/>
    <n v="2"/>
    <n v="32.659999999999997"/>
  </r>
  <r>
    <n v="893"/>
    <x v="8"/>
    <n v="20"/>
    <x v="0"/>
    <n v="85.7"/>
    <n v="1.92"/>
    <n v="172"/>
    <n v="136"/>
    <n v="58"/>
    <x v="71"/>
    <x v="458"/>
    <x v="2"/>
    <n v="10.5"/>
    <n v="3.5"/>
    <x v="2"/>
    <n v="3"/>
    <n v="23.25"/>
  </r>
  <r>
    <n v="894"/>
    <x v="3"/>
    <n v="50"/>
    <x v="1"/>
    <n v="70.400000000000006"/>
    <n v="1.55"/>
    <n v="160"/>
    <n v="143"/>
    <n v="58"/>
    <x v="25"/>
    <x v="583"/>
    <x v="3"/>
    <n v="29.9"/>
    <n v="2.7"/>
    <x v="3"/>
    <n v="1"/>
    <n v="29.3"/>
  </r>
  <r>
    <n v="895"/>
    <x v="9"/>
    <n v="23"/>
    <x v="0"/>
    <n v="57.7"/>
    <n v="1.71"/>
    <n v="179"/>
    <n v="149"/>
    <n v="58"/>
    <x v="11"/>
    <x v="503"/>
    <x v="3"/>
    <n v="27"/>
    <n v="3.4"/>
    <x v="1"/>
    <n v="2"/>
    <n v="19.73"/>
  </r>
  <r>
    <n v="896"/>
    <x v="8"/>
    <n v="27"/>
    <x v="0"/>
    <n v="75.7"/>
    <n v="1.76"/>
    <n v="167"/>
    <n v="132"/>
    <n v="66"/>
    <x v="80"/>
    <x v="584"/>
    <x v="2"/>
    <n v="25.3"/>
    <n v="2.2999999999999998"/>
    <x v="1"/>
    <n v="1"/>
    <n v="24.44"/>
  </r>
  <r>
    <n v="897"/>
    <x v="9"/>
    <n v="22"/>
    <x v="1"/>
    <n v="61.8"/>
    <n v="1.52"/>
    <n v="169"/>
    <n v="166"/>
    <n v="61"/>
    <x v="100"/>
    <x v="585"/>
    <x v="0"/>
    <n v="17"/>
    <n v="2.7"/>
    <x v="2"/>
    <n v="3"/>
    <n v="26.75"/>
  </r>
  <r>
    <n v="898"/>
    <x v="2"/>
    <n v="40"/>
    <x v="0"/>
    <n v="80.3"/>
    <n v="1.76"/>
    <n v="168"/>
    <n v="167"/>
    <n v="74"/>
    <x v="109"/>
    <x v="586"/>
    <x v="3"/>
    <n v="13.1"/>
    <n v="3.5"/>
    <x v="2"/>
    <n v="3"/>
    <n v="25.92"/>
  </r>
  <r>
    <n v="899"/>
    <x v="6"/>
    <n v="27"/>
    <x v="0"/>
    <n v="104.3"/>
    <n v="1.68"/>
    <n v="162"/>
    <n v="135"/>
    <n v="62"/>
    <x v="76"/>
    <x v="502"/>
    <x v="2"/>
    <n v="29.7"/>
    <n v="3.5"/>
    <x v="1"/>
    <n v="2"/>
    <n v="36.950000000000003"/>
  </r>
  <r>
    <n v="900"/>
    <x v="0"/>
    <n v="19"/>
    <x v="1"/>
    <n v="65.7"/>
    <n v="1.58"/>
    <n v="170"/>
    <n v="121"/>
    <n v="57"/>
    <x v="85"/>
    <x v="1"/>
    <x v="2"/>
    <n v="25.9"/>
    <n v="1.9"/>
    <x v="1"/>
    <n v="2"/>
    <n v="26.32"/>
  </r>
  <r>
    <n v="901"/>
    <x v="5"/>
    <n v="30"/>
    <x v="0"/>
    <n v="120.3"/>
    <n v="1.96"/>
    <n v="171"/>
    <n v="136"/>
    <n v="65"/>
    <x v="78"/>
    <x v="584"/>
    <x v="0"/>
    <n v="23.9"/>
    <n v="2.6"/>
    <x v="3"/>
    <n v="1"/>
    <n v="31.32"/>
  </r>
  <r>
    <n v="902"/>
    <x v="8"/>
    <n v="57"/>
    <x v="1"/>
    <n v="51.9"/>
    <n v="1.57"/>
    <n v="169"/>
    <n v="151"/>
    <n v="67"/>
    <x v="95"/>
    <x v="230"/>
    <x v="1"/>
    <n v="29.1"/>
    <n v="2.6"/>
    <x v="1"/>
    <n v="2"/>
    <n v="21.06"/>
  </r>
  <r>
    <n v="903"/>
    <x v="3"/>
    <n v="19"/>
    <x v="1"/>
    <n v="59.1"/>
    <n v="1.57"/>
    <n v="184"/>
    <n v="162"/>
    <n v="50"/>
    <x v="131"/>
    <x v="577"/>
    <x v="2"/>
    <n v="17.899999999999999"/>
    <n v="2.7"/>
    <x v="2"/>
    <n v="3"/>
    <n v="23.98"/>
  </r>
  <r>
    <n v="904"/>
    <x v="7"/>
    <n v="37"/>
    <x v="1"/>
    <n v="66.900000000000006"/>
    <n v="1.75"/>
    <n v="184"/>
    <n v="127"/>
    <n v="50"/>
    <x v="82"/>
    <x v="253"/>
    <x v="3"/>
    <n v="26.5"/>
    <n v="2.1"/>
    <x v="0"/>
    <n v="2"/>
    <n v="21.84"/>
  </r>
  <r>
    <n v="905"/>
    <x v="3"/>
    <n v="18"/>
    <x v="1"/>
    <n v="66.900000000000006"/>
    <n v="1.75"/>
    <n v="170"/>
    <n v="122"/>
    <n v="61"/>
    <x v="133"/>
    <x v="587"/>
    <x v="0"/>
    <n v="26.8"/>
    <n v="1.7"/>
    <x v="3"/>
    <n v="1"/>
    <n v="21.84"/>
  </r>
  <r>
    <n v="906"/>
    <x v="2"/>
    <n v="54"/>
    <x v="0"/>
    <n v="78.7"/>
    <n v="1.66"/>
    <n v="195"/>
    <n v="131"/>
    <n v="55"/>
    <x v="24"/>
    <x v="363"/>
    <x v="0"/>
    <n v="22.9"/>
    <n v="2.6"/>
    <x v="1"/>
    <n v="2"/>
    <n v="28.56"/>
  </r>
  <r>
    <n v="907"/>
    <x v="9"/>
    <n v="26"/>
    <x v="1"/>
    <n v="62.4"/>
    <n v="1.61"/>
    <n v="198"/>
    <n v="139"/>
    <n v="58"/>
    <x v="122"/>
    <x v="588"/>
    <x v="0"/>
    <n v="19.8"/>
    <n v="2.7"/>
    <x v="0"/>
    <n v="3"/>
    <n v="24.07"/>
  </r>
  <r>
    <n v="908"/>
    <x v="7"/>
    <n v="34"/>
    <x v="0"/>
    <n v="102.1"/>
    <n v="1.71"/>
    <n v="185"/>
    <n v="135"/>
    <n v="72"/>
    <x v="108"/>
    <x v="230"/>
    <x v="1"/>
    <n v="27.3"/>
    <n v="3.2"/>
    <x v="3"/>
    <n v="1"/>
    <n v="34.92"/>
  </r>
  <r>
    <n v="909"/>
    <x v="5"/>
    <n v="26"/>
    <x v="0"/>
    <n v="51.9"/>
    <n v="2"/>
    <n v="173"/>
    <n v="133"/>
    <n v="54"/>
    <x v="143"/>
    <x v="589"/>
    <x v="1"/>
    <n v="26.6"/>
    <n v="2.2999999999999998"/>
    <x v="3"/>
    <n v="1"/>
    <n v="12.97"/>
  </r>
  <r>
    <n v="910"/>
    <x v="5"/>
    <n v="28"/>
    <x v="0"/>
    <n v="58.3"/>
    <n v="2"/>
    <n v="198"/>
    <n v="135"/>
    <n v="65"/>
    <x v="31"/>
    <x v="197"/>
    <x v="3"/>
    <n v="28.2"/>
    <n v="3"/>
    <x v="0"/>
    <n v="2"/>
    <n v="14.57"/>
  </r>
  <r>
    <n v="911"/>
    <x v="8"/>
    <n v="32"/>
    <x v="0"/>
    <n v="89.8"/>
    <n v="1.92"/>
    <n v="199"/>
    <n v="168"/>
    <n v="67"/>
    <x v="59"/>
    <x v="590"/>
    <x v="3"/>
    <n v="10.6"/>
    <n v="3.5"/>
    <x v="0"/>
    <n v="3"/>
    <n v="24.36"/>
  </r>
  <r>
    <n v="912"/>
    <x v="2"/>
    <n v="41"/>
    <x v="0"/>
    <n v="101.1"/>
    <n v="1.83"/>
    <n v="160"/>
    <n v="162"/>
    <n v="66"/>
    <x v="146"/>
    <x v="339"/>
    <x v="0"/>
    <n v="28.6"/>
    <n v="3.2"/>
    <x v="3"/>
    <n v="1"/>
    <n v="30.19"/>
  </r>
  <r>
    <n v="913"/>
    <x v="6"/>
    <n v="55"/>
    <x v="0"/>
    <n v="118.6"/>
    <n v="1.72"/>
    <n v="163"/>
    <n v="168"/>
    <n v="67"/>
    <x v="104"/>
    <x v="481"/>
    <x v="3"/>
    <n v="25.9"/>
    <n v="2.6"/>
    <x v="1"/>
    <n v="1"/>
    <n v="40.090000000000003"/>
  </r>
  <r>
    <n v="914"/>
    <x v="2"/>
    <n v="52"/>
    <x v="0"/>
    <n v="84.8"/>
    <n v="1.85"/>
    <n v="189"/>
    <n v="152"/>
    <n v="50"/>
    <x v="17"/>
    <x v="7"/>
    <x v="2"/>
    <n v="23.4"/>
    <n v="3.2"/>
    <x v="3"/>
    <n v="1"/>
    <n v="24.78"/>
  </r>
  <r>
    <n v="915"/>
    <x v="9"/>
    <n v="47"/>
    <x v="0"/>
    <n v="80"/>
    <n v="1.77"/>
    <n v="171"/>
    <n v="149"/>
    <n v="68"/>
    <x v="129"/>
    <x v="591"/>
    <x v="1"/>
    <n v="28.2"/>
    <n v="3.5"/>
    <x v="1"/>
    <n v="1"/>
    <n v="25.54"/>
  </r>
  <r>
    <n v="916"/>
    <x v="3"/>
    <n v="48"/>
    <x v="0"/>
    <n v="73.099999999999994"/>
    <n v="1.83"/>
    <n v="194"/>
    <n v="131"/>
    <n v="71"/>
    <x v="95"/>
    <x v="592"/>
    <x v="0"/>
    <n v="28"/>
    <n v="2.8"/>
    <x v="0"/>
    <n v="2"/>
    <n v="21.83"/>
  </r>
  <r>
    <n v="917"/>
    <x v="5"/>
    <n v="22"/>
    <x v="0"/>
    <n v="117.3"/>
    <n v="1.68"/>
    <n v="172"/>
    <n v="134"/>
    <n v="57"/>
    <x v="12"/>
    <x v="353"/>
    <x v="0"/>
    <n v="28.5"/>
    <n v="2.7"/>
    <x v="1"/>
    <n v="2"/>
    <n v="41.56"/>
  </r>
  <r>
    <n v="918"/>
    <x v="3"/>
    <n v="31"/>
    <x v="1"/>
    <n v="77.400000000000006"/>
    <n v="1.71"/>
    <n v="190"/>
    <n v="137"/>
    <n v="52"/>
    <x v="32"/>
    <x v="274"/>
    <x v="2"/>
    <n v="26.2"/>
    <n v="1.8"/>
    <x v="0"/>
    <n v="2"/>
    <n v="26.47"/>
  </r>
  <r>
    <n v="919"/>
    <x v="3"/>
    <n v="28"/>
    <x v="1"/>
    <n v="72.900000000000006"/>
    <n v="1.67"/>
    <n v="197"/>
    <n v="147"/>
    <n v="74"/>
    <x v="15"/>
    <x v="398"/>
    <x v="2"/>
    <n v="34.700000000000003"/>
    <n v="2.2000000000000002"/>
    <x v="1"/>
    <n v="2"/>
    <n v="26.14"/>
  </r>
  <r>
    <n v="920"/>
    <x v="3"/>
    <n v="26"/>
    <x v="1"/>
    <n v="71.2"/>
    <n v="1.5"/>
    <n v="182"/>
    <n v="142"/>
    <n v="54"/>
    <x v="11"/>
    <x v="33"/>
    <x v="2"/>
    <n v="34.6"/>
    <n v="2.6"/>
    <x v="3"/>
    <n v="1"/>
    <n v="31.64"/>
  </r>
  <r>
    <n v="921"/>
    <x v="5"/>
    <n v="51"/>
    <x v="0"/>
    <n v="88.2"/>
    <n v="1.62"/>
    <n v="163"/>
    <n v="133"/>
    <n v="72"/>
    <x v="120"/>
    <x v="593"/>
    <x v="2"/>
    <n v="11.8"/>
    <n v="3.5"/>
    <x v="0"/>
    <n v="3"/>
    <n v="33.61"/>
  </r>
  <r>
    <n v="922"/>
    <x v="4"/>
    <n v="29"/>
    <x v="1"/>
    <n v="75.599999999999994"/>
    <n v="1.8"/>
    <n v="175"/>
    <n v="149"/>
    <n v="57"/>
    <x v="34"/>
    <x v="594"/>
    <x v="0"/>
    <n v="25.7"/>
    <n v="1.9"/>
    <x v="0"/>
    <n v="2"/>
    <n v="23.33"/>
  </r>
  <r>
    <n v="923"/>
    <x v="1"/>
    <n v="52"/>
    <x v="1"/>
    <n v="57.9"/>
    <n v="1.56"/>
    <n v="166"/>
    <n v="152"/>
    <n v="68"/>
    <x v="97"/>
    <x v="595"/>
    <x v="1"/>
    <n v="15.8"/>
    <n v="2.7"/>
    <x v="0"/>
    <n v="3"/>
    <n v="23.79"/>
  </r>
  <r>
    <n v="924"/>
    <x v="9"/>
    <n v="52"/>
    <x v="1"/>
    <n v="70.599999999999994"/>
    <n v="1.58"/>
    <n v="181"/>
    <n v="164"/>
    <n v="67"/>
    <x v="73"/>
    <x v="368"/>
    <x v="1"/>
    <n v="34.9"/>
    <n v="2"/>
    <x v="1"/>
    <n v="2"/>
    <n v="28.28"/>
  </r>
  <r>
    <n v="925"/>
    <x v="4"/>
    <n v="18"/>
    <x v="0"/>
    <n v="118.6"/>
    <n v="1.64"/>
    <n v="188"/>
    <n v="134"/>
    <n v="67"/>
    <x v="133"/>
    <x v="498"/>
    <x v="2"/>
    <n v="25.6"/>
    <n v="2.7"/>
    <x v="1"/>
    <n v="1"/>
    <n v="44.1"/>
  </r>
  <r>
    <n v="926"/>
    <x v="9"/>
    <n v="57"/>
    <x v="0"/>
    <n v="55.7"/>
    <n v="1.99"/>
    <n v="170"/>
    <n v="126"/>
    <n v="70"/>
    <x v="15"/>
    <x v="408"/>
    <x v="3"/>
    <n v="23.6"/>
    <n v="3"/>
    <x v="1"/>
    <n v="2"/>
    <n v="14.07"/>
  </r>
  <r>
    <n v="927"/>
    <x v="7"/>
    <n v="39"/>
    <x v="0"/>
    <n v="102.3"/>
    <n v="1.94"/>
    <n v="192"/>
    <n v="134"/>
    <n v="50"/>
    <x v="50"/>
    <x v="437"/>
    <x v="0"/>
    <n v="22.9"/>
    <n v="2.4"/>
    <x v="1"/>
    <n v="1"/>
    <n v="27.18"/>
  </r>
  <r>
    <n v="928"/>
    <x v="2"/>
    <n v="46"/>
    <x v="0"/>
    <n v="72.599999999999994"/>
    <n v="1.87"/>
    <n v="188"/>
    <n v="161"/>
    <n v="64"/>
    <x v="34"/>
    <x v="596"/>
    <x v="1"/>
    <n v="22.6"/>
    <n v="3.4"/>
    <x v="0"/>
    <n v="2"/>
    <n v="20.76"/>
  </r>
  <r>
    <n v="929"/>
    <x v="2"/>
    <n v="25"/>
    <x v="1"/>
    <n v="63.8"/>
    <n v="1.68"/>
    <n v="198"/>
    <n v="165"/>
    <n v="67"/>
    <x v="142"/>
    <x v="597"/>
    <x v="2"/>
    <n v="31.6"/>
    <n v="1.9"/>
    <x v="3"/>
    <n v="1"/>
    <n v="22.6"/>
  </r>
  <r>
    <n v="930"/>
    <x v="0"/>
    <n v="28"/>
    <x v="1"/>
    <n v="67.3"/>
    <n v="1.67"/>
    <n v="171"/>
    <n v="157"/>
    <n v="74"/>
    <x v="138"/>
    <x v="465"/>
    <x v="3"/>
    <n v="29.2"/>
    <n v="2.2999999999999998"/>
    <x v="1"/>
    <n v="1"/>
    <n v="24.13"/>
  </r>
  <r>
    <n v="931"/>
    <x v="2"/>
    <n v="58"/>
    <x v="1"/>
    <n v="59.3"/>
    <n v="1.58"/>
    <n v="166"/>
    <n v="165"/>
    <n v="56"/>
    <x v="47"/>
    <x v="598"/>
    <x v="3"/>
    <n v="19.8"/>
    <n v="2.7"/>
    <x v="0"/>
    <n v="3"/>
    <n v="23.75"/>
  </r>
  <r>
    <n v="932"/>
    <x v="5"/>
    <n v="54"/>
    <x v="1"/>
    <n v="70.7"/>
    <n v="1.57"/>
    <n v="198"/>
    <n v="163"/>
    <n v="65"/>
    <x v="36"/>
    <x v="48"/>
    <x v="2"/>
    <n v="31.8"/>
    <n v="2.1"/>
    <x v="1"/>
    <n v="1"/>
    <n v="28.68"/>
  </r>
  <r>
    <n v="933"/>
    <x v="6"/>
    <n v="31"/>
    <x v="0"/>
    <n v="86.9"/>
    <n v="1.69"/>
    <n v="185"/>
    <n v="130"/>
    <n v="65"/>
    <x v="71"/>
    <x v="599"/>
    <x v="0"/>
    <n v="14"/>
    <n v="3.5"/>
    <x v="0"/>
    <n v="3"/>
    <n v="30.43"/>
  </r>
  <r>
    <n v="934"/>
    <x v="8"/>
    <n v="47"/>
    <x v="0"/>
    <n v="98.2"/>
    <n v="1.9"/>
    <n v="199"/>
    <n v="148"/>
    <n v="64"/>
    <x v="134"/>
    <x v="600"/>
    <x v="1"/>
    <n v="22.9"/>
    <n v="3"/>
    <x v="1"/>
    <n v="1"/>
    <n v="27.2"/>
  </r>
  <r>
    <n v="935"/>
    <x v="0"/>
    <n v="52"/>
    <x v="0"/>
    <n v="63.6"/>
    <n v="1.62"/>
    <n v="168"/>
    <n v="150"/>
    <n v="55"/>
    <x v="1"/>
    <x v="541"/>
    <x v="3"/>
    <n v="20.8"/>
    <n v="2.2999999999999998"/>
    <x v="0"/>
    <n v="2"/>
    <n v="24.23"/>
  </r>
  <r>
    <n v="936"/>
    <x v="8"/>
    <n v="38"/>
    <x v="1"/>
    <n v="45.2"/>
    <n v="1.68"/>
    <n v="193"/>
    <n v="144"/>
    <n v="58"/>
    <x v="69"/>
    <x v="601"/>
    <x v="1"/>
    <n v="29.9"/>
    <n v="2.4"/>
    <x v="1"/>
    <n v="2"/>
    <n v="16.010000000000002"/>
  </r>
  <r>
    <n v="937"/>
    <x v="9"/>
    <n v="54"/>
    <x v="0"/>
    <n v="117.2"/>
    <n v="1.62"/>
    <n v="172"/>
    <n v="143"/>
    <n v="56"/>
    <x v="29"/>
    <x v="602"/>
    <x v="1"/>
    <n v="23.1"/>
    <n v="2.2999999999999998"/>
    <x v="0"/>
    <n v="2"/>
    <n v="44.66"/>
  </r>
  <r>
    <n v="938"/>
    <x v="8"/>
    <n v="22"/>
    <x v="0"/>
    <n v="107.4"/>
    <n v="1.74"/>
    <n v="195"/>
    <n v="138"/>
    <n v="63"/>
    <x v="33"/>
    <x v="603"/>
    <x v="3"/>
    <n v="22"/>
    <n v="2.2000000000000002"/>
    <x v="3"/>
    <n v="1"/>
    <n v="35.47"/>
  </r>
  <r>
    <n v="939"/>
    <x v="8"/>
    <n v="36"/>
    <x v="1"/>
    <n v="59.1"/>
    <n v="1.78"/>
    <n v="184"/>
    <n v="121"/>
    <n v="60"/>
    <x v="124"/>
    <x v="604"/>
    <x v="2"/>
    <n v="34.5"/>
    <n v="2.2000000000000002"/>
    <x v="3"/>
    <n v="1"/>
    <n v="18.649999999999999"/>
  </r>
  <r>
    <n v="940"/>
    <x v="0"/>
    <n v="31"/>
    <x v="1"/>
    <n v="53.3"/>
    <n v="1.64"/>
    <n v="183"/>
    <n v="141"/>
    <n v="70"/>
    <x v="121"/>
    <x v="605"/>
    <x v="3"/>
    <n v="29.4"/>
    <n v="2.4"/>
    <x v="1"/>
    <n v="1"/>
    <n v="19.82"/>
  </r>
  <r>
    <n v="941"/>
    <x v="7"/>
    <n v="43"/>
    <x v="0"/>
    <n v="46.2"/>
    <n v="1.63"/>
    <n v="176"/>
    <n v="139"/>
    <n v="65"/>
    <x v="13"/>
    <x v="606"/>
    <x v="3"/>
    <n v="21.7"/>
    <n v="2.1"/>
    <x v="3"/>
    <n v="1"/>
    <n v="17.39"/>
  </r>
  <r>
    <n v="942"/>
    <x v="3"/>
    <n v="21"/>
    <x v="0"/>
    <n v="67"/>
    <n v="1.61"/>
    <n v="161"/>
    <n v="152"/>
    <n v="74"/>
    <x v="31"/>
    <x v="28"/>
    <x v="0"/>
    <n v="22"/>
    <n v="2.1"/>
    <x v="1"/>
    <n v="2"/>
    <n v="25.85"/>
  </r>
  <r>
    <n v="943"/>
    <x v="2"/>
    <n v="42"/>
    <x v="0"/>
    <n v="86.3"/>
    <n v="1.77"/>
    <n v="172"/>
    <n v="127"/>
    <n v="55"/>
    <x v="127"/>
    <x v="607"/>
    <x v="1"/>
    <n v="11.4"/>
    <n v="3.5"/>
    <x v="0"/>
    <n v="3"/>
    <n v="27.55"/>
  </r>
  <r>
    <n v="944"/>
    <x v="2"/>
    <n v="59"/>
    <x v="0"/>
    <n v="85.5"/>
    <n v="1.67"/>
    <n v="190"/>
    <n v="144"/>
    <n v="71"/>
    <x v="49"/>
    <x v="62"/>
    <x v="2"/>
    <n v="15"/>
    <n v="3.5"/>
    <x v="2"/>
    <n v="3"/>
    <n v="30.66"/>
  </r>
  <r>
    <n v="945"/>
    <x v="5"/>
    <n v="42"/>
    <x v="0"/>
    <n v="70.2"/>
    <n v="1.87"/>
    <n v="188"/>
    <n v="165"/>
    <n v="65"/>
    <x v="82"/>
    <x v="608"/>
    <x v="1"/>
    <n v="22.7"/>
    <n v="3.4"/>
    <x v="1"/>
    <n v="2"/>
    <n v="20.07"/>
  </r>
  <r>
    <n v="946"/>
    <x v="0"/>
    <n v="35"/>
    <x v="0"/>
    <n v="127.1"/>
    <n v="1.62"/>
    <n v="187"/>
    <n v="128"/>
    <n v="69"/>
    <x v="73"/>
    <x v="383"/>
    <x v="3"/>
    <n v="23.3"/>
    <n v="3.4"/>
    <x v="0"/>
    <n v="2"/>
    <n v="48.43"/>
  </r>
  <r>
    <n v="947"/>
    <x v="5"/>
    <n v="57"/>
    <x v="1"/>
    <n v="75.599999999999994"/>
    <n v="1.67"/>
    <n v="186"/>
    <n v="153"/>
    <n v="65"/>
    <x v="95"/>
    <x v="609"/>
    <x v="2"/>
    <n v="31.6"/>
    <n v="1.8"/>
    <x v="1"/>
    <n v="2"/>
    <n v="27.11"/>
  </r>
  <r>
    <n v="948"/>
    <x v="6"/>
    <n v="25"/>
    <x v="1"/>
    <n v="62.6"/>
    <n v="1.65"/>
    <n v="174"/>
    <n v="142"/>
    <n v="61"/>
    <x v="37"/>
    <x v="157"/>
    <x v="2"/>
    <n v="27.9"/>
    <n v="2.2000000000000002"/>
    <x v="1"/>
    <n v="1"/>
    <n v="22.99"/>
  </r>
  <r>
    <n v="949"/>
    <x v="6"/>
    <n v="56"/>
    <x v="1"/>
    <n v="55.7"/>
    <n v="1.53"/>
    <n v="190"/>
    <n v="124"/>
    <n v="66"/>
    <x v="81"/>
    <x v="284"/>
    <x v="2"/>
    <n v="16.100000000000001"/>
    <n v="2.7"/>
    <x v="2"/>
    <n v="3"/>
    <n v="23.79"/>
  </r>
  <r>
    <n v="950"/>
    <x v="5"/>
    <n v="57"/>
    <x v="0"/>
    <n v="96.1"/>
    <n v="1.74"/>
    <n v="199"/>
    <n v="144"/>
    <n v="54"/>
    <x v="101"/>
    <x v="610"/>
    <x v="2"/>
    <n v="21.6"/>
    <n v="2.8"/>
    <x v="1"/>
    <n v="2"/>
    <n v="31.74"/>
  </r>
  <r>
    <n v="951"/>
    <x v="0"/>
    <n v="31"/>
    <x v="1"/>
    <n v="76.7"/>
    <n v="1.62"/>
    <n v="174"/>
    <n v="127"/>
    <n v="74"/>
    <x v="68"/>
    <x v="1"/>
    <x v="0"/>
    <n v="28.1"/>
    <n v="2.2999999999999998"/>
    <x v="0"/>
    <n v="2"/>
    <n v="29.23"/>
  </r>
  <r>
    <n v="952"/>
    <x v="5"/>
    <n v="49"/>
    <x v="0"/>
    <n v="57.2"/>
    <n v="1.89"/>
    <n v="192"/>
    <n v="135"/>
    <n v="62"/>
    <x v="36"/>
    <x v="482"/>
    <x v="2"/>
    <n v="21.1"/>
    <n v="3.5"/>
    <x v="3"/>
    <n v="1"/>
    <n v="16.010000000000002"/>
  </r>
  <r>
    <n v="953"/>
    <x v="2"/>
    <n v="55"/>
    <x v="0"/>
    <n v="69.900000000000006"/>
    <n v="1.81"/>
    <n v="179"/>
    <n v="167"/>
    <n v="57"/>
    <x v="37"/>
    <x v="341"/>
    <x v="3"/>
    <n v="20.2"/>
    <n v="2.1"/>
    <x v="0"/>
    <n v="2"/>
    <n v="21.34"/>
  </r>
  <r>
    <n v="954"/>
    <x v="4"/>
    <n v="50"/>
    <x v="1"/>
    <n v="67.900000000000006"/>
    <n v="1.77"/>
    <n v="171"/>
    <n v="164"/>
    <n v="73"/>
    <x v="8"/>
    <x v="611"/>
    <x v="0"/>
    <n v="33"/>
    <n v="2.4"/>
    <x v="1"/>
    <n v="2"/>
    <n v="21.67"/>
  </r>
  <r>
    <n v="955"/>
    <x v="1"/>
    <n v="40"/>
    <x v="0"/>
    <n v="87.9"/>
    <n v="1.87"/>
    <n v="196"/>
    <n v="134"/>
    <n v="54"/>
    <x v="139"/>
    <x v="612"/>
    <x v="3"/>
    <n v="10.7"/>
    <n v="3.5"/>
    <x v="2"/>
    <n v="3"/>
    <n v="25.14"/>
  </r>
  <r>
    <n v="956"/>
    <x v="8"/>
    <n v="32"/>
    <x v="0"/>
    <n v="102.8"/>
    <n v="1.98"/>
    <n v="168"/>
    <n v="120"/>
    <n v="61"/>
    <x v="12"/>
    <x v="428"/>
    <x v="3"/>
    <n v="27.8"/>
    <n v="2.8"/>
    <x v="1"/>
    <n v="2"/>
    <n v="26.22"/>
  </r>
  <r>
    <n v="957"/>
    <x v="1"/>
    <n v="50"/>
    <x v="1"/>
    <n v="51.8"/>
    <n v="1.5"/>
    <n v="182"/>
    <n v="141"/>
    <n v="58"/>
    <x v="31"/>
    <x v="327"/>
    <x v="1"/>
    <n v="33"/>
    <n v="2.2000000000000002"/>
    <x v="1"/>
    <n v="1"/>
    <n v="23.02"/>
  </r>
  <r>
    <n v="958"/>
    <x v="0"/>
    <n v="42"/>
    <x v="1"/>
    <n v="57.7"/>
    <n v="1.57"/>
    <n v="167"/>
    <n v="122"/>
    <n v="52"/>
    <x v="100"/>
    <x v="336"/>
    <x v="2"/>
    <n v="17.7"/>
    <n v="2.7"/>
    <x v="0"/>
    <n v="3"/>
    <n v="23.41"/>
  </r>
  <r>
    <n v="959"/>
    <x v="1"/>
    <n v="34"/>
    <x v="1"/>
    <n v="66.5"/>
    <n v="1.69"/>
    <n v="191"/>
    <n v="157"/>
    <n v="52"/>
    <x v="42"/>
    <x v="613"/>
    <x v="2"/>
    <n v="28.1"/>
    <n v="2.2999999999999998"/>
    <x v="1"/>
    <n v="1"/>
    <n v="23.28"/>
  </r>
  <r>
    <n v="960"/>
    <x v="6"/>
    <n v="50"/>
    <x v="0"/>
    <n v="95.4"/>
    <n v="1.61"/>
    <n v="173"/>
    <n v="133"/>
    <n v="50"/>
    <x v="62"/>
    <x v="275"/>
    <x v="3"/>
    <n v="21.5"/>
    <n v="3.6"/>
    <x v="0"/>
    <n v="2"/>
    <n v="36.799999999999997"/>
  </r>
  <r>
    <n v="961"/>
    <x v="9"/>
    <n v="19"/>
    <x v="1"/>
    <n v="69.2"/>
    <n v="1.6"/>
    <n v="186"/>
    <n v="155"/>
    <n v="74"/>
    <x v="21"/>
    <x v="390"/>
    <x v="2"/>
    <n v="32.4"/>
    <n v="1.6"/>
    <x v="1"/>
    <n v="1"/>
    <n v="27.03"/>
  </r>
  <r>
    <n v="962"/>
    <x v="8"/>
    <n v="31"/>
    <x v="1"/>
    <n v="66.599999999999994"/>
    <n v="1.67"/>
    <n v="184"/>
    <n v="137"/>
    <n v="71"/>
    <x v="73"/>
    <x v="213"/>
    <x v="0"/>
    <n v="31"/>
    <n v="1.5"/>
    <x v="0"/>
    <n v="2"/>
    <n v="23.88"/>
  </r>
  <r>
    <n v="963"/>
    <x v="3"/>
    <n v="57"/>
    <x v="0"/>
    <n v="83.4"/>
    <n v="1.65"/>
    <n v="172"/>
    <n v="166"/>
    <n v="67"/>
    <x v="90"/>
    <x v="614"/>
    <x v="1"/>
    <n v="13.3"/>
    <n v="3.5"/>
    <x v="0"/>
    <n v="3"/>
    <n v="30.63"/>
  </r>
  <r>
    <n v="964"/>
    <x v="0"/>
    <n v="57"/>
    <x v="1"/>
    <n v="43.8"/>
    <n v="1.75"/>
    <n v="180"/>
    <n v="160"/>
    <n v="73"/>
    <x v="68"/>
    <x v="567"/>
    <x v="2"/>
    <n v="25.1"/>
    <n v="1.7"/>
    <x v="3"/>
    <n v="1"/>
    <n v="14.3"/>
  </r>
  <r>
    <n v="965"/>
    <x v="8"/>
    <n v="56"/>
    <x v="1"/>
    <n v="64.2"/>
    <n v="1.69"/>
    <n v="190"/>
    <n v="137"/>
    <n v="61"/>
    <x v="49"/>
    <x v="615"/>
    <x v="2"/>
    <n v="19.600000000000001"/>
    <n v="2.7"/>
    <x v="2"/>
    <n v="3"/>
    <n v="22.48"/>
  </r>
  <r>
    <n v="966"/>
    <x v="1"/>
    <n v="23"/>
    <x v="1"/>
    <n v="44.1"/>
    <n v="1.62"/>
    <n v="196"/>
    <n v="122"/>
    <n v="58"/>
    <x v="61"/>
    <x v="442"/>
    <x v="0"/>
    <n v="25.7"/>
    <n v="2.7"/>
    <x v="3"/>
    <n v="1"/>
    <n v="16.8"/>
  </r>
  <r>
    <n v="967"/>
    <x v="6"/>
    <n v="23"/>
    <x v="0"/>
    <n v="87.3"/>
    <n v="1.91"/>
    <n v="164"/>
    <n v="129"/>
    <n v="58"/>
    <x v="55"/>
    <x v="616"/>
    <x v="1"/>
    <n v="11.8"/>
    <n v="3.5"/>
    <x v="2"/>
    <n v="3"/>
    <n v="23.93"/>
  </r>
  <r>
    <n v="968"/>
    <x v="7"/>
    <n v="20"/>
    <x v="0"/>
    <n v="55"/>
    <n v="1.6"/>
    <n v="172"/>
    <n v="168"/>
    <n v="67"/>
    <x v="20"/>
    <x v="617"/>
    <x v="0"/>
    <n v="24"/>
    <n v="3.2"/>
    <x v="0"/>
    <n v="2"/>
    <n v="21.48"/>
  </r>
  <r>
    <n v="969"/>
    <x v="4"/>
    <n v="24"/>
    <x v="0"/>
    <n v="87.1"/>
    <n v="1.74"/>
    <n v="187"/>
    <n v="158"/>
    <n v="67"/>
    <x v="90"/>
    <x v="618"/>
    <x v="3"/>
    <n v="10"/>
    <n v="3.5"/>
    <x v="0"/>
    <n v="3"/>
    <n v="28.77"/>
  </r>
  <r>
    <n v="970"/>
    <x v="3"/>
    <n v="25"/>
    <x v="0"/>
    <n v="66.599999999999994"/>
    <n v="1.61"/>
    <n v="184"/>
    <n v="166"/>
    <n v="56"/>
    <x v="82"/>
    <x v="619"/>
    <x v="3"/>
    <n v="25"/>
    <n v="3"/>
    <x v="3"/>
    <n v="1"/>
    <n v="25.69"/>
  </r>
  <r>
    <n v="971"/>
    <x v="4"/>
    <n v="59"/>
    <x v="1"/>
    <n v="60.4"/>
    <n v="1.76"/>
    <n v="194"/>
    <n v="120"/>
    <n v="53"/>
    <x v="71"/>
    <x v="181"/>
    <x v="2"/>
    <n v="18.8"/>
    <n v="2.7"/>
    <x v="2"/>
    <n v="3"/>
    <n v="19.5"/>
  </r>
  <r>
    <n v="972"/>
    <x v="8"/>
    <n v="32"/>
    <x v="0"/>
    <n v="126.4"/>
    <n v="1.83"/>
    <n v="198"/>
    <n v="146"/>
    <n v="62"/>
    <x v="94"/>
    <x v="1"/>
    <x v="1"/>
    <n v="28.2"/>
    <n v="2.1"/>
    <x v="1"/>
    <n v="2"/>
    <n v="37.74"/>
  </r>
  <r>
    <n v="973"/>
    <x v="6"/>
    <n v="46"/>
    <x v="0"/>
    <n v="88.7"/>
    <n v="1.63"/>
    <n v="166"/>
    <n v="146"/>
    <n v="66"/>
    <x v="143"/>
    <x v="620"/>
    <x v="3"/>
    <n v="28.8"/>
    <n v="3.5"/>
    <x v="3"/>
    <n v="1"/>
    <n v="33.38000000000000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3">
  <r>
    <n v="1"/>
    <x v="0"/>
    <n v="56"/>
    <s v="Male"/>
    <n v="88.3"/>
    <n v="1.71"/>
    <n v="180"/>
    <n v="157"/>
    <n v="60"/>
    <n v="1.69"/>
    <n v="1313"/>
    <s v="Yoga"/>
    <n v="12.6"/>
    <n v="3.5"/>
    <n v="4"/>
    <n v="3"/>
    <n v="30.2"/>
    <x v="0"/>
  </r>
  <r>
    <n v="2"/>
    <x v="1"/>
    <n v="46"/>
    <s v="Female"/>
    <n v="74.900000000000006"/>
    <n v="1.53"/>
    <n v="179"/>
    <n v="151"/>
    <n v="66"/>
    <n v="1.3"/>
    <n v="883"/>
    <s v="HIIT"/>
    <n v="33.9"/>
    <n v="2.1"/>
    <n v="4"/>
    <n v="2"/>
    <n v="32"/>
    <x v="0"/>
  </r>
  <r>
    <n v="3"/>
    <x v="2"/>
    <n v="32"/>
    <s v="Female"/>
    <n v="68.099999999999994"/>
    <n v="1.66"/>
    <n v="167"/>
    <n v="122"/>
    <n v="54"/>
    <n v="1.1100000000000001"/>
    <n v="677"/>
    <s v="Cardio"/>
    <n v="33.4"/>
    <n v="2.2999999999999998"/>
    <n v="4"/>
    <n v="2"/>
    <n v="24.71"/>
    <x v="1"/>
  </r>
  <r>
    <n v="4"/>
    <x v="3"/>
    <n v="25"/>
    <s v="Male"/>
    <n v="53.2"/>
    <n v="1.7"/>
    <n v="190"/>
    <n v="164"/>
    <n v="56"/>
    <n v="0.59"/>
    <n v="532"/>
    <s v="Strength"/>
    <n v="28.8"/>
    <n v="2.1"/>
    <n v="3"/>
    <n v="1"/>
    <n v="18.41"/>
    <x v="2"/>
  </r>
  <r>
    <n v="5"/>
    <x v="0"/>
    <n v="38"/>
    <s v="Male"/>
    <n v="46.1"/>
    <n v="1.79"/>
    <n v="188"/>
    <n v="158"/>
    <n v="68"/>
    <n v="0.64"/>
    <n v="556"/>
    <s v="Strength"/>
    <n v="29.2"/>
    <n v="2.8"/>
    <n v="3"/>
    <n v="1"/>
    <n v="14.39"/>
    <x v="2"/>
  </r>
  <r>
    <n v="6"/>
    <x v="4"/>
    <n v="56"/>
    <s v="Female"/>
    <n v="58"/>
    <n v="1.68"/>
    <n v="168"/>
    <n v="156"/>
    <n v="74"/>
    <n v="1.59"/>
    <n v="1116"/>
    <s v="HIIT"/>
    <n v="15.5"/>
    <n v="2.7"/>
    <n v="5"/>
    <n v="3"/>
    <n v="20.55"/>
    <x v="1"/>
  </r>
  <r>
    <n v="7"/>
    <x v="5"/>
    <n v="36"/>
    <s v="Male"/>
    <n v="70.3"/>
    <n v="1.72"/>
    <n v="174"/>
    <n v="169"/>
    <n v="73"/>
    <n v="1.49"/>
    <n v="1385"/>
    <s v="Cardio"/>
    <n v="21.3"/>
    <n v="2.2999999999999998"/>
    <n v="3"/>
    <n v="2"/>
    <n v="23.76"/>
    <x v="1"/>
  </r>
  <r>
    <n v="8"/>
    <x v="0"/>
    <n v="40"/>
    <s v="Female"/>
    <n v="69.7"/>
    <n v="1.51"/>
    <n v="189"/>
    <n v="141"/>
    <n v="64"/>
    <n v="1.27"/>
    <n v="895"/>
    <s v="Cardio"/>
    <n v="30.6"/>
    <n v="1.9"/>
    <n v="3"/>
    <n v="2"/>
    <n v="30.57"/>
    <x v="0"/>
  </r>
  <r>
    <n v="9"/>
    <x v="2"/>
    <n v="28"/>
    <s v="Male"/>
    <n v="121.7"/>
    <n v="1.94"/>
    <n v="185"/>
    <n v="127"/>
    <n v="52"/>
    <n v="1.03"/>
    <n v="719"/>
    <s v="Strength"/>
    <n v="28.9"/>
    <n v="2.6"/>
    <n v="4"/>
    <n v="2"/>
    <n v="32.340000000000003"/>
    <x v="0"/>
  </r>
  <r>
    <n v="10"/>
    <x v="3"/>
    <n v="28"/>
    <s v="Male"/>
    <n v="101.8"/>
    <n v="1.84"/>
    <n v="169"/>
    <n v="136"/>
    <n v="64"/>
    <n v="1.08"/>
    <n v="808"/>
    <s v="Cardio"/>
    <n v="29.7"/>
    <n v="2.7"/>
    <n v="3"/>
    <n v="1"/>
    <n v="30.07"/>
    <x v="0"/>
  </r>
  <r>
    <n v="11"/>
    <x v="1"/>
    <n v="41"/>
    <s v="Male"/>
    <n v="120.8"/>
    <n v="1.67"/>
    <n v="188"/>
    <n v="146"/>
    <n v="54"/>
    <n v="0.82"/>
    <n v="593"/>
    <s v="HIIT"/>
    <n v="20.5"/>
    <n v="3"/>
    <n v="2"/>
    <n v="1"/>
    <n v="43.31"/>
    <x v="0"/>
  </r>
  <r>
    <n v="12"/>
    <x v="2"/>
    <n v="53"/>
    <s v="Male"/>
    <n v="51.7"/>
    <n v="1.7"/>
    <n v="175"/>
    <n v="152"/>
    <n v="72"/>
    <n v="1.1499999999999999"/>
    <n v="865"/>
    <s v="HIIT"/>
    <n v="23.6"/>
    <n v="3.5"/>
    <n v="3"/>
    <n v="2"/>
    <n v="17.89"/>
    <x v="2"/>
  </r>
  <r>
    <n v="13"/>
    <x v="2"/>
    <n v="57"/>
    <s v="Male"/>
    <n v="112.5"/>
    <n v="1.61"/>
    <n v="195"/>
    <n v="165"/>
    <n v="61"/>
    <n v="1.24"/>
    <n v="1013"/>
    <s v="Cardio"/>
    <n v="22.1"/>
    <n v="2.7"/>
    <n v="3"/>
    <n v="2"/>
    <n v="43.4"/>
    <x v="0"/>
  </r>
  <r>
    <n v="14"/>
    <x v="5"/>
    <n v="41"/>
    <s v="Male"/>
    <n v="94.5"/>
    <n v="2"/>
    <n v="179"/>
    <n v="136"/>
    <n v="69"/>
    <n v="1.18"/>
    <n v="794"/>
    <s v="HIIT"/>
    <n v="27.6"/>
    <n v="3.7"/>
    <n v="3"/>
    <n v="1"/>
    <n v="23.62"/>
    <x v="1"/>
  </r>
  <r>
    <n v="15"/>
    <x v="6"/>
    <n v="20"/>
    <s v="Male"/>
    <n v="117.7"/>
    <n v="1.81"/>
    <n v="196"/>
    <n v="161"/>
    <n v="54"/>
    <n v="1.35"/>
    <n v="1195"/>
    <s v="Yoga"/>
    <n v="26.4"/>
    <n v="3.3"/>
    <n v="3"/>
    <n v="2"/>
    <n v="35.93"/>
    <x v="0"/>
  </r>
  <r>
    <n v="16"/>
    <x v="3"/>
    <n v="39"/>
    <s v="Female"/>
    <n v="42.5"/>
    <n v="1.75"/>
    <n v="181"/>
    <n v="131"/>
    <n v="52"/>
    <n v="1.1299999999999999"/>
    <n v="740"/>
    <s v="Strength"/>
    <n v="26.2"/>
    <n v="2.1"/>
    <n v="2"/>
    <n v="1"/>
    <n v="13.88"/>
    <x v="2"/>
  </r>
  <r>
    <n v="17"/>
    <x v="7"/>
    <n v="19"/>
    <s v="Female"/>
    <n v="64"/>
    <n v="1.53"/>
    <n v="166"/>
    <n v="167"/>
    <n v="58"/>
    <n v="1.33"/>
    <n v="1111"/>
    <s v="HIIT"/>
    <n v="29.8"/>
    <n v="2.2999999999999998"/>
    <n v="3"/>
    <n v="2"/>
    <n v="27.34"/>
    <x v="3"/>
  </r>
  <r>
    <n v="18"/>
    <x v="2"/>
    <n v="41"/>
    <s v="Female"/>
    <n v="43.8"/>
    <n v="1.77"/>
    <n v="182"/>
    <n v="165"/>
    <n v="58"/>
    <n v="1.19"/>
    <n v="884"/>
    <s v="Cardio"/>
    <n v="31.9"/>
    <n v="1.6"/>
    <n v="3"/>
    <n v="1"/>
    <n v="13.98"/>
    <x v="2"/>
  </r>
  <r>
    <n v="19"/>
    <x v="6"/>
    <n v="47"/>
    <s v="Female"/>
    <n v="66.8"/>
    <n v="1.75"/>
    <n v="199"/>
    <n v="146"/>
    <n v="56"/>
    <n v="1.1299999999999999"/>
    <n v="742"/>
    <s v="Strength"/>
    <n v="32.799999999999997"/>
    <n v="2.5"/>
    <n v="3"/>
    <n v="2"/>
    <n v="21.81"/>
    <x v="1"/>
  </r>
  <r>
    <n v="20"/>
    <x v="7"/>
    <n v="55"/>
    <s v="Female"/>
    <n v="75.2"/>
    <n v="1.67"/>
    <n v="188"/>
    <n v="167"/>
    <n v="51"/>
    <n v="1.37"/>
    <n v="1030"/>
    <s v="HIIT"/>
    <n v="25.2"/>
    <n v="2.2000000000000002"/>
    <n v="2"/>
    <n v="1"/>
    <n v="26.96"/>
    <x v="3"/>
  </r>
  <r>
    <n v="21"/>
    <x v="3"/>
    <n v="19"/>
    <s v="Male"/>
    <n v="89"/>
    <n v="1.77"/>
    <n v="175"/>
    <n v="127"/>
    <n v="72"/>
    <n v="1.5"/>
    <n v="1048"/>
    <s v="Strength"/>
    <n v="28.9"/>
    <n v="3.7"/>
    <n v="4"/>
    <n v="2"/>
    <n v="28.41"/>
    <x v="3"/>
  </r>
  <r>
    <n v="22"/>
    <x v="8"/>
    <n v="38"/>
    <s v="Male"/>
    <n v="71.900000000000006"/>
    <n v="1.77"/>
    <n v="197"/>
    <n v="142"/>
    <n v="72"/>
    <n v="1.1200000000000001"/>
    <n v="875"/>
    <s v="Cardio"/>
    <n v="25.7"/>
    <n v="3.1"/>
    <n v="2"/>
    <n v="1"/>
    <n v="22.95"/>
    <x v="1"/>
  </r>
  <r>
    <n v="23"/>
    <x v="4"/>
    <n v="50"/>
    <s v="Female"/>
    <n v="71"/>
    <n v="1.68"/>
    <n v="187"/>
    <n v="161"/>
    <n v="70"/>
    <n v="1.17"/>
    <n v="848"/>
    <s v="Yoga"/>
    <n v="33.1"/>
    <n v="2.5"/>
    <n v="2"/>
    <n v="1"/>
    <n v="25.16"/>
    <x v="3"/>
  </r>
  <r>
    <n v="24"/>
    <x v="6"/>
    <n v="29"/>
    <s v="Male"/>
    <n v="120.9"/>
    <n v="1.78"/>
    <n v="197"/>
    <n v="168"/>
    <n v="65"/>
    <n v="0.78"/>
    <n v="721"/>
    <s v="Yoga"/>
    <n v="28.1"/>
    <n v="3.4"/>
    <n v="2"/>
    <n v="1"/>
    <n v="38.159999999999997"/>
    <x v="0"/>
  </r>
  <r>
    <n v="25"/>
    <x v="9"/>
    <n v="39"/>
    <s v="Female"/>
    <n v="64.3"/>
    <n v="1.69"/>
    <n v="190"/>
    <n v="148"/>
    <n v="58"/>
    <n v="1.25"/>
    <n v="925"/>
    <s v="HIIT"/>
    <n v="26.9"/>
    <n v="1.9"/>
    <n v="4"/>
    <n v="2"/>
    <n v="22.51"/>
    <x v="1"/>
  </r>
  <r>
    <n v="26"/>
    <x v="8"/>
    <n v="42"/>
    <s v="Female"/>
    <n v="63.7"/>
    <n v="1.71"/>
    <n v="173"/>
    <n v="169"/>
    <n v="62"/>
    <n v="1.42"/>
    <n v="1080"/>
    <s v="Yoga"/>
    <n v="26.1"/>
    <n v="1.8"/>
    <n v="3"/>
    <n v="2"/>
    <n v="21.78"/>
    <x v="1"/>
  </r>
  <r>
    <n v="27"/>
    <x v="4"/>
    <n v="44"/>
    <s v="Male"/>
    <n v="65.2"/>
    <n v="1.8"/>
    <n v="192"/>
    <n v="139"/>
    <n v="68"/>
    <n v="0.73"/>
    <n v="502"/>
    <s v="HIIT"/>
    <n v="27.2"/>
    <n v="2.7"/>
    <n v="2"/>
    <n v="1"/>
    <n v="20.12"/>
    <x v="1"/>
  </r>
  <r>
    <n v="28"/>
    <x v="5"/>
    <n v="59"/>
    <s v="Male"/>
    <n v="53.9"/>
    <n v="1.75"/>
    <n v="168"/>
    <n v="135"/>
    <n v="69"/>
    <n v="1.48"/>
    <n v="989"/>
    <s v="Strength"/>
    <n v="21.6"/>
    <n v="2.8"/>
    <n v="4"/>
    <n v="2"/>
    <n v="17.600000000000001"/>
    <x v="2"/>
  </r>
  <r>
    <n v="29"/>
    <x v="0"/>
    <n v="45"/>
    <s v="Male"/>
    <n v="84.9"/>
    <n v="1.86"/>
    <n v="186"/>
    <n v="136"/>
    <n v="66"/>
    <n v="1.64"/>
    <n v="1104"/>
    <s v="HIIT"/>
    <n v="14.2"/>
    <n v="3.5"/>
    <n v="5"/>
    <n v="3"/>
    <n v="24.54"/>
    <x v="1"/>
  </r>
  <r>
    <n v="30"/>
    <x v="1"/>
    <n v="33"/>
    <s v="Female"/>
    <n v="78"/>
    <n v="1.68"/>
    <n v="183"/>
    <n v="135"/>
    <n v="55"/>
    <n v="1.29"/>
    <n v="871"/>
    <s v="HIIT"/>
    <n v="32.299999999999997"/>
    <n v="1.8"/>
    <n v="3"/>
    <n v="2"/>
    <n v="27.64"/>
    <x v="3"/>
  </r>
  <r>
    <n v="31"/>
    <x v="9"/>
    <n v="32"/>
    <s v="Male"/>
    <n v="108.2"/>
    <n v="1.8"/>
    <n v="172"/>
    <n v="138"/>
    <n v="53"/>
    <n v="1.27"/>
    <n v="964"/>
    <s v="HIIT"/>
    <n v="28.4"/>
    <n v="3.5"/>
    <n v="3"/>
    <n v="1"/>
    <n v="33.4"/>
    <x v="0"/>
  </r>
  <r>
    <n v="32"/>
    <x v="5"/>
    <n v="20"/>
    <s v="Female"/>
    <n v="65.400000000000006"/>
    <n v="1.52"/>
    <n v="185"/>
    <n v="127"/>
    <n v="50"/>
    <n v="1.03"/>
    <n v="654"/>
    <s v="Yoga"/>
    <n v="28"/>
    <n v="2.2000000000000002"/>
    <n v="4"/>
    <n v="2"/>
    <n v="28.31"/>
    <x v="3"/>
  </r>
  <r>
    <n v="33"/>
    <x v="3"/>
    <n v="54"/>
    <s v="Female"/>
    <n v="50.2"/>
    <n v="1.61"/>
    <n v="188"/>
    <n v="157"/>
    <n v="67"/>
    <n v="1.48"/>
    <n v="1046"/>
    <s v="HIIT"/>
    <n v="28.2"/>
    <n v="2.7"/>
    <n v="2"/>
    <n v="1"/>
    <n v="19.37"/>
    <x v="1"/>
  </r>
  <r>
    <n v="34"/>
    <x v="5"/>
    <n v="24"/>
    <s v="Female"/>
    <n v="58.9"/>
    <n v="1.51"/>
    <n v="187"/>
    <n v="157"/>
    <n v="68"/>
    <n v="1.04"/>
    <n v="816"/>
    <s v="Cardio"/>
    <n v="31.7"/>
    <n v="2.5"/>
    <n v="2"/>
    <n v="1"/>
    <n v="25.83"/>
    <x v="3"/>
  </r>
  <r>
    <n v="35"/>
    <x v="0"/>
    <n v="38"/>
    <s v="Male"/>
    <n v="81.400000000000006"/>
    <n v="1.71"/>
    <n v="187"/>
    <n v="148"/>
    <n v="58"/>
    <n v="1.52"/>
    <n v="1237"/>
    <s v="HIIT"/>
    <n v="10.199999999999999"/>
    <n v="3.5"/>
    <n v="5"/>
    <n v="3"/>
    <n v="27.84"/>
    <x v="3"/>
  </r>
  <r>
    <n v="36"/>
    <x v="3"/>
    <n v="26"/>
    <s v="Male"/>
    <n v="127.6"/>
    <n v="1.73"/>
    <n v="167"/>
    <n v="160"/>
    <n v="62"/>
    <n v="1.32"/>
    <n v="1162"/>
    <s v="Strength"/>
    <n v="27.3"/>
    <n v="2.9"/>
    <n v="3"/>
    <n v="1"/>
    <n v="42.63"/>
    <x v="0"/>
  </r>
  <r>
    <n v="37"/>
    <x v="9"/>
    <n v="56"/>
    <s v="Female"/>
    <n v="59.3"/>
    <n v="1.56"/>
    <n v="182"/>
    <n v="155"/>
    <n v="57"/>
    <n v="1.26"/>
    <n v="879"/>
    <s v="Cardio"/>
    <n v="33.4"/>
    <n v="2.6"/>
    <n v="4"/>
    <n v="2"/>
    <n v="24.37"/>
    <x v="1"/>
  </r>
  <r>
    <n v="38"/>
    <x v="0"/>
    <n v="35"/>
    <s v="Male"/>
    <n v="96.9"/>
    <n v="1.71"/>
    <n v="188"/>
    <n v="145"/>
    <n v="72"/>
    <n v="1.34"/>
    <n v="1069"/>
    <s v="Strength"/>
    <n v="24.2"/>
    <n v="2.9"/>
    <n v="3"/>
    <n v="2"/>
    <n v="33.14"/>
    <x v="0"/>
  </r>
  <r>
    <n v="39"/>
    <x v="7"/>
    <n v="21"/>
    <s v="Male"/>
    <n v="62.6"/>
    <n v="1.81"/>
    <n v="164"/>
    <n v="150"/>
    <n v="62"/>
    <n v="1.3"/>
    <n v="1072"/>
    <s v="Strength"/>
    <n v="27.6"/>
    <n v="3.5"/>
    <n v="4"/>
    <n v="2"/>
    <n v="19.11"/>
    <x v="1"/>
  </r>
  <r>
    <n v="40"/>
    <x v="1"/>
    <n v="42"/>
    <s v="Male"/>
    <n v="45.5"/>
    <n v="1.6"/>
    <n v="166"/>
    <n v="163"/>
    <n v="64"/>
    <n v="1.31"/>
    <n v="1057"/>
    <s v="Strength"/>
    <n v="21.7"/>
    <n v="2.6"/>
    <n v="3"/>
    <n v="2"/>
    <n v="17.77"/>
    <x v="2"/>
  </r>
  <r>
    <n v="41"/>
    <x v="9"/>
    <n v="31"/>
    <s v="Female"/>
    <n v="48.8"/>
    <n v="1.51"/>
    <n v="195"/>
    <n v="131"/>
    <n v="60"/>
    <n v="1.48"/>
    <n v="969"/>
    <s v="Cardio"/>
    <n v="28.2"/>
    <n v="2"/>
    <n v="2"/>
    <n v="1"/>
    <n v="21.4"/>
    <x v="1"/>
  </r>
  <r>
    <n v="42"/>
    <x v="7"/>
    <n v="26"/>
    <s v="Female"/>
    <n v="44.3"/>
    <n v="1.6"/>
    <n v="186"/>
    <n v="136"/>
    <n v="61"/>
    <n v="1.08"/>
    <n v="734"/>
    <s v="Cardio"/>
    <n v="34.700000000000003"/>
    <n v="2"/>
    <n v="3"/>
    <n v="1"/>
    <n v="17.3"/>
    <x v="2"/>
  </r>
  <r>
    <n v="43"/>
    <x v="4"/>
    <n v="43"/>
    <s v="Male"/>
    <n v="113.2"/>
    <n v="1.83"/>
    <n v="161"/>
    <n v="134"/>
    <n v="63"/>
    <n v="1.45"/>
    <n v="962"/>
    <s v="Yoga"/>
    <n v="29.9"/>
    <n v="2.9"/>
    <n v="4"/>
    <n v="2"/>
    <n v="33.799999999999997"/>
    <x v="0"/>
  </r>
  <r>
    <n v="44"/>
    <x v="9"/>
    <n v="19"/>
    <s v="Female"/>
    <n v="60.5"/>
    <n v="1.59"/>
    <n v="184"/>
    <n v="128"/>
    <n v="53"/>
    <n v="1.1399999999999999"/>
    <n v="730"/>
    <s v="Cardio"/>
    <n v="30.1"/>
    <n v="2.2000000000000002"/>
    <n v="2"/>
    <n v="1"/>
    <n v="23.93"/>
    <x v="1"/>
  </r>
  <r>
    <n v="45"/>
    <x v="4"/>
    <n v="37"/>
    <s v="Male"/>
    <n v="124.2"/>
    <n v="1.76"/>
    <n v="168"/>
    <n v="158"/>
    <n v="50"/>
    <n v="1.5"/>
    <n v="1304"/>
    <s v="HIIT"/>
    <n v="29.3"/>
    <n v="2.8"/>
    <n v="2"/>
    <n v="1"/>
    <n v="40.1"/>
    <x v="0"/>
  </r>
  <r>
    <n v="46"/>
    <x v="3"/>
    <n v="45"/>
    <s v="Male"/>
    <n v="52.4"/>
    <n v="1.85"/>
    <n v="186"/>
    <n v="161"/>
    <n v="73"/>
    <n v="1.2"/>
    <n v="956"/>
    <s v="Strength"/>
    <n v="25.2"/>
    <n v="2.5"/>
    <n v="3"/>
    <n v="1"/>
    <n v="15.31"/>
    <x v="2"/>
  </r>
  <r>
    <n v="47"/>
    <x v="7"/>
    <n v="24"/>
    <s v="Male"/>
    <n v="54.7"/>
    <n v="1.74"/>
    <n v="160"/>
    <n v="167"/>
    <n v="53"/>
    <n v="0.84"/>
    <n v="772"/>
    <s v="Yoga"/>
    <n v="22.9"/>
    <n v="3.6"/>
    <n v="3"/>
    <n v="1"/>
    <n v="18.07"/>
    <x v="2"/>
  </r>
  <r>
    <n v="48"/>
    <x v="1"/>
    <n v="25"/>
    <s v="Male"/>
    <n v="88.1"/>
    <n v="1.95"/>
    <n v="182"/>
    <n v="131"/>
    <n v="68"/>
    <n v="1.41"/>
    <n v="1016"/>
    <s v="Cardio"/>
    <n v="22.7"/>
    <n v="3"/>
    <n v="2"/>
    <n v="1"/>
    <n v="23.17"/>
    <x v="1"/>
  </r>
  <r>
    <n v="49"/>
    <x v="0"/>
    <n v="52"/>
    <s v="Female"/>
    <n v="59.7"/>
    <n v="1.71"/>
    <n v="169"/>
    <n v="151"/>
    <n v="58"/>
    <n v="1.23"/>
    <n v="836"/>
    <s v="Strength"/>
    <n v="34.299999999999997"/>
    <n v="2"/>
    <n v="3"/>
    <n v="1"/>
    <n v="20.420000000000002"/>
    <x v="1"/>
  </r>
  <r>
    <n v="50"/>
    <x v="2"/>
    <n v="31"/>
    <s v="Female"/>
    <n v="79.7"/>
    <n v="1.54"/>
    <n v="184"/>
    <n v="144"/>
    <n v="59"/>
    <n v="1.03"/>
    <n v="742"/>
    <s v="Cardio"/>
    <n v="26.7"/>
    <n v="2.2999999999999998"/>
    <n v="4"/>
    <n v="2"/>
    <n v="33.61"/>
    <x v="0"/>
  </r>
  <r>
    <n v="51"/>
    <x v="5"/>
    <n v="34"/>
    <s v="Female"/>
    <n v="51"/>
    <n v="1.62"/>
    <n v="162"/>
    <n v="158"/>
    <n v="53"/>
    <n v="1.42"/>
    <n v="1122"/>
    <s v="Yoga"/>
    <n v="30.8"/>
    <n v="2.4"/>
    <n v="3"/>
    <n v="2"/>
    <n v="19.43"/>
    <x v="1"/>
  </r>
  <r>
    <n v="52"/>
    <x v="8"/>
    <n v="53"/>
    <s v="Male"/>
    <n v="84.2"/>
    <n v="1.76"/>
    <n v="165"/>
    <n v="137"/>
    <n v="69"/>
    <n v="1.67"/>
    <n v="1133"/>
    <s v="Cardio"/>
    <n v="12.8"/>
    <n v="3.5"/>
    <n v="5"/>
    <n v="3"/>
    <n v="27.18"/>
    <x v="3"/>
  </r>
  <r>
    <n v="53"/>
    <x v="1"/>
    <n v="57"/>
    <s v="Male"/>
    <n v="122.1"/>
    <n v="1.89"/>
    <n v="165"/>
    <n v="134"/>
    <n v="58"/>
    <n v="1.1299999999999999"/>
    <n v="750"/>
    <s v="Cardio"/>
    <n v="27.4"/>
    <n v="3.6"/>
    <n v="3"/>
    <n v="1"/>
    <n v="34.18"/>
    <x v="0"/>
  </r>
  <r>
    <n v="54"/>
    <x v="7"/>
    <n v="21"/>
    <s v="Male"/>
    <n v="96.7"/>
    <n v="1.72"/>
    <n v="161"/>
    <n v="151"/>
    <n v="62"/>
    <n v="1.26"/>
    <n v="1046"/>
    <s v="Strength"/>
    <n v="25"/>
    <n v="2.8"/>
    <n v="3"/>
    <n v="1"/>
    <n v="32.69"/>
    <x v="0"/>
  </r>
  <r>
    <n v="55"/>
    <x v="2"/>
    <n v="19"/>
    <s v="Female"/>
    <n v="73"/>
    <n v="1.79"/>
    <n v="177"/>
    <n v="125"/>
    <n v="61"/>
    <n v="0.81"/>
    <n v="506"/>
    <s v="HIIT"/>
    <n v="27.7"/>
    <n v="1.6"/>
    <n v="3"/>
    <n v="1"/>
    <n v="22.78"/>
    <x v="1"/>
  </r>
  <r>
    <n v="56"/>
    <x v="1"/>
    <n v="23"/>
    <s v="Male"/>
    <n v="114.8"/>
    <n v="1.6"/>
    <n v="182"/>
    <n v="163"/>
    <n v="60"/>
    <n v="1.47"/>
    <n v="1318"/>
    <s v="Cardio"/>
    <n v="21.7"/>
    <n v="2.7"/>
    <n v="4"/>
    <n v="2"/>
    <n v="44.84"/>
    <x v="0"/>
  </r>
  <r>
    <n v="57"/>
    <x v="7"/>
    <n v="59"/>
    <s v="Female"/>
    <n v="65.5"/>
    <n v="1.52"/>
    <n v="161"/>
    <n v="162"/>
    <n v="61"/>
    <n v="1.4"/>
    <n v="1021"/>
    <s v="Yoga"/>
    <n v="31.2"/>
    <n v="2.1"/>
    <n v="3"/>
    <n v="2"/>
    <n v="28.35"/>
    <x v="3"/>
  </r>
  <r>
    <n v="58"/>
    <x v="6"/>
    <n v="21"/>
    <s v="Female"/>
    <n v="50.3"/>
    <n v="1.52"/>
    <n v="171"/>
    <n v="154"/>
    <n v="67"/>
    <n v="1.08"/>
    <n v="832"/>
    <s v="Cardio"/>
    <n v="32.200000000000003"/>
    <n v="2.6"/>
    <n v="3"/>
    <n v="1"/>
    <n v="21.77"/>
    <x v="1"/>
  </r>
  <r>
    <n v="59"/>
    <x v="6"/>
    <n v="46"/>
    <s v="Female"/>
    <n v="61"/>
    <n v="1.71"/>
    <n v="181"/>
    <n v="153"/>
    <n v="61"/>
    <n v="1.67"/>
    <n v="1150"/>
    <s v="Cardio"/>
    <n v="17.8"/>
    <n v="2.7"/>
    <n v="4"/>
    <n v="3"/>
    <n v="20.86"/>
    <x v="1"/>
  </r>
  <r>
    <n v="60"/>
    <x v="4"/>
    <n v="35"/>
    <s v="Female"/>
    <n v="44.6"/>
    <n v="1.62"/>
    <n v="196"/>
    <n v="157"/>
    <n v="65"/>
    <n v="0.56000000000000005"/>
    <n v="440"/>
    <s v="HIIT"/>
    <n v="32.4"/>
    <n v="2"/>
    <n v="2"/>
    <n v="1"/>
    <n v="16.989999999999998"/>
    <x v="2"/>
  </r>
  <r>
    <n v="61"/>
    <x v="1"/>
    <n v="43"/>
    <s v="Female"/>
    <n v="58.2"/>
    <n v="1.61"/>
    <n v="179"/>
    <n v="124"/>
    <n v="54"/>
    <n v="1.04"/>
    <n v="580"/>
    <s v="Strength"/>
    <n v="26.4"/>
    <n v="2.6"/>
    <n v="3"/>
    <n v="2"/>
    <n v="22.45"/>
    <x v="1"/>
  </r>
  <r>
    <n v="62"/>
    <x v="6"/>
    <n v="51"/>
    <s v="Female"/>
    <n v="44.8"/>
    <n v="1.63"/>
    <n v="198"/>
    <n v="137"/>
    <n v="69"/>
    <n v="1.08"/>
    <n v="666"/>
    <s v="Yoga"/>
    <n v="33.799999999999997"/>
    <n v="2.1"/>
    <n v="4"/>
    <n v="2"/>
    <n v="16.86"/>
    <x v="2"/>
  </r>
  <r>
    <n v="63"/>
    <x v="7"/>
    <n v="27"/>
    <s v="Male"/>
    <n v="87.5"/>
    <n v="1.63"/>
    <n v="183"/>
    <n v="135"/>
    <n v="74"/>
    <n v="1.75"/>
    <n v="1299"/>
    <s v="Strength"/>
    <n v="12.9"/>
    <n v="3.5"/>
    <n v="5"/>
    <n v="3"/>
    <n v="32.93"/>
    <x v="0"/>
  </r>
  <r>
    <n v="64"/>
    <x v="4"/>
    <n v="53"/>
    <s v="Male"/>
    <n v="51.8"/>
    <n v="1.74"/>
    <n v="179"/>
    <n v="127"/>
    <n v="61"/>
    <n v="1.23"/>
    <n v="773"/>
    <s v="Strength"/>
    <n v="21.3"/>
    <n v="3.7"/>
    <n v="3"/>
    <n v="2"/>
    <n v="17.11"/>
    <x v="2"/>
  </r>
  <r>
    <n v="65"/>
    <x v="7"/>
    <n v="31"/>
    <s v="Female"/>
    <n v="64.400000000000006"/>
    <n v="1.7"/>
    <n v="160"/>
    <n v="144"/>
    <n v="70"/>
    <n v="1.97"/>
    <n v="1418"/>
    <s v="Strength"/>
    <n v="17.3"/>
    <n v="2.7"/>
    <n v="5"/>
    <n v="3"/>
    <n v="22.28"/>
    <x v="1"/>
  </r>
  <r>
    <n v="66"/>
    <x v="4"/>
    <n v="48"/>
    <s v="Female"/>
    <n v="67.099999999999994"/>
    <n v="1.61"/>
    <n v="160"/>
    <n v="151"/>
    <n v="74"/>
    <n v="0.62"/>
    <n v="421"/>
    <s v="Cardio"/>
    <n v="33.4"/>
    <n v="1.5"/>
    <n v="2"/>
    <n v="1"/>
    <n v="25.89"/>
    <x v="3"/>
  </r>
  <r>
    <n v="67"/>
    <x v="1"/>
    <n v="32"/>
    <s v="Male"/>
    <n v="85.9"/>
    <n v="1.6"/>
    <n v="176"/>
    <n v="145"/>
    <n v="60"/>
    <n v="1.99"/>
    <n v="1587"/>
    <s v="HIIT"/>
    <n v="14.5"/>
    <n v="3.5"/>
    <n v="5"/>
    <n v="3"/>
    <n v="33.549999999999997"/>
    <x v="0"/>
  </r>
  <r>
    <n v="68"/>
    <x v="2"/>
    <n v="25"/>
    <s v="Female"/>
    <n v="65.400000000000006"/>
    <n v="1.77"/>
    <n v="160"/>
    <n v="141"/>
    <n v="58"/>
    <n v="0.89"/>
    <n v="627"/>
    <s v="Cardio"/>
    <n v="27.6"/>
    <n v="2.6"/>
    <n v="3"/>
    <n v="1"/>
    <n v="20.88"/>
    <x v="1"/>
  </r>
  <r>
    <n v="69"/>
    <x v="0"/>
    <n v="31"/>
    <s v="Female"/>
    <n v="61.1"/>
    <n v="1.76"/>
    <n v="189"/>
    <n v="150"/>
    <n v="67"/>
    <n v="1.81"/>
    <n v="1358"/>
    <s v="Yoga"/>
    <n v="18.600000000000001"/>
    <n v="2.7"/>
    <n v="4"/>
    <n v="3"/>
    <n v="19.72"/>
    <x v="1"/>
  </r>
  <r>
    <n v="70"/>
    <x v="9"/>
    <n v="40"/>
    <s v="Male"/>
    <n v="106.5"/>
    <n v="1.65"/>
    <n v="162"/>
    <n v="162"/>
    <n v="74"/>
    <n v="1.32"/>
    <n v="1176"/>
    <s v="HIIT"/>
    <n v="21"/>
    <n v="3.6"/>
    <n v="4"/>
    <n v="2"/>
    <n v="39.119999999999997"/>
    <x v="0"/>
  </r>
  <r>
    <n v="71"/>
    <x v="2"/>
    <n v="57"/>
    <s v="Female"/>
    <n v="64"/>
    <n v="1.52"/>
    <n v="170"/>
    <n v="129"/>
    <n v="52"/>
    <n v="1.73"/>
    <n v="1004"/>
    <s v="Strength"/>
    <n v="15.2"/>
    <n v="2.7"/>
    <n v="5"/>
    <n v="3"/>
    <n v="27.7"/>
    <x v="3"/>
  </r>
  <r>
    <n v="72"/>
    <x v="3"/>
    <n v="38"/>
    <s v="Female"/>
    <n v="61.4"/>
    <n v="1.54"/>
    <n v="183"/>
    <n v="131"/>
    <n v="69"/>
    <n v="1.47"/>
    <n v="963"/>
    <s v="HIIT"/>
    <n v="30.6"/>
    <n v="2.7"/>
    <n v="3"/>
    <n v="2"/>
    <n v="25.89"/>
    <x v="3"/>
  </r>
  <r>
    <n v="73"/>
    <x v="7"/>
    <n v="33"/>
    <s v="Female"/>
    <n v="40.5"/>
    <n v="1.63"/>
    <n v="181"/>
    <n v="147"/>
    <n v="66"/>
    <n v="1.07"/>
    <n v="786"/>
    <s v="Yoga"/>
    <n v="31.9"/>
    <n v="1.5"/>
    <n v="4"/>
    <n v="2"/>
    <n v="15.24"/>
    <x v="2"/>
  </r>
  <r>
    <n v="74"/>
    <x v="3"/>
    <n v="35"/>
    <s v="Male"/>
    <n v="70.099999999999994"/>
    <n v="1.79"/>
    <n v="185"/>
    <n v="125"/>
    <n v="63"/>
    <n v="1.08"/>
    <n v="743"/>
    <s v="Cardio"/>
    <n v="28"/>
    <n v="2.2999999999999998"/>
    <n v="3"/>
    <n v="2"/>
    <n v="21.88"/>
    <x v="1"/>
  </r>
  <r>
    <n v="75"/>
    <x v="2"/>
    <n v="41"/>
    <s v="Male"/>
    <n v="94.1"/>
    <n v="1.62"/>
    <n v="172"/>
    <n v="139"/>
    <n v="50"/>
    <n v="1.1299999999999999"/>
    <n v="777"/>
    <s v="Cardio"/>
    <n v="23.4"/>
    <n v="3.1"/>
    <n v="4"/>
    <n v="2"/>
    <n v="35.86"/>
    <x v="0"/>
  </r>
  <r>
    <n v="76"/>
    <x v="4"/>
    <n v="43"/>
    <s v="Male"/>
    <n v="55.5"/>
    <n v="1.82"/>
    <n v="160"/>
    <n v="124"/>
    <n v="66"/>
    <n v="1.08"/>
    <n v="663"/>
    <s v="Strength"/>
    <n v="20.100000000000001"/>
    <n v="2"/>
    <n v="3"/>
    <n v="1"/>
    <n v="16.760000000000002"/>
    <x v="2"/>
  </r>
  <r>
    <n v="77"/>
    <x v="9"/>
    <n v="42"/>
    <s v="Female"/>
    <n v="53.7"/>
    <n v="1.72"/>
    <n v="183"/>
    <n v="142"/>
    <n v="74"/>
    <n v="1.37"/>
    <n v="875"/>
    <s v="Cardio"/>
    <n v="29.8"/>
    <n v="1.6"/>
    <n v="3"/>
    <n v="1"/>
    <n v="18.149999999999999"/>
    <x v="2"/>
  </r>
  <r>
    <n v="78"/>
    <x v="9"/>
    <n v="58"/>
    <s v="Female"/>
    <n v="66.099999999999994"/>
    <n v="1.75"/>
    <n v="169"/>
    <n v="128"/>
    <n v="57"/>
    <n v="0.63"/>
    <n v="363"/>
    <s v="Cardio"/>
    <n v="25.2"/>
    <n v="1.8"/>
    <n v="2"/>
    <n v="1"/>
    <n v="21.58"/>
    <x v="1"/>
  </r>
  <r>
    <n v="79"/>
    <x v="8"/>
    <n v="46"/>
    <s v="Male"/>
    <n v="103.9"/>
    <n v="1.77"/>
    <n v="194"/>
    <n v="148"/>
    <n v="54"/>
    <n v="1.18"/>
    <n v="864"/>
    <s v="Yoga"/>
    <n v="20.9"/>
    <n v="2.9"/>
    <n v="2"/>
    <n v="1"/>
    <n v="33.159999999999997"/>
    <x v="0"/>
  </r>
  <r>
    <n v="80"/>
    <x v="9"/>
    <n v="32"/>
    <s v="Female"/>
    <n v="61.7"/>
    <n v="1.58"/>
    <n v="183"/>
    <n v="135"/>
    <n v="54"/>
    <n v="1.87"/>
    <n v="1262"/>
    <s v="HIIT"/>
    <n v="16.600000000000001"/>
    <n v="2.7"/>
    <n v="5"/>
    <n v="3"/>
    <n v="24.72"/>
    <x v="1"/>
  </r>
  <r>
    <n v="81"/>
    <x v="0"/>
    <n v="18"/>
    <s v="Female"/>
    <n v="52.3"/>
    <n v="1.74"/>
    <n v="187"/>
    <n v="165"/>
    <n v="58"/>
    <n v="1.2"/>
    <n v="990"/>
    <s v="Cardio"/>
    <n v="29.4"/>
    <n v="2.2000000000000002"/>
    <n v="2"/>
    <n v="1"/>
    <n v="17.27"/>
    <x v="2"/>
  </r>
  <r>
    <n v="82"/>
    <x v="9"/>
    <n v="42"/>
    <s v="Female"/>
    <n v="59.5"/>
    <n v="1.74"/>
    <n v="195"/>
    <n v="141"/>
    <n v="52"/>
    <n v="1.78"/>
    <n v="1129"/>
    <s v="Yoga"/>
    <n v="16.399999999999999"/>
    <n v="2.7"/>
    <n v="5"/>
    <n v="3"/>
    <n v="19.649999999999999"/>
    <x v="1"/>
  </r>
  <r>
    <n v="83"/>
    <x v="2"/>
    <n v="24"/>
    <s v="Female"/>
    <n v="72.900000000000006"/>
    <n v="1.76"/>
    <n v="175"/>
    <n v="127"/>
    <n v="68"/>
    <n v="0.86"/>
    <n v="546"/>
    <s v="Yoga"/>
    <n v="30.8"/>
    <n v="1.5"/>
    <n v="3"/>
    <n v="1"/>
    <n v="23.53"/>
    <x v="1"/>
  </r>
  <r>
    <n v="84"/>
    <x v="8"/>
    <n v="26"/>
    <s v="Female"/>
    <n v="76.7"/>
    <n v="1.63"/>
    <n v="199"/>
    <n v="139"/>
    <n v="72"/>
    <n v="1.08"/>
    <n v="751"/>
    <s v="Strength"/>
    <n v="25.6"/>
    <n v="1.7"/>
    <n v="2"/>
    <n v="1"/>
    <n v="28.87"/>
    <x v="3"/>
  </r>
  <r>
    <n v="85"/>
    <x v="2"/>
    <n v="41"/>
    <s v="Male"/>
    <n v="72.099999999999994"/>
    <n v="1.83"/>
    <n v="175"/>
    <n v="133"/>
    <n v="58"/>
    <n v="1.1299999999999999"/>
    <n v="744"/>
    <s v="Yoga"/>
    <n v="21.4"/>
    <n v="2.8"/>
    <n v="3"/>
    <n v="2"/>
    <n v="21.53"/>
    <x v="1"/>
  </r>
  <r>
    <n v="86"/>
    <x v="2"/>
    <n v="18"/>
    <s v="Female"/>
    <n v="54.8"/>
    <n v="1.68"/>
    <n v="176"/>
    <n v="158"/>
    <n v="71"/>
    <n v="1.27"/>
    <n v="1003"/>
    <s v="Strength"/>
    <n v="32"/>
    <n v="2.2000000000000002"/>
    <n v="4"/>
    <n v="2"/>
    <n v="19.420000000000002"/>
    <x v="1"/>
  </r>
  <r>
    <n v="87"/>
    <x v="5"/>
    <n v="25"/>
    <s v="Male"/>
    <n v="105"/>
    <n v="1.88"/>
    <n v="174"/>
    <n v="156"/>
    <n v="67"/>
    <n v="1.34"/>
    <n v="1150"/>
    <s v="Cardio"/>
    <n v="21.4"/>
    <n v="2.2999999999999998"/>
    <n v="3"/>
    <n v="2"/>
    <n v="29.71"/>
    <x v="3"/>
  </r>
  <r>
    <n v="88"/>
    <x v="8"/>
    <n v="41"/>
    <s v="Female"/>
    <n v="55"/>
    <n v="1.55"/>
    <n v="175"/>
    <n v="169"/>
    <n v="65"/>
    <n v="1.45"/>
    <n v="1103"/>
    <s v="Strength"/>
    <n v="31.4"/>
    <n v="2"/>
    <n v="4"/>
    <n v="2"/>
    <n v="22.89"/>
    <x v="1"/>
  </r>
  <r>
    <n v="89"/>
    <x v="2"/>
    <n v="28"/>
    <s v="Male"/>
    <n v="81.599999999999994"/>
    <n v="1.66"/>
    <n v="174"/>
    <n v="153"/>
    <n v="50"/>
    <n v="1.0900000000000001"/>
    <n v="917"/>
    <s v="Yoga"/>
    <n v="20.5"/>
    <n v="3.5"/>
    <n v="4"/>
    <n v="2"/>
    <n v="29.61"/>
    <x v="3"/>
  </r>
  <r>
    <n v="90"/>
    <x v="5"/>
    <n v="34"/>
    <s v="Female"/>
    <n v="75.599999999999994"/>
    <n v="1.6"/>
    <n v="193"/>
    <n v="130"/>
    <n v="51"/>
    <n v="0.64"/>
    <n v="416"/>
    <s v="HIIT"/>
    <n v="29.1"/>
    <n v="2.7"/>
    <n v="2"/>
    <n v="1"/>
    <n v="29.53"/>
    <x v="3"/>
  </r>
  <r>
    <n v="91"/>
    <x v="5"/>
    <n v="25"/>
    <s v="Male"/>
    <n v="81.5"/>
    <n v="1.61"/>
    <n v="170"/>
    <n v="159"/>
    <n v="63"/>
    <n v="1.93"/>
    <n v="1688"/>
    <s v="HIIT"/>
    <n v="10.9"/>
    <n v="3.5"/>
    <n v="4"/>
    <n v="3"/>
    <n v="31.44"/>
    <x v="0"/>
  </r>
  <r>
    <n v="92"/>
    <x v="8"/>
    <n v="52"/>
    <s v="Female"/>
    <n v="61.5"/>
    <n v="1.69"/>
    <n v="160"/>
    <n v="152"/>
    <n v="63"/>
    <n v="1.8"/>
    <n v="1231"/>
    <s v="Cardio"/>
    <n v="15.5"/>
    <n v="2.7"/>
    <n v="4"/>
    <n v="3"/>
    <n v="21.53"/>
    <x v="1"/>
  </r>
  <r>
    <n v="93"/>
    <x v="3"/>
    <n v="52"/>
    <s v="Male"/>
    <n v="74"/>
    <n v="1.63"/>
    <n v="174"/>
    <n v="150"/>
    <n v="50"/>
    <n v="1.26"/>
    <n v="936"/>
    <s v="Cardio"/>
    <n v="25.7"/>
    <n v="3.7"/>
    <n v="3"/>
    <n v="2"/>
    <n v="27.85"/>
    <x v="3"/>
  </r>
  <r>
    <n v="94"/>
    <x v="4"/>
    <n v="50"/>
    <s v="Female"/>
    <n v="56.4"/>
    <n v="1.59"/>
    <n v="185"/>
    <n v="163"/>
    <n v="74"/>
    <n v="1.26"/>
    <n v="924"/>
    <s v="HIIT"/>
    <n v="34.299999999999997"/>
    <n v="2.6"/>
    <n v="3"/>
    <n v="1"/>
    <n v="22.31"/>
    <x v="1"/>
  </r>
  <r>
    <n v="95"/>
    <x v="0"/>
    <n v="22"/>
    <s v="Male"/>
    <n v="102.6"/>
    <n v="1.84"/>
    <n v="163"/>
    <n v="153"/>
    <n v="65"/>
    <n v="1.25"/>
    <n v="1052"/>
    <s v="Strength"/>
    <n v="20.5"/>
    <n v="2.7"/>
    <n v="3"/>
    <n v="2"/>
    <n v="30.3"/>
    <x v="0"/>
  </r>
  <r>
    <n v="96"/>
    <x v="4"/>
    <n v="59"/>
    <s v="Female"/>
    <n v="54.6"/>
    <n v="1.57"/>
    <n v="164"/>
    <n v="169"/>
    <n v="64"/>
    <n v="0.57999999999999996"/>
    <n v="441"/>
    <s v="Cardio"/>
    <n v="29.2"/>
    <n v="2.2999999999999998"/>
    <n v="3"/>
    <n v="1"/>
    <n v="22.15"/>
    <x v="1"/>
  </r>
  <r>
    <n v="97"/>
    <x v="9"/>
    <n v="56"/>
    <s v="Male"/>
    <n v="129"/>
    <n v="1.78"/>
    <n v="194"/>
    <n v="126"/>
    <n v="64"/>
    <n v="1.29"/>
    <n v="805"/>
    <s v="Yoga"/>
    <n v="27.1"/>
    <n v="2.7"/>
    <n v="2"/>
    <n v="1"/>
    <n v="40.71"/>
    <x v="0"/>
  </r>
  <r>
    <n v="98"/>
    <x v="0"/>
    <n v="58"/>
    <s v="Male"/>
    <n v="103.5"/>
    <n v="1.66"/>
    <n v="172"/>
    <n v="168"/>
    <n v="61"/>
    <n v="1.33"/>
    <n v="1106"/>
    <s v="Cardio"/>
    <n v="24.6"/>
    <n v="3.1"/>
    <n v="3"/>
    <n v="1"/>
    <n v="37.56"/>
    <x v="0"/>
  </r>
  <r>
    <n v="99"/>
    <x v="9"/>
    <n v="45"/>
    <s v="Female"/>
    <n v="59.4"/>
    <n v="1.51"/>
    <n v="169"/>
    <n v="142"/>
    <n v="65"/>
    <n v="1.1499999999999999"/>
    <n v="735"/>
    <s v="Strength"/>
    <n v="33.1"/>
    <n v="1.9"/>
    <n v="4"/>
    <n v="2"/>
    <n v="26.05"/>
    <x v="3"/>
  </r>
  <r>
    <n v="100"/>
    <x v="2"/>
    <n v="24"/>
    <s v="Female"/>
    <n v="60.1"/>
    <n v="1.79"/>
    <n v="170"/>
    <n v="165"/>
    <n v="63"/>
    <n v="1.97"/>
    <n v="1625"/>
    <s v="Cardio"/>
    <n v="15.9"/>
    <n v="2.7"/>
    <n v="4"/>
    <n v="3"/>
    <n v="18.760000000000002"/>
    <x v="1"/>
  </r>
  <r>
    <n v="101"/>
    <x v="7"/>
    <n v="26"/>
    <s v="Male"/>
    <n v="77.7"/>
    <n v="1.62"/>
    <n v="177"/>
    <n v="126"/>
    <n v="73"/>
    <n v="1.1599999999999999"/>
    <n v="804"/>
    <s v="Yoga"/>
    <n v="29.6"/>
    <n v="3"/>
    <n v="3"/>
    <n v="2"/>
    <n v="29.61"/>
    <x v="3"/>
  </r>
  <r>
    <n v="102"/>
    <x v="8"/>
    <n v="25"/>
    <s v="Female"/>
    <n v="41.2"/>
    <n v="1.62"/>
    <n v="193"/>
    <n v="144"/>
    <n v="64"/>
    <n v="1.49"/>
    <n v="1073"/>
    <s v="Yoga"/>
    <n v="28.9"/>
    <n v="2.1"/>
    <n v="4"/>
    <n v="2"/>
    <n v="15.7"/>
    <x v="2"/>
  </r>
  <r>
    <n v="103"/>
    <x v="0"/>
    <n v="29"/>
    <s v="Male"/>
    <n v="58.6"/>
    <n v="1.61"/>
    <n v="198"/>
    <n v="122"/>
    <n v="72"/>
    <n v="1.2"/>
    <n v="805"/>
    <s v="Yoga"/>
    <n v="23.4"/>
    <n v="2"/>
    <n v="3"/>
    <n v="2"/>
    <n v="22.61"/>
    <x v="1"/>
  </r>
  <r>
    <n v="104"/>
    <x v="0"/>
    <n v="51"/>
    <s v="Male"/>
    <n v="109.3"/>
    <n v="1.78"/>
    <n v="182"/>
    <n v="157"/>
    <n v="64"/>
    <n v="0.54"/>
    <n v="420"/>
    <s v="Strength"/>
    <n v="28.7"/>
    <n v="3.3"/>
    <n v="3"/>
    <n v="1"/>
    <n v="34.5"/>
    <x v="0"/>
  </r>
  <r>
    <n v="105"/>
    <x v="2"/>
    <n v="50"/>
    <s v="Male"/>
    <n v="69.599999999999994"/>
    <n v="1.96"/>
    <n v="166"/>
    <n v="139"/>
    <n v="68"/>
    <n v="0.97"/>
    <n v="667"/>
    <s v="Strength"/>
    <n v="25.6"/>
    <n v="2"/>
    <n v="3"/>
    <n v="1"/>
    <n v="18.12"/>
    <x v="2"/>
  </r>
  <r>
    <n v="106"/>
    <x v="3"/>
    <n v="40"/>
    <s v="Female"/>
    <n v="56.2"/>
    <n v="1.79"/>
    <n v="198"/>
    <n v="153"/>
    <n v="57"/>
    <n v="1.79"/>
    <n v="1369"/>
    <s v="Yoga"/>
    <n v="17.600000000000001"/>
    <n v="2.7"/>
    <n v="5"/>
    <n v="3"/>
    <n v="17.54"/>
    <x v="2"/>
  </r>
  <r>
    <n v="107"/>
    <x v="5"/>
    <n v="41"/>
    <s v="Male"/>
    <n v="71.7"/>
    <n v="1.96"/>
    <n v="162"/>
    <n v="168"/>
    <n v="51"/>
    <n v="0.51"/>
    <n v="424"/>
    <s v="Yoga"/>
    <n v="27.3"/>
    <n v="2.5"/>
    <n v="2"/>
    <n v="1"/>
    <n v="18.66"/>
    <x v="1"/>
  </r>
  <r>
    <n v="108"/>
    <x v="2"/>
    <n v="54"/>
    <s v="Male"/>
    <n v="86"/>
    <n v="1.93"/>
    <n v="171"/>
    <n v="163"/>
    <n v="51"/>
    <n v="1.74"/>
    <n v="1404"/>
    <s v="Strength"/>
    <n v="12.9"/>
    <n v="3.5"/>
    <n v="5"/>
    <n v="3"/>
    <n v="23.09"/>
    <x v="1"/>
  </r>
  <r>
    <n v="109"/>
    <x v="6"/>
    <n v="52"/>
    <s v="Female"/>
    <n v="79.400000000000006"/>
    <n v="1.59"/>
    <n v="166"/>
    <n v="163"/>
    <n v="59"/>
    <n v="1.39"/>
    <n v="1020"/>
    <s v="Strength"/>
    <n v="26.6"/>
    <n v="1.5"/>
    <n v="3"/>
    <n v="2"/>
    <n v="31.41"/>
    <x v="0"/>
  </r>
  <r>
    <n v="110"/>
    <x v="5"/>
    <n v="57"/>
    <s v="Female"/>
    <n v="78.400000000000006"/>
    <n v="1.62"/>
    <n v="185"/>
    <n v="149"/>
    <n v="52"/>
    <n v="1.01"/>
    <n v="677"/>
    <s v="Strength"/>
    <n v="31.7"/>
    <n v="2"/>
    <n v="4"/>
    <n v="2"/>
    <n v="29.87"/>
    <x v="3"/>
  </r>
  <r>
    <n v="111"/>
    <x v="8"/>
    <n v="39"/>
    <s v="Female"/>
    <n v="55.4"/>
    <n v="1.6"/>
    <n v="192"/>
    <n v="136"/>
    <n v="72"/>
    <n v="1.44"/>
    <n v="979"/>
    <s v="HIIT"/>
    <n v="26.3"/>
    <n v="1.6"/>
    <n v="3"/>
    <n v="2"/>
    <n v="21.64"/>
    <x v="1"/>
  </r>
  <r>
    <n v="112"/>
    <x v="5"/>
    <n v="44"/>
    <s v="Female"/>
    <n v="61.7"/>
    <n v="1.55"/>
    <n v="196"/>
    <n v="129"/>
    <n v="66"/>
    <n v="1.41"/>
    <n v="819"/>
    <s v="Strength"/>
    <n v="33.1"/>
    <n v="2.6"/>
    <n v="4"/>
    <n v="2"/>
    <n v="25.68"/>
    <x v="3"/>
  </r>
  <r>
    <n v="113"/>
    <x v="3"/>
    <n v="52"/>
    <s v="Male"/>
    <n v="85.5"/>
    <n v="1.82"/>
    <n v="174"/>
    <n v="154"/>
    <n v="57"/>
    <n v="1.78"/>
    <n v="1357"/>
    <s v="Yoga"/>
    <n v="14.9"/>
    <n v="3.5"/>
    <n v="4"/>
    <n v="3"/>
    <n v="25.81"/>
    <x v="3"/>
  </r>
  <r>
    <n v="114"/>
    <x v="5"/>
    <n v="18"/>
    <s v="Male"/>
    <n v="87.6"/>
    <n v="1.93"/>
    <n v="161"/>
    <n v="139"/>
    <n v="72"/>
    <n v="1.72"/>
    <n v="1315"/>
    <s v="HIIT"/>
    <n v="11.9"/>
    <n v="3.5"/>
    <n v="4"/>
    <n v="3"/>
    <n v="23.52"/>
    <x v="1"/>
  </r>
  <r>
    <n v="115"/>
    <x v="8"/>
    <n v="52"/>
    <s v="Male"/>
    <n v="82.4"/>
    <n v="1.72"/>
    <n v="166"/>
    <n v="137"/>
    <n v="53"/>
    <n v="1.01"/>
    <n v="685"/>
    <s v="Strength"/>
    <n v="24.4"/>
    <n v="2.7"/>
    <n v="4"/>
    <n v="2"/>
    <n v="27.85"/>
    <x v="3"/>
  </r>
  <r>
    <n v="116"/>
    <x v="3"/>
    <n v="54"/>
    <s v="Male"/>
    <n v="67"/>
    <n v="1.68"/>
    <n v="191"/>
    <n v="164"/>
    <n v="63"/>
    <n v="0.55000000000000004"/>
    <n v="446"/>
    <s v="Yoga"/>
    <n v="20.5"/>
    <n v="2.8"/>
    <n v="3"/>
    <n v="1"/>
    <n v="23.74"/>
    <x v="1"/>
  </r>
  <r>
    <n v="117"/>
    <x v="4"/>
    <n v="31"/>
    <s v="Female"/>
    <n v="42.3"/>
    <n v="1.6"/>
    <n v="163"/>
    <n v="163"/>
    <n v="70"/>
    <n v="1.0900000000000001"/>
    <n v="888"/>
    <s v="Cardio"/>
    <n v="25.1"/>
    <n v="1.9"/>
    <n v="3"/>
    <n v="2"/>
    <n v="16.52"/>
    <x v="2"/>
  </r>
  <r>
    <n v="118"/>
    <x v="0"/>
    <n v="20"/>
    <s v="Male"/>
    <n v="82.7"/>
    <n v="1.99"/>
    <n v="179"/>
    <n v="146"/>
    <n v="59"/>
    <n v="1.69"/>
    <n v="1357"/>
    <s v="HIIT"/>
    <n v="14.6"/>
    <n v="3.5"/>
    <n v="5"/>
    <n v="3"/>
    <n v="20.88"/>
    <x v="1"/>
  </r>
  <r>
    <n v="119"/>
    <x v="0"/>
    <n v="18"/>
    <s v="Male"/>
    <n v="92.4"/>
    <n v="1.74"/>
    <n v="195"/>
    <n v="168"/>
    <n v="50"/>
    <n v="1.41"/>
    <n v="1303"/>
    <s v="Yoga"/>
    <n v="21.3"/>
    <n v="3.1"/>
    <n v="2"/>
    <n v="1"/>
    <n v="30.52"/>
    <x v="0"/>
  </r>
  <r>
    <n v="120"/>
    <x v="9"/>
    <n v="22"/>
    <s v="Female"/>
    <n v="63.2"/>
    <n v="1.54"/>
    <n v="191"/>
    <n v="155"/>
    <n v="53"/>
    <n v="1.02"/>
    <n v="790"/>
    <s v="Cardio"/>
    <n v="29.5"/>
    <n v="2.4"/>
    <n v="4"/>
    <n v="2"/>
    <n v="26.65"/>
    <x v="3"/>
  </r>
  <r>
    <n v="121"/>
    <x v="4"/>
    <n v="43"/>
    <s v="Male"/>
    <n v="82.7"/>
    <n v="1.85"/>
    <n v="187"/>
    <n v="142"/>
    <n v="50"/>
    <n v="1.22"/>
    <n v="858"/>
    <s v="Yoga"/>
    <n v="28.2"/>
    <n v="3.1"/>
    <n v="4"/>
    <n v="2"/>
    <n v="24.16"/>
    <x v="1"/>
  </r>
  <r>
    <n v="122"/>
    <x v="4"/>
    <n v="31"/>
    <s v="Male"/>
    <n v="86.6"/>
    <n v="1.76"/>
    <n v="172"/>
    <n v="151"/>
    <n v="66"/>
    <n v="1.29"/>
    <n v="1071"/>
    <s v="Strength"/>
    <n v="28.9"/>
    <n v="3.3"/>
    <n v="3"/>
    <n v="2"/>
    <n v="27.96"/>
    <x v="3"/>
  </r>
  <r>
    <n v="123"/>
    <x v="5"/>
    <n v="56"/>
    <s v="Male"/>
    <n v="129.5"/>
    <n v="1.95"/>
    <n v="160"/>
    <n v="129"/>
    <n v="66"/>
    <n v="1"/>
    <n v="639"/>
    <s v="Strength"/>
    <n v="25.2"/>
    <n v="3.5"/>
    <n v="2"/>
    <n v="1"/>
    <n v="34.06"/>
    <x v="0"/>
  </r>
  <r>
    <n v="124"/>
    <x v="0"/>
    <n v="44"/>
    <s v="Male"/>
    <n v="98"/>
    <n v="1.83"/>
    <n v="194"/>
    <n v="130"/>
    <n v="56"/>
    <n v="1.28"/>
    <n v="824"/>
    <s v="Cardio"/>
    <n v="25.7"/>
    <n v="3.5"/>
    <n v="4"/>
    <n v="2"/>
    <n v="29.26"/>
    <x v="3"/>
  </r>
  <r>
    <n v="125"/>
    <x v="8"/>
    <n v="26"/>
    <s v="Male"/>
    <n v="86.2"/>
    <n v="1.68"/>
    <n v="189"/>
    <n v="157"/>
    <n v="72"/>
    <n v="1.97"/>
    <n v="1701"/>
    <s v="Strength"/>
    <n v="13.3"/>
    <n v="3.5"/>
    <n v="5"/>
    <n v="3"/>
    <n v="30.54"/>
    <x v="0"/>
  </r>
  <r>
    <n v="126"/>
    <x v="1"/>
    <n v="32"/>
    <s v="Male"/>
    <n v="78.599999999999994"/>
    <n v="1.62"/>
    <n v="195"/>
    <n v="125"/>
    <n v="69"/>
    <n v="1.28"/>
    <n v="880"/>
    <s v="Yoga"/>
    <n v="29.6"/>
    <n v="3.1"/>
    <n v="3"/>
    <n v="1"/>
    <n v="29.95"/>
    <x v="3"/>
  </r>
  <r>
    <n v="127"/>
    <x v="1"/>
    <n v="32"/>
    <s v="Female"/>
    <n v="59"/>
    <n v="1.66"/>
    <n v="184"/>
    <n v="160"/>
    <n v="64"/>
    <n v="0.51"/>
    <n v="408"/>
    <s v="Cardio"/>
    <n v="31"/>
    <n v="1.8"/>
    <n v="2"/>
    <n v="1"/>
    <n v="21.41"/>
    <x v="1"/>
  </r>
  <r>
    <n v="128"/>
    <x v="3"/>
    <n v="43"/>
    <s v="Female"/>
    <n v="57.3"/>
    <n v="1.79"/>
    <n v="175"/>
    <n v="166"/>
    <n v="62"/>
    <n v="1.98"/>
    <n v="1479"/>
    <s v="Yoga"/>
    <n v="17.8"/>
    <n v="2.7"/>
    <n v="4"/>
    <n v="3"/>
    <n v="17.88"/>
    <x v="2"/>
  </r>
  <r>
    <n v="129"/>
    <x v="0"/>
    <n v="59"/>
    <s v="Male"/>
    <n v="122.3"/>
    <n v="1.89"/>
    <n v="178"/>
    <n v="153"/>
    <n v="51"/>
    <n v="0.66"/>
    <n v="500"/>
    <s v="Yoga"/>
    <n v="20.100000000000001"/>
    <n v="3.1"/>
    <n v="3"/>
    <n v="1"/>
    <n v="34.24"/>
    <x v="0"/>
  </r>
  <r>
    <n v="130"/>
    <x v="0"/>
    <n v="30"/>
    <s v="Male"/>
    <n v="85.3"/>
    <n v="1.95"/>
    <n v="160"/>
    <n v="155"/>
    <n v="68"/>
    <n v="1.61"/>
    <n v="1373"/>
    <s v="Yoga"/>
    <n v="10.4"/>
    <n v="3.5"/>
    <n v="5"/>
    <n v="3"/>
    <n v="22.43"/>
    <x v="1"/>
  </r>
  <r>
    <n v="131"/>
    <x v="1"/>
    <n v="49"/>
    <s v="Female"/>
    <n v="45.2"/>
    <n v="1.74"/>
    <n v="164"/>
    <n v="156"/>
    <n v="73"/>
    <n v="1.24"/>
    <n v="870"/>
    <s v="Strength"/>
    <n v="30.8"/>
    <n v="2.1"/>
    <n v="3"/>
    <n v="2"/>
    <n v="14.93"/>
    <x v="2"/>
  </r>
  <r>
    <n v="132"/>
    <x v="0"/>
    <n v="56"/>
    <s v="Male"/>
    <n v="55.6"/>
    <n v="1.92"/>
    <n v="181"/>
    <n v="136"/>
    <n v="62"/>
    <n v="0.68"/>
    <n v="458"/>
    <s v="Strength"/>
    <n v="29.4"/>
    <n v="3.2"/>
    <n v="3"/>
    <n v="1"/>
    <n v="15.08"/>
    <x v="2"/>
  </r>
  <r>
    <n v="133"/>
    <x v="5"/>
    <n v="49"/>
    <s v="Male"/>
    <n v="82.8"/>
    <n v="1.95"/>
    <n v="183"/>
    <n v="159"/>
    <n v="73"/>
    <n v="1.91"/>
    <n v="1503"/>
    <s v="Yoga"/>
    <n v="14.3"/>
    <n v="3.5"/>
    <n v="5"/>
    <n v="3"/>
    <n v="21.78"/>
    <x v="1"/>
  </r>
  <r>
    <n v="134"/>
    <x v="6"/>
    <n v="21"/>
    <s v="Male"/>
    <n v="125.2"/>
    <n v="1.66"/>
    <n v="196"/>
    <n v="159"/>
    <n v="60"/>
    <n v="1.38"/>
    <n v="1207"/>
    <s v="HIIT"/>
    <n v="29.8"/>
    <n v="3.4"/>
    <n v="3"/>
    <n v="2"/>
    <n v="45.43"/>
    <x v="0"/>
  </r>
  <r>
    <n v="135"/>
    <x v="7"/>
    <n v="47"/>
    <s v="Female"/>
    <n v="58.5"/>
    <n v="1.79"/>
    <n v="195"/>
    <n v="131"/>
    <n v="71"/>
    <n v="1.42"/>
    <n v="837"/>
    <s v="Yoga"/>
    <n v="30.3"/>
    <n v="2.4"/>
    <n v="4"/>
    <n v="2"/>
    <n v="18.260000000000002"/>
    <x v="2"/>
  </r>
  <r>
    <n v="136"/>
    <x v="4"/>
    <n v="54"/>
    <s v="Male"/>
    <n v="86.1"/>
    <n v="1.95"/>
    <n v="195"/>
    <n v="140"/>
    <n v="64"/>
    <n v="1.17"/>
    <n v="811"/>
    <s v="Yoga"/>
    <n v="27.9"/>
    <n v="3.4"/>
    <n v="2"/>
    <n v="1"/>
    <n v="22.64"/>
    <x v="1"/>
  </r>
  <r>
    <n v="137"/>
    <x v="9"/>
    <n v="40"/>
    <s v="Female"/>
    <n v="63.5"/>
    <n v="1.61"/>
    <n v="163"/>
    <n v="159"/>
    <n v="59"/>
    <n v="1.31"/>
    <n v="1041"/>
    <s v="Cardio"/>
    <n v="33.4"/>
    <n v="1.6"/>
    <n v="3"/>
    <n v="2"/>
    <n v="24.5"/>
    <x v="1"/>
  </r>
  <r>
    <n v="138"/>
    <x v="3"/>
    <n v="56"/>
    <s v="Male"/>
    <n v="69.3"/>
    <n v="1.68"/>
    <n v="195"/>
    <n v="138"/>
    <n v="58"/>
    <n v="0.66"/>
    <n v="451"/>
    <s v="Yoga"/>
    <n v="26.5"/>
    <n v="2.1"/>
    <n v="2"/>
    <n v="1"/>
    <n v="24.55"/>
    <x v="1"/>
  </r>
  <r>
    <n v="139"/>
    <x v="6"/>
    <n v="32"/>
    <s v="Female"/>
    <n v="70.5"/>
    <n v="1.62"/>
    <n v="177"/>
    <n v="122"/>
    <n v="58"/>
    <n v="1.24"/>
    <n v="756"/>
    <s v="Strength"/>
    <n v="28.4"/>
    <n v="1.8"/>
    <n v="2"/>
    <n v="1"/>
    <n v="26.86"/>
    <x v="3"/>
  </r>
  <r>
    <n v="140"/>
    <x v="1"/>
    <n v="46"/>
    <s v="Female"/>
    <n v="60.1"/>
    <n v="1.65"/>
    <n v="175"/>
    <n v="137"/>
    <n v="69"/>
    <n v="1.69"/>
    <n v="1042"/>
    <s v="Cardio"/>
    <n v="17.3"/>
    <n v="2.7"/>
    <n v="4"/>
    <n v="3"/>
    <n v="22.08"/>
    <x v="1"/>
  </r>
  <r>
    <n v="141"/>
    <x v="4"/>
    <n v="53"/>
    <s v="Male"/>
    <n v="94.1"/>
    <n v="1.95"/>
    <n v="177"/>
    <n v="138"/>
    <n v="50"/>
    <n v="0.89"/>
    <n v="608"/>
    <s v="HIIT"/>
    <n v="28.6"/>
    <n v="3.5"/>
    <n v="3"/>
    <n v="1"/>
    <n v="24.75"/>
    <x v="1"/>
  </r>
  <r>
    <n v="142"/>
    <x v="0"/>
    <n v="30"/>
    <s v="Female"/>
    <n v="79.2"/>
    <n v="1.62"/>
    <n v="181"/>
    <n v="166"/>
    <n v="66"/>
    <n v="1.26"/>
    <n v="1046"/>
    <s v="Cardio"/>
    <n v="28"/>
    <n v="2.5"/>
    <n v="4"/>
    <n v="2"/>
    <n v="30.18"/>
    <x v="0"/>
  </r>
  <r>
    <n v="143"/>
    <x v="9"/>
    <n v="49"/>
    <s v="Male"/>
    <n v="115.3"/>
    <n v="1.91"/>
    <n v="161"/>
    <n v="125"/>
    <n v="61"/>
    <n v="1.38"/>
    <n v="854"/>
    <s v="HIIT"/>
    <n v="29.2"/>
    <n v="3.2"/>
    <n v="2"/>
    <n v="1"/>
    <n v="31.61"/>
    <x v="0"/>
  </r>
  <r>
    <n v="144"/>
    <x v="0"/>
    <n v="24"/>
    <s v="Female"/>
    <n v="62.9"/>
    <n v="1.79"/>
    <n v="180"/>
    <n v="135"/>
    <n v="59"/>
    <n v="1.42"/>
    <n v="958"/>
    <s v="Cardio"/>
    <n v="27.3"/>
    <n v="2.2999999999999998"/>
    <n v="4"/>
    <n v="2"/>
    <n v="19.63"/>
    <x v="1"/>
  </r>
  <r>
    <n v="145"/>
    <x v="8"/>
    <n v="39"/>
    <s v="Male"/>
    <n v="62"/>
    <n v="1.64"/>
    <n v="195"/>
    <n v="127"/>
    <n v="54"/>
    <n v="0.97"/>
    <n v="678"/>
    <s v="Cardio"/>
    <n v="27.5"/>
    <n v="3.2"/>
    <n v="3"/>
    <n v="1"/>
    <n v="23.05"/>
    <x v="1"/>
  </r>
  <r>
    <n v="146"/>
    <x v="8"/>
    <n v="45"/>
    <s v="Male"/>
    <n v="88.5"/>
    <n v="1.78"/>
    <n v="198"/>
    <n v="167"/>
    <n v="67"/>
    <n v="1.53"/>
    <n v="1265"/>
    <s v="HIIT"/>
    <n v="13.2"/>
    <n v="3.5"/>
    <n v="4"/>
    <n v="3"/>
    <n v="27.93"/>
    <x v="3"/>
  </r>
  <r>
    <n v="147"/>
    <x v="9"/>
    <n v="19"/>
    <s v="Female"/>
    <n v="73.900000000000006"/>
    <n v="1.77"/>
    <n v="198"/>
    <n v="137"/>
    <n v="64"/>
    <n v="1.28"/>
    <n v="877"/>
    <s v="Strength"/>
    <n v="32.5"/>
    <n v="2.6"/>
    <n v="3"/>
    <n v="2"/>
    <n v="23.59"/>
    <x v="1"/>
  </r>
  <r>
    <n v="148"/>
    <x v="9"/>
    <n v="59"/>
    <s v="Male"/>
    <n v="50.3"/>
    <n v="1.95"/>
    <n v="188"/>
    <n v="167"/>
    <n v="55"/>
    <n v="1.07"/>
    <n v="885"/>
    <s v="Strength"/>
    <n v="24.4"/>
    <n v="3.4"/>
    <n v="3"/>
    <n v="1"/>
    <n v="13.23"/>
    <x v="2"/>
  </r>
  <r>
    <n v="149"/>
    <x v="1"/>
    <n v="23"/>
    <s v="Male"/>
    <n v="83.1"/>
    <n v="1.8"/>
    <n v="185"/>
    <n v="162"/>
    <n v="56"/>
    <n v="0.7"/>
    <n v="624"/>
    <s v="Strength"/>
    <n v="29.3"/>
    <n v="3.1"/>
    <n v="3"/>
    <n v="1"/>
    <n v="25.65"/>
    <x v="3"/>
  </r>
  <r>
    <n v="150"/>
    <x v="9"/>
    <n v="45"/>
    <s v="Female"/>
    <n v="65.099999999999994"/>
    <n v="1.78"/>
    <n v="180"/>
    <n v="158"/>
    <n v="66"/>
    <n v="1.46"/>
    <n v="1038"/>
    <s v="Cardio"/>
    <n v="31.3"/>
    <n v="2.2999999999999998"/>
    <n v="3"/>
    <n v="1"/>
    <n v="20.55"/>
    <x v="1"/>
  </r>
  <r>
    <n v="151"/>
    <x v="5"/>
    <n v="45"/>
    <s v="Male"/>
    <n v="46.6"/>
    <n v="1.79"/>
    <n v="176"/>
    <n v="168"/>
    <n v="55"/>
    <n v="1.46"/>
    <n v="1214"/>
    <s v="Yoga"/>
    <n v="22.9"/>
    <n v="2.4"/>
    <n v="3"/>
    <n v="2"/>
    <n v="14.54"/>
    <x v="2"/>
  </r>
  <r>
    <n v="152"/>
    <x v="0"/>
    <n v="37"/>
    <s v="Male"/>
    <n v="103.5"/>
    <n v="1.89"/>
    <n v="175"/>
    <n v="168"/>
    <n v="57"/>
    <n v="0.54"/>
    <n v="499"/>
    <s v="Cardio"/>
    <n v="26.4"/>
    <n v="3.1"/>
    <n v="2"/>
    <n v="1"/>
    <n v="28.97"/>
    <x v="3"/>
  </r>
  <r>
    <n v="153"/>
    <x v="6"/>
    <n v="47"/>
    <s v="Female"/>
    <n v="61.9"/>
    <n v="1.54"/>
    <n v="190"/>
    <n v="131"/>
    <n v="61"/>
    <n v="1.95"/>
    <n v="1150"/>
    <s v="Yoga"/>
    <n v="16.399999999999999"/>
    <n v="2.7"/>
    <n v="4"/>
    <n v="3"/>
    <n v="26.1"/>
    <x v="3"/>
  </r>
  <r>
    <n v="154"/>
    <x v="2"/>
    <n v="28"/>
    <s v="Female"/>
    <n v="52"/>
    <n v="1.61"/>
    <n v="168"/>
    <n v="164"/>
    <n v="70"/>
    <n v="1.32"/>
    <n v="1082"/>
    <s v="Yoga"/>
    <n v="27.9"/>
    <n v="2"/>
    <n v="3"/>
    <n v="2"/>
    <n v="20.059999999999999"/>
    <x v="1"/>
  </r>
  <r>
    <n v="155"/>
    <x v="9"/>
    <n v="45"/>
    <s v="Male"/>
    <n v="113.4"/>
    <n v="1.71"/>
    <n v="190"/>
    <n v="129"/>
    <n v="63"/>
    <n v="0.83"/>
    <n v="530"/>
    <s v="Strength"/>
    <n v="24"/>
    <n v="2.2999999999999998"/>
    <n v="2"/>
    <n v="1"/>
    <n v="38.78"/>
    <x v="0"/>
  </r>
  <r>
    <n v="156"/>
    <x v="3"/>
    <n v="42"/>
    <s v="Male"/>
    <n v="62.9"/>
    <n v="1.98"/>
    <n v="173"/>
    <n v="126"/>
    <n v="61"/>
    <n v="1.42"/>
    <n v="886"/>
    <s v="Yoga"/>
    <n v="28.5"/>
    <n v="3.4"/>
    <n v="4"/>
    <n v="2"/>
    <n v="16.04"/>
    <x v="2"/>
  </r>
  <r>
    <n v="157"/>
    <x v="8"/>
    <n v="56"/>
    <s v="Female"/>
    <n v="40.4"/>
    <n v="1.8"/>
    <n v="196"/>
    <n v="165"/>
    <n v="72"/>
    <n v="1.23"/>
    <n v="913"/>
    <s v="Cardio"/>
    <n v="30"/>
    <n v="2.1"/>
    <n v="4"/>
    <n v="2"/>
    <n v="12.47"/>
    <x v="2"/>
  </r>
  <r>
    <n v="158"/>
    <x v="5"/>
    <n v="50"/>
    <s v="Female"/>
    <n v="67.099999999999994"/>
    <n v="1.75"/>
    <n v="161"/>
    <n v="120"/>
    <n v="59"/>
    <n v="0.67"/>
    <n v="362"/>
    <s v="Cardio"/>
    <n v="31.8"/>
    <n v="2.7"/>
    <n v="3"/>
    <n v="1"/>
    <n v="21.91"/>
    <x v="1"/>
  </r>
  <r>
    <n v="159"/>
    <x v="4"/>
    <n v="18"/>
    <s v="Male"/>
    <n v="70"/>
    <n v="1.61"/>
    <n v="173"/>
    <n v="168"/>
    <n v="71"/>
    <n v="1.3"/>
    <n v="1201"/>
    <s v="Strength"/>
    <n v="23.9"/>
    <n v="2.5"/>
    <n v="2"/>
    <n v="1"/>
    <n v="27.01"/>
    <x v="3"/>
  </r>
  <r>
    <n v="160"/>
    <x v="2"/>
    <n v="44"/>
    <s v="Female"/>
    <n v="69.5"/>
    <n v="1.75"/>
    <n v="192"/>
    <n v="155"/>
    <n v="69"/>
    <n v="1.02"/>
    <n v="711"/>
    <s v="HIIT"/>
    <n v="27.6"/>
    <n v="2.1"/>
    <n v="3"/>
    <n v="1"/>
    <n v="22.69"/>
    <x v="1"/>
  </r>
  <r>
    <n v="161"/>
    <x v="6"/>
    <n v="30"/>
    <s v="Male"/>
    <n v="107.9"/>
    <n v="1.66"/>
    <n v="194"/>
    <n v="140"/>
    <n v="64"/>
    <n v="1.08"/>
    <n v="832"/>
    <s v="Cardio"/>
    <n v="29.5"/>
    <n v="2.8"/>
    <n v="3"/>
    <n v="2"/>
    <n v="39.159999999999997"/>
    <x v="0"/>
  </r>
  <r>
    <n v="162"/>
    <x v="2"/>
    <n v="58"/>
    <s v="Male"/>
    <n v="109"/>
    <n v="1.91"/>
    <n v="198"/>
    <n v="156"/>
    <n v="56"/>
    <n v="1.49"/>
    <n v="1151"/>
    <s v="Yoga"/>
    <n v="26"/>
    <n v="2.2000000000000002"/>
    <n v="3"/>
    <n v="2"/>
    <n v="29.88"/>
    <x v="3"/>
  </r>
  <r>
    <n v="163"/>
    <x v="9"/>
    <n v="20"/>
    <s v="Male"/>
    <n v="101"/>
    <n v="1.91"/>
    <n v="179"/>
    <n v="143"/>
    <n v="58"/>
    <n v="1.36"/>
    <n v="1070"/>
    <s v="Cardio"/>
    <n v="29.3"/>
    <n v="2.7"/>
    <n v="3"/>
    <n v="2"/>
    <n v="27.69"/>
    <x v="3"/>
  </r>
  <r>
    <n v="164"/>
    <x v="1"/>
    <n v="56"/>
    <s v="Male"/>
    <n v="88.5"/>
    <n v="1.85"/>
    <n v="161"/>
    <n v="144"/>
    <n v="59"/>
    <n v="1.57"/>
    <n v="1119"/>
    <s v="Cardio"/>
    <n v="11"/>
    <n v="3.5"/>
    <n v="4"/>
    <n v="3"/>
    <n v="25.86"/>
    <x v="3"/>
  </r>
  <r>
    <n v="165"/>
    <x v="8"/>
    <n v="23"/>
    <s v="Male"/>
    <n v="80.900000000000006"/>
    <n v="1.8"/>
    <n v="178"/>
    <n v="126"/>
    <n v="59"/>
    <n v="1.55"/>
    <n v="1074"/>
    <s v="Cardio"/>
    <n v="10.7"/>
    <n v="3.5"/>
    <n v="4"/>
    <n v="3"/>
    <n v="24.97"/>
    <x v="1"/>
  </r>
  <r>
    <n v="166"/>
    <x v="8"/>
    <n v="25"/>
    <s v="Female"/>
    <n v="43.1"/>
    <n v="1.62"/>
    <n v="196"/>
    <n v="161"/>
    <n v="65"/>
    <n v="1.04"/>
    <n v="837"/>
    <s v="HIIT"/>
    <n v="33.6"/>
    <n v="1.8"/>
    <n v="4"/>
    <n v="2"/>
    <n v="16.420000000000002"/>
    <x v="2"/>
  </r>
  <r>
    <n v="167"/>
    <x v="4"/>
    <n v="44"/>
    <s v="Female"/>
    <n v="59.1"/>
    <n v="1.52"/>
    <n v="177"/>
    <n v="136"/>
    <n v="56"/>
    <n v="1.58"/>
    <n v="967"/>
    <s v="Yoga"/>
    <n v="18.399999999999999"/>
    <n v="2.7"/>
    <n v="5"/>
    <n v="3"/>
    <n v="25.58"/>
    <x v="3"/>
  </r>
  <r>
    <n v="168"/>
    <x v="1"/>
    <n v="26"/>
    <s v="Female"/>
    <n v="54"/>
    <n v="1.53"/>
    <n v="175"/>
    <n v="148"/>
    <n v="54"/>
    <n v="1.1399999999999999"/>
    <n v="844"/>
    <s v="Strength"/>
    <n v="26.9"/>
    <n v="1.7"/>
    <n v="3"/>
    <n v="1"/>
    <n v="23.07"/>
    <x v="1"/>
  </r>
  <r>
    <n v="169"/>
    <x v="0"/>
    <n v="54"/>
    <s v="Female"/>
    <n v="72.3"/>
    <n v="1.78"/>
    <n v="163"/>
    <n v="149"/>
    <n v="72"/>
    <n v="1.27"/>
    <n v="852"/>
    <s v="Cardio"/>
    <n v="27.7"/>
    <n v="1.8"/>
    <n v="2"/>
    <n v="1"/>
    <n v="22.82"/>
    <x v="1"/>
  </r>
  <r>
    <n v="170"/>
    <x v="7"/>
    <n v="50"/>
    <s v="Male"/>
    <n v="51.1"/>
    <n v="1.98"/>
    <n v="171"/>
    <n v="126"/>
    <n v="52"/>
    <n v="0.92"/>
    <n v="574"/>
    <s v="Yoga"/>
    <n v="28"/>
    <n v="2.4"/>
    <n v="2"/>
    <n v="1"/>
    <n v="13.03"/>
    <x v="2"/>
  </r>
  <r>
    <n v="171"/>
    <x v="5"/>
    <n v="59"/>
    <s v="Male"/>
    <n v="89.4"/>
    <n v="1.72"/>
    <n v="188"/>
    <n v="152"/>
    <n v="67"/>
    <n v="1.08"/>
    <n v="813"/>
    <s v="Yoga"/>
    <n v="24.5"/>
    <n v="3.2"/>
    <n v="3"/>
    <n v="1"/>
    <n v="30.22"/>
    <x v="0"/>
  </r>
  <r>
    <n v="172"/>
    <x v="8"/>
    <n v="41"/>
    <s v="Male"/>
    <n v="51.5"/>
    <n v="1.8"/>
    <n v="166"/>
    <n v="126"/>
    <n v="60"/>
    <n v="1.0900000000000001"/>
    <n v="680"/>
    <s v="Strength"/>
    <n v="26.7"/>
    <n v="2.1"/>
    <n v="4"/>
    <n v="2"/>
    <n v="15.9"/>
    <x v="2"/>
  </r>
  <r>
    <n v="173"/>
    <x v="3"/>
    <n v="32"/>
    <s v="Male"/>
    <n v="87.9"/>
    <n v="1.88"/>
    <n v="173"/>
    <n v="143"/>
    <n v="64"/>
    <n v="1.52"/>
    <n v="1195"/>
    <s v="Cardio"/>
    <n v="11.6"/>
    <n v="3.5"/>
    <n v="5"/>
    <n v="3"/>
    <n v="24.87"/>
    <x v="1"/>
  </r>
  <r>
    <n v="174"/>
    <x v="8"/>
    <n v="49"/>
    <s v="Female"/>
    <n v="42"/>
    <n v="1.52"/>
    <n v="171"/>
    <n v="130"/>
    <n v="70"/>
    <n v="1.1000000000000001"/>
    <n v="644"/>
    <s v="HIIT"/>
    <n v="28.8"/>
    <n v="2.2000000000000002"/>
    <n v="3"/>
    <n v="1"/>
    <n v="18.18"/>
    <x v="2"/>
  </r>
  <r>
    <n v="175"/>
    <x v="2"/>
    <n v="49"/>
    <s v="Male"/>
    <n v="79.2"/>
    <n v="1.72"/>
    <n v="194"/>
    <n v="128"/>
    <n v="69"/>
    <n v="1.46"/>
    <n v="925"/>
    <s v="Yoga"/>
    <n v="29.9"/>
    <n v="3.3"/>
    <n v="3"/>
    <n v="1"/>
    <n v="26.77"/>
    <x v="3"/>
  </r>
  <r>
    <n v="176"/>
    <x v="8"/>
    <n v="41"/>
    <s v="Male"/>
    <n v="64.8"/>
    <n v="1.71"/>
    <n v="164"/>
    <n v="131"/>
    <n v="54"/>
    <n v="1.2"/>
    <n v="778"/>
    <s v="Strength"/>
    <n v="22.5"/>
    <n v="2.8"/>
    <n v="3"/>
    <n v="2"/>
    <n v="22.16"/>
    <x v="1"/>
  </r>
  <r>
    <n v="177"/>
    <x v="8"/>
    <n v="58"/>
    <s v="Female"/>
    <n v="63"/>
    <n v="1.78"/>
    <n v="176"/>
    <n v="154"/>
    <n v="73"/>
    <n v="1.58"/>
    <n v="1095"/>
    <s v="HIIT"/>
    <n v="17.5"/>
    <n v="2.7"/>
    <n v="4"/>
    <n v="3"/>
    <n v="19.88"/>
    <x v="1"/>
  </r>
  <r>
    <n v="178"/>
    <x v="7"/>
    <n v="29"/>
    <s v="Female"/>
    <n v="56.2"/>
    <n v="1.77"/>
    <n v="191"/>
    <n v="123"/>
    <n v="61"/>
    <n v="0.68"/>
    <n v="418"/>
    <s v="Yoga"/>
    <n v="33.4"/>
    <n v="2.6"/>
    <n v="3"/>
    <n v="1"/>
    <n v="17.940000000000001"/>
    <x v="2"/>
  </r>
  <r>
    <n v="179"/>
    <x v="7"/>
    <n v="56"/>
    <s v="Female"/>
    <n v="52.9"/>
    <n v="1.64"/>
    <n v="169"/>
    <n v="155"/>
    <n v="53"/>
    <n v="1.1000000000000001"/>
    <n v="767"/>
    <s v="Cardio"/>
    <n v="27.4"/>
    <n v="2.2999999999999998"/>
    <n v="3"/>
    <n v="2"/>
    <n v="19.670000000000002"/>
    <x v="1"/>
  </r>
  <r>
    <n v="180"/>
    <x v="6"/>
    <n v="19"/>
    <s v="Female"/>
    <n v="49"/>
    <n v="1.69"/>
    <n v="176"/>
    <n v="147"/>
    <n v="64"/>
    <n v="1.05"/>
    <n v="772"/>
    <s v="Yoga"/>
    <n v="29.2"/>
    <n v="2.4"/>
    <n v="3"/>
    <n v="1"/>
    <n v="17.16"/>
    <x v="2"/>
  </r>
  <r>
    <n v="181"/>
    <x v="0"/>
    <n v="20"/>
    <s v="Male"/>
    <n v="128.19999999999999"/>
    <n v="1.84"/>
    <n v="164"/>
    <n v="132"/>
    <n v="58"/>
    <n v="0.83"/>
    <n v="603"/>
    <s v="HIIT"/>
    <n v="26.2"/>
    <n v="2.2999999999999998"/>
    <n v="3"/>
    <n v="1"/>
    <n v="37.869999999999997"/>
    <x v="0"/>
  </r>
  <r>
    <n v="182"/>
    <x v="3"/>
    <n v="54"/>
    <s v="Male"/>
    <n v="83.6"/>
    <n v="1.86"/>
    <n v="168"/>
    <n v="142"/>
    <n v="56"/>
    <n v="1.54"/>
    <n v="1082"/>
    <s v="HIIT"/>
    <n v="12.4"/>
    <n v="3.5"/>
    <n v="5"/>
    <n v="3"/>
    <n v="24.16"/>
    <x v="1"/>
  </r>
  <r>
    <n v="183"/>
    <x v="8"/>
    <n v="34"/>
    <s v="Female"/>
    <n v="56.2"/>
    <n v="1.77"/>
    <n v="192"/>
    <n v="138"/>
    <n v="59"/>
    <n v="1.81"/>
    <n v="1249"/>
    <s v="Cardio"/>
    <n v="17.3"/>
    <n v="2.7"/>
    <n v="5"/>
    <n v="3"/>
    <n v="17.940000000000001"/>
    <x v="2"/>
  </r>
  <r>
    <n v="184"/>
    <x v="8"/>
    <n v="19"/>
    <s v="Male"/>
    <n v="87.8"/>
    <n v="1.78"/>
    <n v="195"/>
    <n v="161"/>
    <n v="72"/>
    <n v="1.28"/>
    <n v="1133"/>
    <s v="Cardio"/>
    <n v="23.6"/>
    <n v="3.3"/>
    <n v="2"/>
    <n v="1"/>
    <n v="27.71"/>
    <x v="3"/>
  </r>
  <r>
    <n v="185"/>
    <x v="5"/>
    <n v="19"/>
    <s v="Male"/>
    <n v="85.9"/>
    <n v="1.85"/>
    <n v="195"/>
    <n v="156"/>
    <n v="62"/>
    <n v="1.66"/>
    <n v="1424"/>
    <s v="Strength"/>
    <n v="12.9"/>
    <n v="3.5"/>
    <n v="4"/>
    <n v="3"/>
    <n v="25.1"/>
    <x v="3"/>
  </r>
  <r>
    <n v="186"/>
    <x v="7"/>
    <n v="45"/>
    <s v="Male"/>
    <n v="51.1"/>
    <n v="1.87"/>
    <n v="177"/>
    <n v="158"/>
    <n v="57"/>
    <n v="1.44"/>
    <n v="1126"/>
    <s v="Cardio"/>
    <n v="26.2"/>
    <n v="3.4"/>
    <n v="4"/>
    <n v="2"/>
    <n v="14.61"/>
    <x v="2"/>
  </r>
  <r>
    <n v="187"/>
    <x v="3"/>
    <n v="40"/>
    <s v="Female"/>
    <n v="57.4"/>
    <n v="1.71"/>
    <n v="168"/>
    <n v="143"/>
    <n v="61"/>
    <n v="1.87"/>
    <n v="1337"/>
    <s v="Strength"/>
    <n v="18.3"/>
    <n v="2.7"/>
    <n v="5"/>
    <n v="3"/>
    <n v="19.63"/>
    <x v="1"/>
  </r>
  <r>
    <n v="188"/>
    <x v="4"/>
    <n v="54"/>
    <s v="Male"/>
    <n v="114.9"/>
    <n v="1.92"/>
    <n v="188"/>
    <n v="135"/>
    <n v="71"/>
    <n v="1.2"/>
    <n v="802"/>
    <s v="HIIT"/>
    <n v="20.7"/>
    <n v="2.6"/>
    <n v="4"/>
    <n v="2"/>
    <n v="31.17"/>
    <x v="0"/>
  </r>
  <r>
    <n v="189"/>
    <x v="6"/>
    <n v="49"/>
    <s v="Female"/>
    <n v="62.1"/>
    <n v="1.66"/>
    <n v="173"/>
    <n v="152"/>
    <n v="73"/>
    <n v="1.37"/>
    <n v="937"/>
    <s v="HIIT"/>
    <n v="31.3"/>
    <n v="1.8"/>
    <n v="3"/>
    <n v="2"/>
    <n v="22.54"/>
    <x v="1"/>
  </r>
  <r>
    <n v="190"/>
    <x v="0"/>
    <n v="50"/>
    <s v="Male"/>
    <n v="57.1"/>
    <n v="1.91"/>
    <n v="184"/>
    <n v="131"/>
    <n v="68"/>
    <n v="1.0900000000000001"/>
    <n v="707"/>
    <s v="Yoga"/>
    <n v="29.5"/>
    <n v="2.7"/>
    <n v="4"/>
    <n v="2"/>
    <n v="15.65"/>
    <x v="2"/>
  </r>
  <r>
    <n v="191"/>
    <x v="1"/>
    <n v="18"/>
    <s v="Male"/>
    <n v="68.099999999999994"/>
    <n v="1.8"/>
    <n v="174"/>
    <n v="153"/>
    <n v="50"/>
    <n v="1.1000000000000001"/>
    <n v="926"/>
    <s v="Yoga"/>
    <n v="25.4"/>
    <n v="3.3"/>
    <n v="4"/>
    <n v="2"/>
    <n v="21.02"/>
    <x v="1"/>
  </r>
  <r>
    <n v="192"/>
    <x v="0"/>
    <n v="36"/>
    <s v="Male"/>
    <n v="69.2"/>
    <n v="1.65"/>
    <n v="165"/>
    <n v="126"/>
    <n v="65"/>
    <n v="1.23"/>
    <n v="852"/>
    <s v="Strength"/>
    <n v="27.2"/>
    <n v="2.7"/>
    <n v="3"/>
    <n v="1"/>
    <n v="25.42"/>
    <x v="3"/>
  </r>
  <r>
    <n v="193"/>
    <x v="2"/>
    <n v="19"/>
    <s v="Female"/>
    <n v="65.2"/>
    <n v="1.52"/>
    <n v="188"/>
    <n v="130"/>
    <n v="71"/>
    <n v="1.23"/>
    <n v="800"/>
    <s v="Cardio"/>
    <n v="30.6"/>
    <n v="2.4"/>
    <n v="3"/>
    <n v="1"/>
    <n v="28.22"/>
    <x v="3"/>
  </r>
  <r>
    <n v="194"/>
    <x v="8"/>
    <n v="43"/>
    <s v="Male"/>
    <n v="108.6"/>
    <n v="1.73"/>
    <n v="174"/>
    <n v="150"/>
    <n v="66"/>
    <n v="1.33"/>
    <n v="988"/>
    <s v="Cardio"/>
    <n v="28.5"/>
    <n v="2.2000000000000002"/>
    <n v="2"/>
    <n v="1"/>
    <n v="36.29"/>
    <x v="0"/>
  </r>
  <r>
    <n v="195"/>
    <x v="6"/>
    <n v="49"/>
    <s v="Female"/>
    <n v="40"/>
    <n v="1.65"/>
    <n v="188"/>
    <n v="148"/>
    <n v="74"/>
    <n v="1.03"/>
    <n v="686"/>
    <s v="Yoga"/>
    <n v="34.299999999999997"/>
    <n v="2.5"/>
    <n v="3"/>
    <n v="2"/>
    <n v="14.69"/>
    <x v="2"/>
  </r>
  <r>
    <n v="196"/>
    <x v="2"/>
    <n v="23"/>
    <s v="Female"/>
    <n v="41.9"/>
    <n v="1.58"/>
    <n v="163"/>
    <n v="132"/>
    <n v="67"/>
    <n v="0.56000000000000005"/>
    <n v="370"/>
    <s v="HIIT"/>
    <n v="26.8"/>
    <n v="1.8"/>
    <n v="3"/>
    <n v="1"/>
    <n v="16.78"/>
    <x v="2"/>
  </r>
  <r>
    <n v="197"/>
    <x v="3"/>
    <n v="49"/>
    <s v="Female"/>
    <n v="68.3"/>
    <n v="1.52"/>
    <n v="177"/>
    <n v="150"/>
    <n v="60"/>
    <n v="1.45"/>
    <n v="979"/>
    <s v="Strength"/>
    <n v="29.4"/>
    <n v="1.8"/>
    <n v="4"/>
    <n v="2"/>
    <n v="29.56"/>
    <x v="3"/>
  </r>
  <r>
    <n v="198"/>
    <x v="1"/>
    <n v="21"/>
    <s v="Male"/>
    <n v="88.4"/>
    <n v="1.6"/>
    <n v="198"/>
    <n v="121"/>
    <n v="67"/>
    <n v="1.71"/>
    <n v="1138"/>
    <s v="HIIT"/>
    <n v="12"/>
    <n v="3.5"/>
    <n v="4"/>
    <n v="3"/>
    <n v="34.53"/>
    <x v="0"/>
  </r>
  <r>
    <n v="199"/>
    <x v="7"/>
    <n v="28"/>
    <s v="Male"/>
    <n v="66"/>
    <n v="1.9"/>
    <n v="175"/>
    <n v="158"/>
    <n v="56"/>
    <n v="1.18"/>
    <n v="1025"/>
    <s v="HIIT"/>
    <n v="24.1"/>
    <n v="3"/>
    <n v="3"/>
    <n v="1"/>
    <n v="18.28"/>
    <x v="2"/>
  </r>
  <r>
    <n v="200"/>
    <x v="6"/>
    <n v="34"/>
    <s v="Male"/>
    <n v="71.900000000000006"/>
    <n v="1.64"/>
    <n v="170"/>
    <n v="134"/>
    <n v="67"/>
    <n v="1.26"/>
    <n v="929"/>
    <s v="Cardio"/>
    <n v="21.3"/>
    <n v="2.1"/>
    <n v="4"/>
    <n v="2"/>
    <n v="26.73"/>
    <x v="3"/>
  </r>
  <r>
    <n v="201"/>
    <x v="6"/>
    <n v="55"/>
    <s v="Male"/>
    <n v="75.599999999999994"/>
    <n v="1.71"/>
    <n v="173"/>
    <n v="130"/>
    <n v="57"/>
    <n v="1.03"/>
    <n v="663"/>
    <s v="Strength"/>
    <n v="28.1"/>
    <n v="2"/>
    <n v="4"/>
    <n v="2"/>
    <n v="25.85"/>
    <x v="3"/>
  </r>
  <r>
    <n v="202"/>
    <x v="8"/>
    <n v="41"/>
    <s v="Female"/>
    <n v="63.4"/>
    <n v="1.59"/>
    <n v="162"/>
    <n v="153"/>
    <n v="55"/>
    <n v="1.84"/>
    <n v="1267"/>
    <s v="HIIT"/>
    <n v="15.2"/>
    <n v="2.7"/>
    <n v="5"/>
    <n v="3"/>
    <n v="25.08"/>
    <x v="3"/>
  </r>
  <r>
    <n v="203"/>
    <x v="9"/>
    <n v="22"/>
    <s v="Female"/>
    <n v="71.599999999999994"/>
    <n v="1.77"/>
    <n v="197"/>
    <n v="158"/>
    <n v="56"/>
    <n v="1.49"/>
    <n v="1177"/>
    <s v="Yoga"/>
    <n v="30.3"/>
    <n v="1.8"/>
    <n v="3"/>
    <n v="1"/>
    <n v="22.85"/>
    <x v="1"/>
  </r>
  <r>
    <n v="204"/>
    <x v="6"/>
    <n v="51"/>
    <s v="Female"/>
    <n v="57.4"/>
    <n v="1.77"/>
    <n v="177"/>
    <n v="123"/>
    <n v="72"/>
    <n v="1.08"/>
    <n v="598"/>
    <s v="Yoga"/>
    <n v="31.6"/>
    <n v="2.1"/>
    <n v="4"/>
    <n v="2"/>
    <n v="18.32"/>
    <x v="2"/>
  </r>
  <r>
    <n v="205"/>
    <x v="5"/>
    <n v="23"/>
    <s v="Male"/>
    <n v="83.8"/>
    <n v="1.99"/>
    <n v="179"/>
    <n v="130"/>
    <n v="71"/>
    <n v="1.79"/>
    <n v="1280"/>
    <s v="Cardio"/>
    <n v="11"/>
    <n v="3.5"/>
    <n v="4"/>
    <n v="3"/>
    <n v="21.16"/>
    <x v="1"/>
  </r>
  <r>
    <n v="206"/>
    <x v="1"/>
    <n v="39"/>
    <s v="Female"/>
    <n v="55.9"/>
    <n v="1.71"/>
    <n v="184"/>
    <n v="148"/>
    <n v="59"/>
    <n v="1.95"/>
    <n v="1443"/>
    <s v="Yoga"/>
    <n v="19.5"/>
    <n v="2.7"/>
    <n v="5"/>
    <n v="3"/>
    <n v="19.12"/>
    <x v="1"/>
  </r>
  <r>
    <n v="207"/>
    <x v="1"/>
    <n v="28"/>
    <s v="Male"/>
    <n v="87"/>
    <n v="1.76"/>
    <n v="197"/>
    <n v="121"/>
    <n v="60"/>
    <n v="1.2"/>
    <n v="799"/>
    <s v="Yoga"/>
    <n v="28.4"/>
    <n v="3.5"/>
    <n v="3"/>
    <n v="2"/>
    <n v="28.09"/>
    <x v="3"/>
  </r>
  <r>
    <n v="208"/>
    <x v="5"/>
    <n v="33"/>
    <s v="Female"/>
    <n v="65.3"/>
    <n v="1.71"/>
    <n v="172"/>
    <n v="135"/>
    <n v="74"/>
    <n v="1.18"/>
    <n v="796"/>
    <s v="HIIT"/>
    <n v="29.7"/>
    <n v="2.5"/>
    <n v="4"/>
    <n v="2"/>
    <n v="22.33"/>
    <x v="1"/>
  </r>
  <r>
    <n v="209"/>
    <x v="4"/>
    <n v="50"/>
    <s v="Male"/>
    <n v="45.4"/>
    <n v="1.67"/>
    <n v="163"/>
    <n v="158"/>
    <n v="62"/>
    <n v="1.37"/>
    <n v="1071"/>
    <s v="Yoga"/>
    <n v="24.1"/>
    <n v="2.8"/>
    <n v="4"/>
    <n v="2"/>
    <n v="16.28"/>
    <x v="2"/>
  </r>
  <r>
    <n v="210"/>
    <x v="5"/>
    <n v="26"/>
    <s v="Male"/>
    <n v="87.1"/>
    <n v="1.87"/>
    <n v="173"/>
    <n v="132"/>
    <n v="58"/>
    <n v="1.71"/>
    <n v="1241"/>
    <s v="Yoga"/>
    <n v="11.2"/>
    <n v="3.5"/>
    <n v="4"/>
    <n v="3"/>
    <n v="24.91"/>
    <x v="1"/>
  </r>
  <r>
    <n v="211"/>
    <x v="5"/>
    <n v="23"/>
    <s v="Female"/>
    <n v="78.599999999999994"/>
    <n v="1.73"/>
    <n v="192"/>
    <n v="156"/>
    <n v="56"/>
    <n v="1.47"/>
    <n v="1147"/>
    <s v="HIIT"/>
    <n v="32.299999999999997"/>
    <n v="1.5"/>
    <n v="4"/>
    <n v="2"/>
    <n v="26.26"/>
    <x v="3"/>
  </r>
  <r>
    <n v="212"/>
    <x v="1"/>
    <n v="33"/>
    <s v="Female"/>
    <n v="78"/>
    <n v="1.71"/>
    <n v="187"/>
    <n v="136"/>
    <n v="58"/>
    <n v="1.08"/>
    <n v="734"/>
    <s v="Cardio"/>
    <n v="26.3"/>
    <n v="2.1"/>
    <n v="3"/>
    <n v="1"/>
    <n v="26.67"/>
    <x v="3"/>
  </r>
  <r>
    <n v="213"/>
    <x v="0"/>
    <n v="46"/>
    <s v="Female"/>
    <n v="58"/>
    <n v="1.53"/>
    <n v="196"/>
    <n v="140"/>
    <n v="62"/>
    <n v="1.83"/>
    <n v="1153"/>
    <s v="Cardio"/>
    <n v="18.399999999999999"/>
    <n v="2.7"/>
    <n v="4"/>
    <n v="3"/>
    <n v="24.78"/>
    <x v="1"/>
  </r>
  <r>
    <n v="214"/>
    <x v="1"/>
    <n v="20"/>
    <s v="Female"/>
    <n v="71.3"/>
    <n v="1.69"/>
    <n v="167"/>
    <n v="163"/>
    <n v="52"/>
    <n v="1.28"/>
    <n v="1043"/>
    <s v="Strength"/>
    <n v="33.4"/>
    <n v="2.2999999999999998"/>
    <n v="3"/>
    <n v="2"/>
    <n v="24.96"/>
    <x v="1"/>
  </r>
  <r>
    <n v="215"/>
    <x v="9"/>
    <n v="37"/>
    <s v="Male"/>
    <n v="49.1"/>
    <n v="1.74"/>
    <n v="193"/>
    <n v="138"/>
    <n v="52"/>
    <n v="1.1100000000000001"/>
    <n v="842"/>
    <s v="Yoga"/>
    <n v="22.3"/>
    <n v="2.6"/>
    <n v="3"/>
    <n v="2"/>
    <n v="16.22"/>
    <x v="2"/>
  </r>
  <r>
    <n v="216"/>
    <x v="8"/>
    <n v="53"/>
    <s v="Female"/>
    <n v="78.3"/>
    <n v="1.65"/>
    <n v="164"/>
    <n v="126"/>
    <n v="50"/>
    <n v="1.24"/>
    <n v="703"/>
    <s v="HIIT"/>
    <n v="33.700000000000003"/>
    <n v="1.6"/>
    <n v="3"/>
    <n v="1"/>
    <n v="28.76"/>
    <x v="3"/>
  </r>
  <r>
    <n v="217"/>
    <x v="2"/>
    <n v="36"/>
    <s v="Female"/>
    <n v="57.3"/>
    <n v="1.64"/>
    <n v="164"/>
    <n v="157"/>
    <n v="70"/>
    <n v="1.1299999999999999"/>
    <n v="887"/>
    <s v="Strength"/>
    <n v="25.3"/>
    <n v="1.8"/>
    <n v="4"/>
    <n v="2"/>
    <n v="21.3"/>
    <x v="1"/>
  </r>
  <r>
    <n v="218"/>
    <x v="0"/>
    <n v="43"/>
    <s v="Female"/>
    <n v="48.4"/>
    <n v="1.61"/>
    <n v="190"/>
    <n v="127"/>
    <n v="69"/>
    <n v="1.28"/>
    <n v="732"/>
    <s v="Cardio"/>
    <n v="34.1"/>
    <n v="2.4"/>
    <n v="2"/>
    <n v="1"/>
    <n v="18.670000000000002"/>
    <x v="1"/>
  </r>
  <r>
    <n v="219"/>
    <x v="7"/>
    <n v="20"/>
    <s v="Male"/>
    <n v="76.400000000000006"/>
    <n v="1.62"/>
    <n v="168"/>
    <n v="132"/>
    <n v="51"/>
    <n v="1.35"/>
    <n v="980"/>
    <s v="Cardio"/>
    <n v="21.2"/>
    <n v="2.6"/>
    <n v="4"/>
    <n v="2"/>
    <n v="29.11"/>
    <x v="3"/>
  </r>
  <r>
    <n v="220"/>
    <x v="2"/>
    <n v="36"/>
    <s v="Male"/>
    <n v="110.2"/>
    <n v="1.77"/>
    <n v="191"/>
    <n v="156"/>
    <n v="74"/>
    <n v="1.19"/>
    <n v="1021"/>
    <s v="HIIT"/>
    <n v="26.5"/>
    <n v="3.4"/>
    <n v="2"/>
    <n v="1"/>
    <n v="35.18"/>
    <x v="0"/>
  </r>
  <r>
    <n v="221"/>
    <x v="8"/>
    <n v="37"/>
    <s v="Female"/>
    <n v="72.900000000000006"/>
    <n v="1.76"/>
    <n v="192"/>
    <n v="121"/>
    <n v="52"/>
    <n v="1.21"/>
    <n v="732"/>
    <s v="Strength"/>
    <n v="27.5"/>
    <n v="1.9"/>
    <n v="3"/>
    <n v="2"/>
    <n v="23.53"/>
    <x v="1"/>
  </r>
  <r>
    <n v="222"/>
    <x v="9"/>
    <n v="49"/>
    <s v="Male"/>
    <n v="82.1"/>
    <n v="1.86"/>
    <n v="162"/>
    <n v="160"/>
    <n v="64"/>
    <n v="1.87"/>
    <n v="1481"/>
    <s v="Strength"/>
    <n v="14.2"/>
    <n v="3.5"/>
    <n v="4"/>
    <n v="3"/>
    <n v="23.73"/>
    <x v="1"/>
  </r>
  <r>
    <n v="223"/>
    <x v="9"/>
    <n v="24"/>
    <s v="Female"/>
    <n v="58.9"/>
    <n v="1.76"/>
    <n v="189"/>
    <n v="130"/>
    <n v="73"/>
    <n v="0.63"/>
    <n v="410"/>
    <s v="HIIT"/>
    <n v="30.1"/>
    <n v="1.7"/>
    <n v="3"/>
    <n v="1"/>
    <n v="19.010000000000002"/>
    <x v="1"/>
  </r>
  <r>
    <n v="224"/>
    <x v="7"/>
    <n v="58"/>
    <s v="Male"/>
    <n v="82.2"/>
    <n v="1.87"/>
    <n v="171"/>
    <n v="143"/>
    <n v="55"/>
    <n v="1.57"/>
    <n v="1111"/>
    <s v="HIIT"/>
    <n v="10.7"/>
    <n v="3.5"/>
    <n v="4"/>
    <n v="3"/>
    <n v="23.51"/>
    <x v="1"/>
  </r>
  <r>
    <n v="225"/>
    <x v="0"/>
    <n v="50"/>
    <s v="Male"/>
    <n v="96.7"/>
    <n v="1.72"/>
    <n v="188"/>
    <n v="125"/>
    <n v="62"/>
    <n v="1.46"/>
    <n v="903"/>
    <s v="Strength"/>
    <n v="25.7"/>
    <n v="2.7"/>
    <n v="3"/>
    <n v="2"/>
    <n v="32.69"/>
    <x v="0"/>
  </r>
  <r>
    <n v="226"/>
    <x v="4"/>
    <n v="57"/>
    <s v="Male"/>
    <n v="81.400000000000006"/>
    <n v="1.86"/>
    <n v="162"/>
    <n v="145"/>
    <n v="70"/>
    <n v="1.8"/>
    <n v="1292"/>
    <s v="Cardio"/>
    <n v="12"/>
    <n v="3.5"/>
    <n v="5"/>
    <n v="3"/>
    <n v="23.53"/>
    <x v="1"/>
  </r>
  <r>
    <n v="227"/>
    <x v="5"/>
    <n v="56"/>
    <s v="Male"/>
    <n v="107.8"/>
    <n v="1.73"/>
    <n v="185"/>
    <n v="126"/>
    <n v="50"/>
    <n v="1.0900000000000001"/>
    <n v="680"/>
    <s v="Yoga"/>
    <n v="26.6"/>
    <n v="2.8"/>
    <n v="3"/>
    <n v="2"/>
    <n v="36.020000000000003"/>
    <x v="0"/>
  </r>
  <r>
    <n v="228"/>
    <x v="0"/>
    <n v="35"/>
    <s v="Female"/>
    <n v="65.8"/>
    <n v="1.62"/>
    <n v="189"/>
    <n v="158"/>
    <n v="69"/>
    <n v="1"/>
    <n v="790"/>
    <s v="Cardio"/>
    <n v="33.799999999999997"/>
    <n v="1.5"/>
    <n v="4"/>
    <n v="2"/>
    <n v="25.07"/>
    <x v="3"/>
  </r>
  <r>
    <n v="229"/>
    <x v="4"/>
    <n v="57"/>
    <s v="Female"/>
    <n v="68.5"/>
    <n v="1.56"/>
    <n v="168"/>
    <n v="138"/>
    <n v="68"/>
    <n v="1.45"/>
    <n v="900"/>
    <s v="HIIT"/>
    <n v="29.1"/>
    <n v="1.6"/>
    <n v="4"/>
    <n v="2"/>
    <n v="28.15"/>
    <x v="3"/>
  </r>
  <r>
    <n v="230"/>
    <x v="9"/>
    <n v="18"/>
    <s v="Female"/>
    <n v="63.9"/>
    <n v="1.59"/>
    <n v="185"/>
    <n v="125"/>
    <n v="50"/>
    <n v="1.87"/>
    <n v="1169"/>
    <s v="Strength"/>
    <n v="16.399999999999999"/>
    <n v="2.7"/>
    <n v="4"/>
    <n v="3"/>
    <n v="25.28"/>
    <x v="3"/>
  </r>
  <r>
    <n v="231"/>
    <x v="1"/>
    <n v="28"/>
    <s v="Male"/>
    <n v="76.3"/>
    <n v="1.62"/>
    <n v="161"/>
    <n v="162"/>
    <n v="70"/>
    <n v="1.1599999999999999"/>
    <n v="1034"/>
    <s v="Strength"/>
    <n v="20.100000000000001"/>
    <n v="2.2999999999999998"/>
    <n v="3"/>
    <n v="2"/>
    <n v="29.07"/>
    <x v="3"/>
  </r>
  <r>
    <n v="232"/>
    <x v="8"/>
    <n v="45"/>
    <s v="Female"/>
    <n v="44.5"/>
    <n v="1.65"/>
    <n v="162"/>
    <n v="148"/>
    <n v="71"/>
    <n v="1.44"/>
    <n v="959"/>
    <s v="Yoga"/>
    <n v="30.7"/>
    <n v="1.6"/>
    <n v="3"/>
    <n v="1"/>
    <n v="16.350000000000001"/>
    <x v="2"/>
  </r>
  <r>
    <n v="233"/>
    <x v="7"/>
    <n v="42"/>
    <s v="Female"/>
    <n v="50.7"/>
    <n v="1.75"/>
    <n v="163"/>
    <n v="162"/>
    <n v="51"/>
    <n v="1.29"/>
    <n v="940"/>
    <s v="Strength"/>
    <n v="29"/>
    <n v="1.9"/>
    <n v="3"/>
    <n v="2"/>
    <n v="16.559999999999999"/>
    <x v="2"/>
  </r>
  <r>
    <n v="234"/>
    <x v="8"/>
    <n v="40"/>
    <s v="Female"/>
    <n v="55.1"/>
    <n v="1.61"/>
    <n v="184"/>
    <n v="158"/>
    <n v="64"/>
    <n v="1.55"/>
    <n v="1224"/>
    <s v="Yoga"/>
    <n v="16.899999999999999"/>
    <n v="2.7"/>
    <n v="4"/>
    <n v="3"/>
    <n v="21.26"/>
    <x v="1"/>
  </r>
  <r>
    <n v="235"/>
    <x v="3"/>
    <n v="48"/>
    <s v="Male"/>
    <n v="73.7"/>
    <n v="1.61"/>
    <n v="172"/>
    <n v="121"/>
    <n v="63"/>
    <n v="1.36"/>
    <n v="815"/>
    <s v="Cardio"/>
    <n v="21.8"/>
    <n v="3.6"/>
    <n v="4"/>
    <n v="2"/>
    <n v="28.43"/>
    <x v="3"/>
  </r>
  <r>
    <n v="236"/>
    <x v="3"/>
    <n v="47"/>
    <s v="Male"/>
    <n v="55.6"/>
    <n v="1.77"/>
    <n v="198"/>
    <n v="138"/>
    <n v="68"/>
    <n v="1.2"/>
    <n v="820"/>
    <s v="Cardio"/>
    <n v="24.3"/>
    <n v="2.9"/>
    <n v="4"/>
    <n v="2"/>
    <n v="17.75"/>
    <x v="2"/>
  </r>
  <r>
    <n v="237"/>
    <x v="0"/>
    <n v="59"/>
    <s v="Male"/>
    <n v="86.9"/>
    <n v="1.76"/>
    <n v="194"/>
    <n v="123"/>
    <n v="60"/>
    <n v="1.1299999999999999"/>
    <n v="688"/>
    <s v="Strength"/>
    <n v="29.8"/>
    <n v="3.1"/>
    <n v="3"/>
    <n v="2"/>
    <n v="28.05"/>
    <x v="3"/>
  </r>
  <r>
    <n v="238"/>
    <x v="9"/>
    <n v="52"/>
    <s v="Female"/>
    <n v="60.3"/>
    <n v="1.68"/>
    <n v="182"/>
    <n v="125"/>
    <n v="64"/>
    <n v="1.6"/>
    <n v="900"/>
    <s v="Strength"/>
    <n v="16.5"/>
    <n v="2.7"/>
    <n v="4"/>
    <n v="3"/>
    <n v="21.36"/>
    <x v="1"/>
  </r>
  <r>
    <n v="239"/>
    <x v="9"/>
    <n v="24"/>
    <s v="Female"/>
    <n v="40.4"/>
    <n v="1.64"/>
    <n v="168"/>
    <n v="168"/>
    <n v="55"/>
    <n v="0.99"/>
    <n v="832"/>
    <s v="HIIT"/>
    <n v="31"/>
    <n v="1.9"/>
    <n v="2"/>
    <n v="1"/>
    <n v="15.02"/>
    <x v="2"/>
  </r>
  <r>
    <n v="240"/>
    <x v="5"/>
    <n v="33"/>
    <s v="Female"/>
    <n v="78.5"/>
    <n v="1.66"/>
    <n v="161"/>
    <n v="156"/>
    <n v="69"/>
    <n v="1.29"/>
    <n v="1006"/>
    <s v="HIIT"/>
    <n v="32.799999999999997"/>
    <n v="1.9"/>
    <n v="4"/>
    <n v="2"/>
    <n v="28.49"/>
    <x v="3"/>
  </r>
  <r>
    <n v="241"/>
    <x v="5"/>
    <n v="43"/>
    <s v="Male"/>
    <n v="102.6"/>
    <n v="1.72"/>
    <n v="190"/>
    <n v="147"/>
    <n v="58"/>
    <n v="0.82"/>
    <n v="597"/>
    <s v="Strength"/>
    <n v="27.5"/>
    <n v="2"/>
    <n v="2"/>
    <n v="1"/>
    <n v="34.68"/>
    <x v="0"/>
  </r>
  <r>
    <n v="242"/>
    <x v="5"/>
    <n v="19"/>
    <s v="Male"/>
    <n v="110.8"/>
    <n v="1.91"/>
    <n v="161"/>
    <n v="149"/>
    <n v="54"/>
    <n v="1.31"/>
    <n v="1074"/>
    <s v="Strength"/>
    <n v="23.3"/>
    <n v="2.9"/>
    <n v="2"/>
    <n v="1"/>
    <n v="30.37"/>
    <x v="0"/>
  </r>
  <r>
    <n v="243"/>
    <x v="1"/>
    <n v="18"/>
    <s v="Female"/>
    <n v="60.9"/>
    <n v="1.79"/>
    <n v="191"/>
    <n v="126"/>
    <n v="69"/>
    <n v="1.1100000000000001"/>
    <n v="699"/>
    <s v="Cardio"/>
    <n v="31.1"/>
    <n v="2.1"/>
    <n v="2"/>
    <n v="1"/>
    <n v="19.010000000000002"/>
    <x v="1"/>
  </r>
  <r>
    <n v="244"/>
    <x v="2"/>
    <n v="29"/>
    <s v="Male"/>
    <n v="55.7"/>
    <n v="1.61"/>
    <n v="177"/>
    <n v="128"/>
    <n v="51"/>
    <n v="1.41"/>
    <n v="993"/>
    <s v="Strength"/>
    <n v="28.7"/>
    <n v="2.2999999999999998"/>
    <n v="3"/>
    <n v="1"/>
    <n v="21.49"/>
    <x v="1"/>
  </r>
  <r>
    <n v="245"/>
    <x v="6"/>
    <n v="22"/>
    <s v="Male"/>
    <n v="110.5"/>
    <n v="1.92"/>
    <n v="172"/>
    <n v="144"/>
    <n v="55"/>
    <n v="1.1599999999999999"/>
    <n v="919"/>
    <s v="HIIT"/>
    <n v="20.2"/>
    <n v="3.3"/>
    <n v="3"/>
    <n v="2"/>
    <n v="29.98"/>
    <x v="3"/>
  </r>
  <r>
    <n v="246"/>
    <x v="2"/>
    <n v="54"/>
    <s v="Male"/>
    <n v="55.2"/>
    <n v="1.71"/>
    <n v="164"/>
    <n v="152"/>
    <n v="67"/>
    <n v="0.77"/>
    <n v="579"/>
    <s v="Cardio"/>
    <n v="24.4"/>
    <n v="2.8"/>
    <n v="2"/>
    <n v="1"/>
    <n v="18.88"/>
    <x v="1"/>
  </r>
  <r>
    <n v="247"/>
    <x v="8"/>
    <n v="49"/>
    <s v="Male"/>
    <n v="46.5"/>
    <n v="1.72"/>
    <n v="169"/>
    <n v="120"/>
    <n v="72"/>
    <n v="1.4"/>
    <n v="832"/>
    <s v="Yoga"/>
    <n v="22.2"/>
    <n v="2.6"/>
    <n v="4"/>
    <n v="2"/>
    <n v="15.72"/>
    <x v="2"/>
  </r>
  <r>
    <n v="248"/>
    <x v="2"/>
    <n v="26"/>
    <s v="Female"/>
    <n v="70.900000000000006"/>
    <n v="1.66"/>
    <n v="184"/>
    <n v="125"/>
    <n v="68"/>
    <n v="0.81"/>
    <n v="506"/>
    <s v="HIIT"/>
    <n v="28.9"/>
    <n v="1.7"/>
    <n v="3"/>
    <n v="1"/>
    <n v="25.73"/>
    <x v="3"/>
  </r>
  <r>
    <n v="249"/>
    <x v="1"/>
    <n v="58"/>
    <s v="Male"/>
    <n v="74.599999999999994"/>
    <n v="1.75"/>
    <n v="193"/>
    <n v="137"/>
    <n v="58"/>
    <n v="1.0900000000000001"/>
    <n v="739"/>
    <s v="HIIT"/>
    <n v="24.2"/>
    <n v="2.9"/>
    <n v="2"/>
    <n v="1"/>
    <n v="24.36"/>
    <x v="1"/>
  </r>
  <r>
    <n v="250"/>
    <x v="8"/>
    <n v="52"/>
    <s v="Male"/>
    <n v="45.1"/>
    <n v="1.72"/>
    <n v="196"/>
    <n v="129"/>
    <n v="70"/>
    <n v="0.93"/>
    <n v="594"/>
    <s v="Cardio"/>
    <n v="27.5"/>
    <n v="3.3"/>
    <n v="2"/>
    <n v="1"/>
    <n v="15.24"/>
    <x v="2"/>
  </r>
  <r>
    <n v="251"/>
    <x v="2"/>
    <n v="36"/>
    <s v="Male"/>
    <n v="99.9"/>
    <n v="1.99"/>
    <n v="189"/>
    <n v="147"/>
    <n v="73"/>
    <n v="1.33"/>
    <n v="1075"/>
    <s v="Yoga"/>
    <n v="20.9"/>
    <n v="2.5"/>
    <n v="3"/>
    <n v="1"/>
    <n v="25.23"/>
    <x v="3"/>
  </r>
  <r>
    <n v="252"/>
    <x v="1"/>
    <n v="33"/>
    <s v="Male"/>
    <n v="117"/>
    <n v="1.61"/>
    <n v="166"/>
    <n v="130"/>
    <n v="55"/>
    <n v="1.04"/>
    <n v="744"/>
    <s v="HIIT"/>
    <n v="25.1"/>
    <n v="2.4"/>
    <n v="3"/>
    <n v="2"/>
    <n v="45.14"/>
    <x v="0"/>
  </r>
  <r>
    <n v="253"/>
    <x v="6"/>
    <n v="20"/>
    <s v="Female"/>
    <n v="75.900000000000006"/>
    <n v="1.73"/>
    <n v="165"/>
    <n v="152"/>
    <n v="63"/>
    <n v="1.39"/>
    <n v="1056"/>
    <s v="Strength"/>
    <n v="30.6"/>
    <n v="2.1"/>
    <n v="4"/>
    <n v="2"/>
    <n v="25.36"/>
    <x v="3"/>
  </r>
  <r>
    <n v="254"/>
    <x v="2"/>
    <n v="37"/>
    <s v="Female"/>
    <n v="71.2"/>
    <n v="1.64"/>
    <n v="162"/>
    <n v="120"/>
    <n v="73"/>
    <n v="1.1100000000000001"/>
    <n v="666"/>
    <s v="HIIT"/>
    <n v="29.9"/>
    <n v="1.7"/>
    <n v="3"/>
    <n v="2"/>
    <n v="26.47"/>
    <x v="3"/>
  </r>
  <r>
    <n v="255"/>
    <x v="1"/>
    <n v="41"/>
    <s v="Male"/>
    <n v="78.8"/>
    <n v="1.72"/>
    <n v="172"/>
    <n v="132"/>
    <n v="62"/>
    <n v="1.01"/>
    <n v="660"/>
    <s v="Cardio"/>
    <n v="27.3"/>
    <n v="3.1"/>
    <n v="4"/>
    <n v="2"/>
    <n v="26.64"/>
    <x v="3"/>
  </r>
  <r>
    <n v="256"/>
    <x v="5"/>
    <n v="50"/>
    <s v="Male"/>
    <n v="50.6"/>
    <n v="1.69"/>
    <n v="162"/>
    <n v="156"/>
    <n v="60"/>
    <n v="1.31"/>
    <n v="1012"/>
    <s v="Cardio"/>
    <n v="23.8"/>
    <n v="3"/>
    <n v="2"/>
    <n v="1"/>
    <n v="17.72"/>
    <x v="2"/>
  </r>
  <r>
    <n v="257"/>
    <x v="9"/>
    <n v="41"/>
    <s v="Male"/>
    <n v="82.5"/>
    <n v="1.79"/>
    <n v="185"/>
    <n v="139"/>
    <n v="61"/>
    <n v="1.69"/>
    <n v="1163"/>
    <s v="Cardio"/>
    <n v="14.7"/>
    <n v="3.5"/>
    <n v="4"/>
    <n v="3"/>
    <n v="25.75"/>
    <x v="3"/>
  </r>
  <r>
    <n v="258"/>
    <x v="5"/>
    <n v="28"/>
    <s v="Male"/>
    <n v="108.5"/>
    <n v="1.79"/>
    <n v="183"/>
    <n v="120"/>
    <n v="68"/>
    <n v="1.33"/>
    <n v="878"/>
    <s v="HIIT"/>
    <n v="24.8"/>
    <n v="2.1"/>
    <n v="4"/>
    <n v="2"/>
    <n v="33.86"/>
    <x v="0"/>
  </r>
  <r>
    <n v="259"/>
    <x v="9"/>
    <n v="25"/>
    <s v="Male"/>
    <n v="49.9"/>
    <n v="1.98"/>
    <n v="165"/>
    <n v="122"/>
    <n v="68"/>
    <n v="1.1499999999999999"/>
    <n v="772"/>
    <s v="Yoga"/>
    <n v="25.7"/>
    <n v="2.1"/>
    <n v="3"/>
    <n v="2"/>
    <n v="12.73"/>
    <x v="2"/>
  </r>
  <r>
    <n v="260"/>
    <x v="7"/>
    <n v="53"/>
    <s v="Male"/>
    <n v="125.1"/>
    <n v="1.91"/>
    <n v="171"/>
    <n v="137"/>
    <n v="70"/>
    <n v="0.52"/>
    <n v="353"/>
    <s v="Strength"/>
    <n v="28.3"/>
    <n v="3.1"/>
    <n v="2"/>
    <n v="1"/>
    <n v="34.29"/>
    <x v="0"/>
  </r>
  <r>
    <n v="261"/>
    <x v="7"/>
    <n v="55"/>
    <s v="Female"/>
    <n v="79.7"/>
    <n v="1.66"/>
    <n v="195"/>
    <n v="160"/>
    <n v="68"/>
    <n v="1.06"/>
    <n v="763"/>
    <s v="Cardio"/>
    <n v="27.8"/>
    <n v="1.9"/>
    <n v="2"/>
    <n v="1"/>
    <n v="28.92"/>
    <x v="3"/>
  </r>
  <r>
    <n v="262"/>
    <x v="7"/>
    <n v="57"/>
    <s v="Male"/>
    <n v="126.8"/>
    <n v="1.63"/>
    <n v="161"/>
    <n v="133"/>
    <n v="73"/>
    <n v="0.96"/>
    <n v="632"/>
    <s v="Yoga"/>
    <n v="20.8"/>
    <n v="2.1"/>
    <n v="2"/>
    <n v="1"/>
    <n v="47.72"/>
    <x v="0"/>
  </r>
  <r>
    <n v="263"/>
    <x v="6"/>
    <n v="37"/>
    <s v="Female"/>
    <n v="54.6"/>
    <n v="1.57"/>
    <n v="170"/>
    <n v="150"/>
    <n v="62"/>
    <n v="1.31"/>
    <n v="982"/>
    <s v="Strength"/>
    <n v="32.1"/>
    <n v="2.4"/>
    <n v="3"/>
    <n v="1"/>
    <n v="22.15"/>
    <x v="1"/>
  </r>
  <r>
    <n v="264"/>
    <x v="5"/>
    <n v="52"/>
    <s v="Female"/>
    <n v="47.8"/>
    <n v="1.54"/>
    <n v="198"/>
    <n v="146"/>
    <n v="63"/>
    <n v="1.34"/>
    <n v="880"/>
    <s v="Cardio"/>
    <n v="29.8"/>
    <n v="1.9"/>
    <n v="3"/>
    <n v="2"/>
    <n v="20.16"/>
    <x v="1"/>
  </r>
  <r>
    <n v="265"/>
    <x v="9"/>
    <n v="42"/>
    <s v="Male"/>
    <n v="97.9"/>
    <n v="1.91"/>
    <n v="193"/>
    <n v="136"/>
    <n v="73"/>
    <n v="1.01"/>
    <n v="680"/>
    <s v="Strength"/>
    <n v="29"/>
    <n v="2.8"/>
    <n v="3"/>
    <n v="2"/>
    <n v="26.84"/>
    <x v="3"/>
  </r>
  <r>
    <n v="266"/>
    <x v="1"/>
    <n v="52"/>
    <s v="Female"/>
    <n v="63.1"/>
    <n v="1.54"/>
    <n v="185"/>
    <n v="165"/>
    <n v="67"/>
    <n v="1.36"/>
    <n v="1010"/>
    <s v="Strength"/>
    <n v="34.799999999999997"/>
    <n v="1.8"/>
    <n v="3"/>
    <n v="2"/>
    <n v="26.61"/>
    <x v="3"/>
  </r>
  <r>
    <n v="267"/>
    <x v="8"/>
    <n v="42"/>
    <s v="Female"/>
    <n v="72.400000000000006"/>
    <n v="1.69"/>
    <n v="177"/>
    <n v="148"/>
    <n v="61"/>
    <n v="1.07"/>
    <n v="713"/>
    <s v="Yoga"/>
    <n v="29"/>
    <n v="2.2999999999999998"/>
    <n v="3"/>
    <n v="2"/>
    <n v="25.35"/>
    <x v="3"/>
  </r>
  <r>
    <n v="268"/>
    <x v="1"/>
    <n v="46"/>
    <s v="Female"/>
    <n v="58.9"/>
    <n v="1.7"/>
    <n v="180"/>
    <n v="155"/>
    <n v="53"/>
    <n v="1.52"/>
    <n v="1060"/>
    <s v="Strength"/>
    <n v="17.100000000000001"/>
    <n v="2.7"/>
    <n v="4"/>
    <n v="3"/>
    <n v="20.38"/>
    <x v="1"/>
  </r>
  <r>
    <n v="269"/>
    <x v="8"/>
    <n v="35"/>
    <s v="Female"/>
    <n v="50.4"/>
    <n v="1.6"/>
    <n v="195"/>
    <n v="156"/>
    <n v="59"/>
    <n v="1.03"/>
    <n v="803"/>
    <s v="Cardio"/>
    <n v="29.1"/>
    <n v="1.9"/>
    <n v="4"/>
    <n v="2"/>
    <n v="19.690000000000001"/>
    <x v="1"/>
  </r>
  <r>
    <n v="270"/>
    <x v="3"/>
    <n v="35"/>
    <s v="Female"/>
    <n v="64.2"/>
    <n v="1.59"/>
    <n v="199"/>
    <n v="145"/>
    <n v="66"/>
    <n v="1.63"/>
    <n v="1182"/>
    <s v="Yoga"/>
    <n v="16.600000000000001"/>
    <n v="2.7"/>
    <n v="5"/>
    <n v="3"/>
    <n v="25.39"/>
    <x v="3"/>
  </r>
  <r>
    <n v="271"/>
    <x v="1"/>
    <n v="19"/>
    <s v="Female"/>
    <n v="58.8"/>
    <n v="1.77"/>
    <n v="181"/>
    <n v="136"/>
    <n v="53"/>
    <n v="1.4"/>
    <n v="952"/>
    <s v="HIIT"/>
    <n v="32.799999999999997"/>
    <n v="2.7"/>
    <n v="2"/>
    <n v="1"/>
    <n v="18.77"/>
    <x v="1"/>
  </r>
  <r>
    <n v="272"/>
    <x v="2"/>
    <n v="52"/>
    <s v="Male"/>
    <n v="105.2"/>
    <n v="1.62"/>
    <n v="189"/>
    <n v="141"/>
    <n v="61"/>
    <n v="1.36"/>
    <n v="949"/>
    <s v="HIIT"/>
    <n v="27.6"/>
    <n v="3.2"/>
    <n v="3"/>
    <n v="1"/>
    <n v="40.090000000000003"/>
    <x v="0"/>
  </r>
  <r>
    <n v="273"/>
    <x v="2"/>
    <n v="33"/>
    <s v="Female"/>
    <n v="45.9"/>
    <n v="1.5"/>
    <n v="189"/>
    <n v="144"/>
    <n v="62"/>
    <n v="0.92"/>
    <n v="662"/>
    <s v="Yoga"/>
    <n v="29.8"/>
    <n v="1.7"/>
    <n v="3"/>
    <n v="1"/>
    <n v="20.399999999999999"/>
    <x v="1"/>
  </r>
  <r>
    <n v="274"/>
    <x v="0"/>
    <n v="58"/>
    <s v="Female"/>
    <n v="65.2"/>
    <n v="1.63"/>
    <n v="167"/>
    <n v="121"/>
    <n v="53"/>
    <n v="1.1200000000000001"/>
    <n v="610"/>
    <s v="HIIT"/>
    <n v="25.4"/>
    <n v="2"/>
    <n v="3"/>
    <n v="2"/>
    <n v="24.54"/>
    <x v="1"/>
  </r>
  <r>
    <n v="275"/>
    <x v="5"/>
    <n v="53"/>
    <s v="Female"/>
    <n v="56.3"/>
    <n v="1.79"/>
    <n v="193"/>
    <n v="141"/>
    <n v="59"/>
    <n v="1.52"/>
    <n v="964"/>
    <s v="Strength"/>
    <n v="16.5"/>
    <n v="2.7"/>
    <n v="5"/>
    <n v="3"/>
    <n v="17.57"/>
    <x v="2"/>
  </r>
  <r>
    <n v="276"/>
    <x v="8"/>
    <n v="50"/>
    <s v="Male"/>
    <n v="90"/>
    <n v="1.7"/>
    <n v="168"/>
    <n v="124"/>
    <n v="74"/>
    <n v="0.81"/>
    <n v="497"/>
    <s v="Cardio"/>
    <n v="22.9"/>
    <n v="2.7"/>
    <n v="2"/>
    <n v="1"/>
    <n v="31.14"/>
    <x v="0"/>
  </r>
  <r>
    <n v="277"/>
    <x v="8"/>
    <n v="21"/>
    <s v="Female"/>
    <n v="60"/>
    <n v="1.7"/>
    <n v="179"/>
    <n v="123"/>
    <n v="52"/>
    <n v="1.97"/>
    <n v="1212"/>
    <s v="Strength"/>
    <n v="19.100000000000001"/>
    <n v="2.7"/>
    <n v="5"/>
    <n v="3"/>
    <n v="20.76"/>
    <x v="1"/>
  </r>
  <r>
    <n v="278"/>
    <x v="5"/>
    <n v="50"/>
    <s v="Male"/>
    <n v="51.5"/>
    <n v="1.71"/>
    <n v="199"/>
    <n v="155"/>
    <n v="64"/>
    <n v="1.48"/>
    <n v="1136"/>
    <s v="Yoga"/>
    <n v="20.9"/>
    <n v="2.9"/>
    <n v="2"/>
    <n v="1"/>
    <n v="17.61"/>
    <x v="2"/>
  </r>
  <r>
    <n v="279"/>
    <x v="6"/>
    <n v="31"/>
    <s v="Female"/>
    <n v="63.1"/>
    <n v="1.64"/>
    <n v="184"/>
    <n v="125"/>
    <n v="51"/>
    <n v="1.54"/>
    <n v="962"/>
    <s v="Cardio"/>
    <n v="19"/>
    <n v="2.7"/>
    <n v="4"/>
    <n v="3"/>
    <n v="23.46"/>
    <x v="1"/>
  </r>
  <r>
    <n v="280"/>
    <x v="0"/>
    <n v="38"/>
    <s v="Male"/>
    <n v="91.5"/>
    <n v="1.77"/>
    <n v="178"/>
    <n v="140"/>
    <n v="74"/>
    <n v="0.8"/>
    <n v="616"/>
    <s v="Yoga"/>
    <n v="26.7"/>
    <n v="3.4"/>
    <n v="2"/>
    <n v="1"/>
    <n v="29.21"/>
    <x v="3"/>
  </r>
  <r>
    <n v="281"/>
    <x v="6"/>
    <n v="37"/>
    <s v="Male"/>
    <n v="48.7"/>
    <n v="1.67"/>
    <n v="164"/>
    <n v="132"/>
    <n v="74"/>
    <n v="1.39"/>
    <n v="1009"/>
    <s v="Yoga"/>
    <n v="27.3"/>
    <n v="3"/>
    <n v="2"/>
    <n v="1"/>
    <n v="17.46"/>
    <x v="2"/>
  </r>
  <r>
    <n v="282"/>
    <x v="6"/>
    <n v="25"/>
    <s v="Female"/>
    <n v="57.8"/>
    <n v="1.56"/>
    <n v="170"/>
    <n v="156"/>
    <n v="66"/>
    <n v="1.35"/>
    <n v="1053"/>
    <s v="Yoga"/>
    <n v="29.3"/>
    <n v="1.6"/>
    <n v="3"/>
    <n v="2"/>
    <n v="23.75"/>
    <x v="1"/>
  </r>
  <r>
    <n v="283"/>
    <x v="6"/>
    <n v="24"/>
    <s v="Female"/>
    <n v="42"/>
    <n v="1.75"/>
    <n v="174"/>
    <n v="144"/>
    <n v="55"/>
    <n v="0.83"/>
    <n v="598"/>
    <s v="Strength"/>
    <n v="31.8"/>
    <n v="2.2999999999999998"/>
    <n v="3"/>
    <n v="1"/>
    <n v="13.71"/>
    <x v="2"/>
  </r>
  <r>
    <n v="284"/>
    <x v="5"/>
    <n v="20"/>
    <s v="Male"/>
    <n v="128.4"/>
    <n v="1.92"/>
    <n v="167"/>
    <n v="145"/>
    <n v="57"/>
    <n v="0.63"/>
    <n v="502"/>
    <s v="Cardio"/>
    <n v="26.1"/>
    <n v="2"/>
    <n v="2"/>
    <n v="1"/>
    <n v="34.83"/>
    <x v="0"/>
  </r>
  <r>
    <n v="285"/>
    <x v="6"/>
    <n v="34"/>
    <s v="Female"/>
    <n v="74.2"/>
    <n v="1.57"/>
    <n v="178"/>
    <n v="158"/>
    <n v="52"/>
    <n v="1.47"/>
    <n v="1161"/>
    <s v="Cardio"/>
    <n v="32.700000000000003"/>
    <n v="2.4"/>
    <n v="3"/>
    <n v="1"/>
    <n v="30.1"/>
    <x v="0"/>
  </r>
  <r>
    <n v="286"/>
    <x v="2"/>
    <n v="50"/>
    <s v="Male"/>
    <n v="89.6"/>
    <n v="1.68"/>
    <n v="182"/>
    <n v="139"/>
    <n v="74"/>
    <n v="1.79"/>
    <n v="1232"/>
    <s v="Cardio"/>
    <n v="12.2"/>
    <n v="3.5"/>
    <n v="5"/>
    <n v="3"/>
    <n v="31.75"/>
    <x v="0"/>
  </r>
  <r>
    <n v="287"/>
    <x v="7"/>
    <n v="29"/>
    <s v="Male"/>
    <n v="125.9"/>
    <n v="2"/>
    <n v="186"/>
    <n v="152"/>
    <n v="67"/>
    <n v="1.36"/>
    <n v="1137"/>
    <s v="Strength"/>
    <n v="24.7"/>
    <n v="3.1"/>
    <n v="4"/>
    <n v="2"/>
    <n v="31.48"/>
    <x v="0"/>
  </r>
  <r>
    <n v="288"/>
    <x v="3"/>
    <n v="39"/>
    <s v="Male"/>
    <n v="105.5"/>
    <n v="1.99"/>
    <n v="199"/>
    <n v="133"/>
    <n v="71"/>
    <n v="0.81"/>
    <n v="593"/>
    <s v="HIIT"/>
    <n v="26.4"/>
    <n v="2.5"/>
    <n v="2"/>
    <n v="1"/>
    <n v="26.64"/>
    <x v="3"/>
  </r>
  <r>
    <n v="289"/>
    <x v="8"/>
    <n v="39"/>
    <s v="Male"/>
    <n v="93.4"/>
    <n v="1.7"/>
    <n v="191"/>
    <n v="155"/>
    <n v="50"/>
    <n v="1.1000000000000001"/>
    <n v="938"/>
    <s v="Strength"/>
    <n v="21.1"/>
    <n v="2.5"/>
    <n v="4"/>
    <n v="2"/>
    <n v="32.32"/>
    <x v="0"/>
  </r>
  <r>
    <n v="290"/>
    <x v="8"/>
    <n v="47"/>
    <s v="Male"/>
    <n v="82.1"/>
    <n v="1.84"/>
    <n v="185"/>
    <n v="136"/>
    <n v="65"/>
    <n v="1.37"/>
    <n v="922"/>
    <s v="Strength"/>
    <n v="24.4"/>
    <n v="3.4"/>
    <n v="4"/>
    <n v="2"/>
    <n v="24.25"/>
    <x v="1"/>
  </r>
  <r>
    <n v="291"/>
    <x v="3"/>
    <n v="55"/>
    <s v="Female"/>
    <n v="42.9"/>
    <n v="1.69"/>
    <n v="186"/>
    <n v="140"/>
    <n v="56"/>
    <n v="0.9"/>
    <n v="567"/>
    <s v="Yoga"/>
    <n v="34.700000000000003"/>
    <n v="2.4"/>
    <n v="2"/>
    <n v="1"/>
    <n v="15.02"/>
    <x v="2"/>
  </r>
  <r>
    <n v="292"/>
    <x v="5"/>
    <n v="55"/>
    <s v="Male"/>
    <n v="128.4"/>
    <n v="1.68"/>
    <n v="178"/>
    <n v="165"/>
    <n v="52"/>
    <n v="1.1299999999999999"/>
    <n v="923"/>
    <s v="Cardio"/>
    <n v="20.399999999999999"/>
    <n v="2.6"/>
    <n v="4"/>
    <n v="2"/>
    <n v="45.49"/>
    <x v="0"/>
  </r>
  <r>
    <n v="293"/>
    <x v="1"/>
    <n v="25"/>
    <s v="Male"/>
    <n v="112.4"/>
    <n v="1.96"/>
    <n v="188"/>
    <n v="135"/>
    <n v="72"/>
    <n v="1.42"/>
    <n v="1054"/>
    <s v="Cardio"/>
    <n v="23.2"/>
    <n v="2.5"/>
    <n v="2"/>
    <n v="1"/>
    <n v="29.26"/>
    <x v="3"/>
  </r>
  <r>
    <n v="294"/>
    <x v="5"/>
    <n v="44"/>
    <s v="Female"/>
    <n v="77.7"/>
    <n v="1.79"/>
    <n v="198"/>
    <n v="165"/>
    <n v="53"/>
    <n v="1.41"/>
    <n v="1047"/>
    <s v="HIIT"/>
    <n v="28.1"/>
    <n v="2.2000000000000002"/>
    <n v="3"/>
    <n v="1"/>
    <n v="24.25"/>
    <x v="1"/>
  </r>
  <r>
    <n v="295"/>
    <x v="8"/>
    <n v="44"/>
    <s v="Male"/>
    <n v="89.3"/>
    <n v="1.99"/>
    <n v="192"/>
    <n v="135"/>
    <n v="58"/>
    <n v="1.4"/>
    <n v="936"/>
    <s v="HIIT"/>
    <n v="26.3"/>
    <n v="2"/>
    <n v="4"/>
    <n v="2"/>
    <n v="22.55"/>
    <x v="1"/>
  </r>
  <r>
    <n v="296"/>
    <x v="8"/>
    <n v="51"/>
    <s v="Female"/>
    <n v="70.3"/>
    <n v="1.55"/>
    <n v="178"/>
    <n v="139"/>
    <n v="54"/>
    <n v="1.4"/>
    <n v="876"/>
    <s v="Yoga"/>
    <n v="26.1"/>
    <n v="1.6"/>
    <n v="3"/>
    <n v="1"/>
    <n v="29.26"/>
    <x v="3"/>
  </r>
  <r>
    <n v="297"/>
    <x v="3"/>
    <n v="38"/>
    <s v="Female"/>
    <n v="59.1"/>
    <n v="1.72"/>
    <n v="196"/>
    <n v="148"/>
    <n v="68"/>
    <n v="1.07"/>
    <n v="792"/>
    <s v="Cardio"/>
    <n v="31.3"/>
    <n v="1.7"/>
    <n v="3"/>
    <n v="2"/>
    <n v="19.98"/>
    <x v="1"/>
  </r>
  <r>
    <n v="298"/>
    <x v="6"/>
    <n v="47"/>
    <s v="Female"/>
    <n v="49.9"/>
    <n v="1.69"/>
    <n v="178"/>
    <n v="147"/>
    <n v="64"/>
    <n v="1.48"/>
    <n v="979"/>
    <s v="HIIT"/>
    <n v="26"/>
    <n v="1.7"/>
    <n v="3"/>
    <n v="2"/>
    <n v="17.47"/>
    <x v="2"/>
  </r>
  <r>
    <n v="299"/>
    <x v="5"/>
    <n v="50"/>
    <s v="Male"/>
    <n v="101.7"/>
    <n v="1.67"/>
    <n v="192"/>
    <n v="127"/>
    <n v="57"/>
    <n v="0.53"/>
    <n v="333"/>
    <s v="HIIT"/>
    <n v="20.9"/>
    <n v="2.9"/>
    <n v="2"/>
    <n v="1"/>
    <n v="36.47"/>
    <x v="0"/>
  </r>
  <r>
    <n v="300"/>
    <x v="9"/>
    <n v="45"/>
    <s v="Male"/>
    <n v="93"/>
    <n v="1.91"/>
    <n v="175"/>
    <n v="143"/>
    <n v="55"/>
    <n v="1.03"/>
    <n v="729"/>
    <s v="Cardio"/>
    <n v="27.3"/>
    <n v="3.7"/>
    <n v="3"/>
    <n v="2"/>
    <n v="25.49"/>
    <x v="3"/>
  </r>
  <r>
    <n v="301"/>
    <x v="3"/>
    <n v="50"/>
    <s v="Male"/>
    <n v="87.4"/>
    <n v="1.6"/>
    <n v="182"/>
    <n v="122"/>
    <n v="67"/>
    <n v="0.77"/>
    <n v="465"/>
    <s v="Strength"/>
    <n v="23.2"/>
    <n v="3.1"/>
    <n v="2"/>
    <n v="1"/>
    <n v="34.14"/>
    <x v="0"/>
  </r>
  <r>
    <n v="302"/>
    <x v="2"/>
    <n v="22"/>
    <s v="Female"/>
    <n v="55.1"/>
    <n v="1.61"/>
    <n v="166"/>
    <n v="144"/>
    <n v="68"/>
    <n v="1.62"/>
    <n v="1166"/>
    <s v="HIIT"/>
    <n v="19.899999999999999"/>
    <n v="2.7"/>
    <n v="4"/>
    <n v="3"/>
    <n v="21.26"/>
    <x v="1"/>
  </r>
  <r>
    <n v="303"/>
    <x v="8"/>
    <n v="36"/>
    <s v="Male"/>
    <n v="123.7"/>
    <n v="1.69"/>
    <n v="185"/>
    <n v="138"/>
    <n v="73"/>
    <n v="1.3"/>
    <n v="987"/>
    <s v="Cardio"/>
    <n v="20.399999999999999"/>
    <n v="2.1"/>
    <n v="4"/>
    <n v="2"/>
    <n v="43.31"/>
    <x v="0"/>
  </r>
  <r>
    <n v="304"/>
    <x v="3"/>
    <n v="21"/>
    <s v="Female"/>
    <n v="61.3"/>
    <n v="1.57"/>
    <n v="191"/>
    <n v="152"/>
    <n v="64"/>
    <n v="1.94"/>
    <n v="1474"/>
    <s v="HIIT"/>
    <n v="17.2"/>
    <n v="2.7"/>
    <n v="4"/>
    <n v="3"/>
    <n v="24.87"/>
    <x v="1"/>
  </r>
  <r>
    <n v="305"/>
    <x v="5"/>
    <n v="52"/>
    <s v="Male"/>
    <n v="72.3"/>
    <n v="1.94"/>
    <n v="171"/>
    <n v="121"/>
    <n v="56"/>
    <n v="1.46"/>
    <n v="874"/>
    <s v="Yoga"/>
    <n v="21.1"/>
    <n v="2.9"/>
    <n v="3"/>
    <n v="2"/>
    <n v="19.21"/>
    <x v="1"/>
  </r>
  <r>
    <n v="306"/>
    <x v="8"/>
    <n v="34"/>
    <s v="Female"/>
    <n v="69.2"/>
    <n v="1.53"/>
    <n v="167"/>
    <n v="134"/>
    <n v="59"/>
    <n v="1.36"/>
    <n v="911"/>
    <s v="HIIT"/>
    <n v="28.5"/>
    <n v="2.1"/>
    <n v="2"/>
    <n v="1"/>
    <n v="29.56"/>
    <x v="3"/>
  </r>
  <r>
    <n v="307"/>
    <x v="1"/>
    <n v="45"/>
    <s v="Male"/>
    <n v="81.400000000000006"/>
    <n v="1.61"/>
    <n v="164"/>
    <n v="141"/>
    <n v="55"/>
    <n v="1.1399999999999999"/>
    <n v="796"/>
    <s v="Cardio"/>
    <n v="30"/>
    <n v="2.2000000000000002"/>
    <n v="4"/>
    <n v="2"/>
    <n v="31.4"/>
    <x v="0"/>
  </r>
  <r>
    <n v="308"/>
    <x v="3"/>
    <n v="47"/>
    <s v="Male"/>
    <n v="84.8"/>
    <n v="1.86"/>
    <n v="187"/>
    <n v="129"/>
    <n v="63"/>
    <n v="1.85"/>
    <n v="1181"/>
    <s v="HIIT"/>
    <n v="14.4"/>
    <n v="3.5"/>
    <n v="5"/>
    <n v="3"/>
    <n v="24.51"/>
    <x v="1"/>
  </r>
  <r>
    <n v="309"/>
    <x v="0"/>
    <n v="46"/>
    <s v="Male"/>
    <n v="55.1"/>
    <n v="1.72"/>
    <n v="164"/>
    <n v="137"/>
    <n v="66"/>
    <n v="1.43"/>
    <n v="970"/>
    <s v="Yoga"/>
    <n v="20.5"/>
    <n v="3.6"/>
    <n v="3"/>
    <n v="2"/>
    <n v="18.62"/>
    <x v="1"/>
  </r>
  <r>
    <n v="310"/>
    <x v="8"/>
    <n v="23"/>
    <s v="Female"/>
    <n v="59"/>
    <n v="1.78"/>
    <n v="185"/>
    <n v="141"/>
    <n v="58"/>
    <n v="1.67"/>
    <n v="1177"/>
    <s v="Yoga"/>
    <n v="17.8"/>
    <n v="2.7"/>
    <n v="5"/>
    <n v="3"/>
    <n v="18.62"/>
    <x v="1"/>
  </r>
  <r>
    <n v="311"/>
    <x v="5"/>
    <n v="52"/>
    <s v="Female"/>
    <n v="64.900000000000006"/>
    <n v="1.51"/>
    <n v="164"/>
    <n v="165"/>
    <n v="68"/>
    <n v="1.83"/>
    <n v="1359"/>
    <s v="HIIT"/>
    <n v="18.2"/>
    <n v="2.7"/>
    <n v="4"/>
    <n v="3"/>
    <n v="28.46"/>
    <x v="3"/>
  </r>
  <r>
    <n v="312"/>
    <x v="7"/>
    <n v="58"/>
    <s v="Male"/>
    <n v="109.7"/>
    <n v="1.75"/>
    <n v="181"/>
    <n v="168"/>
    <n v="54"/>
    <n v="1.01"/>
    <n v="840"/>
    <s v="HIIT"/>
    <n v="22.1"/>
    <n v="2.7"/>
    <n v="2"/>
    <n v="1"/>
    <n v="35.82"/>
    <x v="0"/>
  </r>
  <r>
    <n v="313"/>
    <x v="9"/>
    <n v="54"/>
    <s v="Male"/>
    <n v="78.400000000000006"/>
    <n v="1.9"/>
    <n v="174"/>
    <n v="146"/>
    <n v="72"/>
    <n v="0.81"/>
    <n v="585"/>
    <s v="Yoga"/>
    <n v="21.5"/>
    <n v="3.7"/>
    <n v="2"/>
    <n v="1"/>
    <n v="21.72"/>
    <x v="1"/>
  </r>
  <r>
    <n v="314"/>
    <x v="4"/>
    <n v="41"/>
    <s v="Female"/>
    <n v="76.7"/>
    <n v="1.79"/>
    <n v="172"/>
    <n v="132"/>
    <n v="56"/>
    <n v="1.4"/>
    <n v="832"/>
    <s v="Yoga"/>
    <n v="34"/>
    <n v="2"/>
    <n v="4"/>
    <n v="2"/>
    <n v="23.94"/>
    <x v="1"/>
  </r>
  <r>
    <n v="315"/>
    <x v="6"/>
    <n v="46"/>
    <s v="Female"/>
    <n v="63.1"/>
    <n v="1.61"/>
    <n v="187"/>
    <n v="152"/>
    <n v="68"/>
    <n v="1"/>
    <n v="684"/>
    <s v="Strength"/>
    <n v="34.700000000000003"/>
    <n v="2.2000000000000002"/>
    <n v="4"/>
    <n v="2"/>
    <n v="24.34"/>
    <x v="1"/>
  </r>
  <r>
    <n v="316"/>
    <x v="4"/>
    <n v="48"/>
    <s v="Female"/>
    <n v="62.9"/>
    <n v="1.58"/>
    <n v="192"/>
    <n v="124"/>
    <n v="69"/>
    <n v="1.98"/>
    <n v="1105"/>
    <s v="Strength"/>
    <n v="20"/>
    <n v="2.7"/>
    <n v="4"/>
    <n v="3"/>
    <n v="25.2"/>
    <x v="3"/>
  </r>
  <r>
    <n v="317"/>
    <x v="5"/>
    <n v="52"/>
    <s v="Male"/>
    <n v="85.6"/>
    <n v="1.74"/>
    <n v="182"/>
    <n v="145"/>
    <n v="56"/>
    <n v="1.84"/>
    <n v="1321"/>
    <s v="Yoga"/>
    <n v="13.9"/>
    <n v="3.5"/>
    <n v="4"/>
    <n v="3"/>
    <n v="28.27"/>
    <x v="3"/>
  </r>
  <r>
    <n v="318"/>
    <x v="2"/>
    <n v="50"/>
    <s v="Female"/>
    <n v="66.3"/>
    <n v="1.57"/>
    <n v="192"/>
    <n v="132"/>
    <n v="73"/>
    <n v="1.25"/>
    <n v="742"/>
    <s v="HIIT"/>
    <n v="31.6"/>
    <n v="1.6"/>
    <n v="2"/>
    <n v="1"/>
    <n v="26.9"/>
    <x v="3"/>
  </r>
  <r>
    <n v="319"/>
    <x v="2"/>
    <n v="38"/>
    <s v="Male"/>
    <n v="61.3"/>
    <n v="1.97"/>
    <n v="177"/>
    <n v="146"/>
    <n v="51"/>
    <n v="1.37"/>
    <n v="1100"/>
    <s v="Cardio"/>
    <n v="23.5"/>
    <n v="2.8"/>
    <n v="3"/>
    <n v="1"/>
    <n v="15.8"/>
    <x v="2"/>
  </r>
  <r>
    <n v="320"/>
    <x v="7"/>
    <n v="49"/>
    <s v="Female"/>
    <n v="44.1"/>
    <n v="1.65"/>
    <n v="189"/>
    <n v="133"/>
    <n v="74"/>
    <n v="1.1599999999999999"/>
    <n v="694"/>
    <s v="HIIT"/>
    <n v="26.7"/>
    <n v="1.8"/>
    <n v="4"/>
    <n v="2"/>
    <n v="16.2"/>
    <x v="2"/>
  </r>
  <r>
    <n v="321"/>
    <x v="6"/>
    <n v="40"/>
    <s v="Male"/>
    <n v="63.8"/>
    <n v="1.62"/>
    <n v="185"/>
    <n v="143"/>
    <n v="72"/>
    <n v="1.3"/>
    <n v="1022"/>
    <s v="HIIT"/>
    <n v="20.8"/>
    <n v="3.4"/>
    <n v="2"/>
    <n v="1"/>
    <n v="24.31"/>
    <x v="1"/>
  </r>
  <r>
    <n v="322"/>
    <x v="0"/>
    <n v="50"/>
    <s v="Female"/>
    <n v="55.4"/>
    <n v="1.55"/>
    <n v="175"/>
    <n v="122"/>
    <n v="65"/>
    <n v="1.85"/>
    <n v="1016"/>
    <s v="Strength"/>
    <n v="18.5"/>
    <n v="2.7"/>
    <n v="4"/>
    <n v="3"/>
    <n v="23.06"/>
    <x v="1"/>
  </r>
  <r>
    <n v="323"/>
    <x v="7"/>
    <n v="20"/>
    <s v="Female"/>
    <n v="74.7"/>
    <n v="1.58"/>
    <n v="172"/>
    <n v="166"/>
    <n v="62"/>
    <n v="1.04"/>
    <n v="863"/>
    <s v="Strength"/>
    <n v="32.799999999999997"/>
    <n v="2.4"/>
    <n v="3"/>
    <n v="2"/>
    <n v="29.92"/>
    <x v="3"/>
  </r>
  <r>
    <n v="324"/>
    <x v="4"/>
    <n v="35"/>
    <s v="Female"/>
    <n v="78"/>
    <n v="1.67"/>
    <n v="198"/>
    <n v="168"/>
    <n v="57"/>
    <n v="1.1299999999999999"/>
    <n v="949"/>
    <s v="Strength"/>
    <n v="33.299999999999997"/>
    <n v="2.5"/>
    <n v="4"/>
    <n v="2"/>
    <n v="27.97"/>
    <x v="3"/>
  </r>
  <r>
    <n v="325"/>
    <x v="7"/>
    <n v="42"/>
    <s v="Female"/>
    <n v="57.5"/>
    <n v="1.67"/>
    <n v="192"/>
    <n v="149"/>
    <n v="55"/>
    <n v="1.1399999999999999"/>
    <n v="764"/>
    <s v="Yoga"/>
    <n v="34.1"/>
    <n v="2.4"/>
    <n v="2"/>
    <n v="1"/>
    <n v="20.62"/>
    <x v="1"/>
  </r>
  <r>
    <n v="326"/>
    <x v="4"/>
    <n v="59"/>
    <s v="Female"/>
    <n v="60.7"/>
    <n v="1.73"/>
    <n v="185"/>
    <n v="154"/>
    <n v="55"/>
    <n v="1.03"/>
    <n v="714"/>
    <s v="Yoga"/>
    <n v="33.799999999999997"/>
    <n v="2.5"/>
    <n v="3"/>
    <n v="2"/>
    <n v="20.28"/>
    <x v="1"/>
  </r>
  <r>
    <n v="327"/>
    <x v="8"/>
    <n v="48"/>
    <s v="Male"/>
    <n v="69"/>
    <n v="1.74"/>
    <n v="160"/>
    <n v="167"/>
    <n v="58"/>
    <n v="1.48"/>
    <n v="1223"/>
    <s v="HIIT"/>
    <n v="30"/>
    <n v="2.2999999999999998"/>
    <n v="3"/>
    <n v="2"/>
    <n v="22.79"/>
    <x v="1"/>
  </r>
  <r>
    <n v="328"/>
    <x v="2"/>
    <n v="20"/>
    <s v="Female"/>
    <n v="75.8"/>
    <n v="1.78"/>
    <n v="197"/>
    <n v="133"/>
    <n v="53"/>
    <n v="1.42"/>
    <n v="944"/>
    <s v="HIIT"/>
    <n v="27.4"/>
    <n v="2"/>
    <n v="4"/>
    <n v="2"/>
    <n v="23.92"/>
    <x v="1"/>
  </r>
  <r>
    <n v="329"/>
    <x v="8"/>
    <n v="57"/>
    <s v="Female"/>
    <n v="75.7"/>
    <n v="1.63"/>
    <n v="161"/>
    <n v="131"/>
    <n v="60"/>
    <n v="0.69"/>
    <n v="407"/>
    <s v="Cardio"/>
    <n v="32.6"/>
    <n v="2.2999999999999998"/>
    <n v="3"/>
    <n v="1"/>
    <n v="28.49"/>
    <x v="3"/>
  </r>
  <r>
    <n v="330"/>
    <x v="9"/>
    <n v="41"/>
    <s v="Female"/>
    <n v="71.2"/>
    <n v="1.64"/>
    <n v="165"/>
    <n v="147"/>
    <n v="54"/>
    <n v="1.42"/>
    <n v="939"/>
    <s v="HIIT"/>
    <n v="30.9"/>
    <n v="2.2999999999999998"/>
    <n v="3"/>
    <n v="2"/>
    <n v="26.47"/>
    <x v="3"/>
  </r>
  <r>
    <n v="331"/>
    <x v="6"/>
    <n v="49"/>
    <s v="Male"/>
    <n v="85"/>
    <n v="1.68"/>
    <n v="197"/>
    <n v="163"/>
    <n v="74"/>
    <n v="1.82"/>
    <n v="1468"/>
    <s v="HIIT"/>
    <n v="11.3"/>
    <n v="3.5"/>
    <n v="4"/>
    <n v="3"/>
    <n v="30.12"/>
    <x v="0"/>
  </r>
  <r>
    <n v="332"/>
    <x v="0"/>
    <n v="39"/>
    <s v="Female"/>
    <n v="63.6"/>
    <n v="1.56"/>
    <n v="183"/>
    <n v="148"/>
    <n v="66"/>
    <n v="1.22"/>
    <n v="903"/>
    <s v="Strength"/>
    <n v="34.799999999999997"/>
    <n v="2.4"/>
    <n v="2"/>
    <n v="1"/>
    <n v="26.13"/>
    <x v="3"/>
  </r>
  <r>
    <n v="333"/>
    <x v="4"/>
    <n v="40"/>
    <s v="Male"/>
    <n v="73.2"/>
    <n v="1.94"/>
    <n v="177"/>
    <n v="162"/>
    <n v="69"/>
    <n v="0.81"/>
    <n v="722"/>
    <s v="Strength"/>
    <n v="29"/>
    <n v="2.4"/>
    <n v="2"/>
    <n v="1"/>
    <n v="19.45"/>
    <x v="1"/>
  </r>
  <r>
    <n v="334"/>
    <x v="0"/>
    <n v="19"/>
    <s v="Female"/>
    <n v="48.3"/>
    <n v="1.52"/>
    <n v="186"/>
    <n v="136"/>
    <n v="56"/>
    <n v="0.96"/>
    <n v="653"/>
    <s v="Strength"/>
    <n v="26.3"/>
    <n v="1.6"/>
    <n v="2"/>
    <n v="1"/>
    <n v="20.91"/>
    <x v="1"/>
  </r>
  <r>
    <n v="335"/>
    <x v="4"/>
    <n v="44"/>
    <s v="Female"/>
    <n v="42.8"/>
    <n v="1.78"/>
    <n v="167"/>
    <n v="159"/>
    <n v="64"/>
    <n v="1.49"/>
    <n v="1066"/>
    <s v="Strength"/>
    <n v="25.3"/>
    <n v="2.6"/>
    <n v="3"/>
    <n v="2"/>
    <n v="13.51"/>
    <x v="2"/>
  </r>
  <r>
    <n v="336"/>
    <x v="5"/>
    <n v="59"/>
    <s v="Male"/>
    <n v="88.1"/>
    <n v="1.76"/>
    <n v="187"/>
    <n v="168"/>
    <n v="74"/>
    <n v="1.35"/>
    <n v="1123"/>
    <s v="Strength"/>
    <n v="26.9"/>
    <n v="3"/>
    <n v="3"/>
    <n v="2"/>
    <n v="28.44"/>
    <x v="3"/>
  </r>
  <r>
    <n v="337"/>
    <x v="7"/>
    <n v="19"/>
    <s v="Female"/>
    <n v="72.400000000000006"/>
    <n v="1.75"/>
    <n v="169"/>
    <n v="140"/>
    <n v="64"/>
    <n v="1.2"/>
    <n v="840"/>
    <s v="Cardio"/>
    <n v="31"/>
    <n v="1.7"/>
    <n v="4"/>
    <n v="2"/>
    <n v="23.64"/>
    <x v="1"/>
  </r>
  <r>
    <n v="338"/>
    <x v="9"/>
    <n v="43"/>
    <s v="Male"/>
    <n v="73.2"/>
    <n v="1.88"/>
    <n v="176"/>
    <n v="142"/>
    <n v="63"/>
    <n v="1.17"/>
    <n v="822"/>
    <s v="Cardio"/>
    <n v="29.4"/>
    <n v="3.3"/>
    <n v="3"/>
    <n v="1"/>
    <n v="20.71"/>
    <x v="1"/>
  </r>
  <r>
    <n v="339"/>
    <x v="2"/>
    <n v="34"/>
    <s v="Male"/>
    <n v="110.5"/>
    <n v="1.86"/>
    <n v="188"/>
    <n v="139"/>
    <n v="62"/>
    <n v="1.42"/>
    <n v="1086"/>
    <s v="Cardio"/>
    <n v="22.3"/>
    <n v="3.6"/>
    <n v="2"/>
    <n v="1"/>
    <n v="31.94"/>
    <x v="0"/>
  </r>
  <r>
    <n v="340"/>
    <x v="4"/>
    <n v="57"/>
    <s v="Female"/>
    <n v="46.1"/>
    <n v="1.76"/>
    <n v="165"/>
    <n v="130"/>
    <n v="60"/>
    <n v="1.44"/>
    <n v="842"/>
    <s v="Strength"/>
    <n v="25.8"/>
    <n v="1.7"/>
    <n v="3"/>
    <n v="2"/>
    <n v="14.88"/>
    <x v="2"/>
  </r>
  <r>
    <n v="341"/>
    <x v="0"/>
    <n v="50"/>
    <s v="Male"/>
    <n v="90.8"/>
    <n v="1.71"/>
    <n v="173"/>
    <n v="153"/>
    <n v="62"/>
    <n v="1.07"/>
    <n v="810"/>
    <s v="Yoga"/>
    <n v="22.6"/>
    <n v="3.4"/>
    <n v="4"/>
    <n v="2"/>
    <n v="31.05"/>
    <x v="0"/>
  </r>
  <r>
    <n v="342"/>
    <x v="9"/>
    <n v="26"/>
    <s v="Female"/>
    <n v="59.3"/>
    <n v="1.51"/>
    <n v="181"/>
    <n v="129"/>
    <n v="71"/>
    <n v="1.7"/>
    <n v="1096"/>
    <s v="Strength"/>
    <n v="15.1"/>
    <n v="2.7"/>
    <n v="5"/>
    <n v="3"/>
    <n v="26.01"/>
    <x v="3"/>
  </r>
  <r>
    <n v="343"/>
    <x v="1"/>
    <n v="56"/>
    <s v="Female"/>
    <n v="45.1"/>
    <n v="1.73"/>
    <n v="165"/>
    <n v="129"/>
    <n v="73"/>
    <n v="0.83"/>
    <n v="482"/>
    <s v="Strength"/>
    <n v="25.4"/>
    <n v="2.6"/>
    <n v="3"/>
    <n v="1"/>
    <n v="15.07"/>
    <x v="2"/>
  </r>
  <r>
    <n v="344"/>
    <x v="1"/>
    <n v="46"/>
    <s v="Male"/>
    <n v="45"/>
    <n v="1.77"/>
    <n v="185"/>
    <n v="162"/>
    <n v="58"/>
    <n v="1.48"/>
    <n v="1187"/>
    <s v="Cardio"/>
    <n v="29.1"/>
    <n v="3.6"/>
    <n v="3"/>
    <n v="2"/>
    <n v="14.36"/>
    <x v="2"/>
  </r>
  <r>
    <n v="345"/>
    <x v="8"/>
    <n v="59"/>
    <s v="Male"/>
    <n v="89.4"/>
    <n v="1.62"/>
    <n v="198"/>
    <n v="125"/>
    <n v="59"/>
    <n v="1.43"/>
    <n v="885"/>
    <s v="Strength"/>
    <n v="23.5"/>
    <n v="3.6"/>
    <n v="3"/>
    <n v="2"/>
    <n v="34.06"/>
    <x v="0"/>
  </r>
  <r>
    <n v="346"/>
    <x v="2"/>
    <n v="43"/>
    <s v="Male"/>
    <n v="127.7"/>
    <n v="1.69"/>
    <n v="171"/>
    <n v="155"/>
    <n v="53"/>
    <n v="1.1399999999999999"/>
    <n v="875"/>
    <s v="Cardio"/>
    <n v="24.1"/>
    <n v="2.9"/>
    <n v="3"/>
    <n v="2"/>
    <n v="44.71"/>
    <x v="0"/>
  </r>
  <r>
    <n v="347"/>
    <x v="5"/>
    <n v="52"/>
    <s v="Male"/>
    <n v="70.900000000000006"/>
    <n v="1.72"/>
    <n v="194"/>
    <n v="143"/>
    <n v="66"/>
    <n v="1.31"/>
    <n v="927"/>
    <s v="Strength"/>
    <n v="20.2"/>
    <n v="2.6"/>
    <n v="3"/>
    <n v="2"/>
    <n v="23.97"/>
    <x v="1"/>
  </r>
  <r>
    <n v="348"/>
    <x v="0"/>
    <n v="42"/>
    <s v="Female"/>
    <n v="49.2"/>
    <n v="1.5"/>
    <n v="173"/>
    <n v="131"/>
    <n v="63"/>
    <n v="1.1499999999999999"/>
    <n v="678"/>
    <s v="HIIT"/>
    <n v="27.7"/>
    <n v="1.5"/>
    <n v="3"/>
    <n v="2"/>
    <n v="21.87"/>
    <x v="1"/>
  </r>
  <r>
    <n v="349"/>
    <x v="7"/>
    <n v="41"/>
    <s v="Female"/>
    <n v="62.3"/>
    <n v="1.79"/>
    <n v="181"/>
    <n v="162"/>
    <n v="73"/>
    <n v="1.99"/>
    <n v="1451"/>
    <s v="Yoga"/>
    <n v="19"/>
    <n v="2.7"/>
    <n v="5"/>
    <n v="3"/>
    <n v="19.440000000000001"/>
    <x v="1"/>
  </r>
  <r>
    <n v="350"/>
    <x v="7"/>
    <n v="30"/>
    <s v="Male"/>
    <n v="64.099999999999994"/>
    <n v="1.87"/>
    <n v="182"/>
    <n v="142"/>
    <n v="67"/>
    <n v="0.64"/>
    <n v="500"/>
    <s v="Yoga"/>
    <n v="26.2"/>
    <n v="2.1"/>
    <n v="2"/>
    <n v="1"/>
    <n v="18.329999999999998"/>
    <x v="2"/>
  </r>
  <r>
    <n v="351"/>
    <x v="0"/>
    <n v="24"/>
    <s v="Female"/>
    <n v="69.7"/>
    <n v="1.75"/>
    <n v="166"/>
    <n v="146"/>
    <n v="60"/>
    <n v="1.41"/>
    <n v="1029"/>
    <s v="Cardio"/>
    <n v="32.5"/>
    <n v="2"/>
    <n v="3"/>
    <n v="1"/>
    <n v="22.76"/>
    <x v="1"/>
  </r>
  <r>
    <n v="352"/>
    <x v="6"/>
    <n v="53"/>
    <s v="Female"/>
    <n v="56.9"/>
    <n v="1.59"/>
    <n v="199"/>
    <n v="164"/>
    <n v="65"/>
    <n v="1.49"/>
    <n v="1100"/>
    <s v="HIIT"/>
    <n v="29.5"/>
    <n v="2"/>
    <n v="3"/>
    <n v="2"/>
    <n v="22.51"/>
    <x v="1"/>
  </r>
  <r>
    <n v="353"/>
    <x v="5"/>
    <n v="37"/>
    <s v="Female"/>
    <n v="53"/>
    <n v="1.71"/>
    <n v="184"/>
    <n v="156"/>
    <n v="50"/>
    <n v="1.1299999999999999"/>
    <n v="881"/>
    <s v="Yoga"/>
    <n v="28.1"/>
    <n v="1.7"/>
    <n v="4"/>
    <n v="2"/>
    <n v="18.13"/>
    <x v="2"/>
  </r>
  <r>
    <n v="354"/>
    <x v="9"/>
    <n v="18"/>
    <s v="Female"/>
    <n v="72.7"/>
    <n v="1.55"/>
    <n v="172"/>
    <n v="125"/>
    <n v="56"/>
    <n v="0.84"/>
    <n v="525"/>
    <s v="Cardio"/>
    <n v="29.8"/>
    <n v="2"/>
    <n v="3"/>
    <n v="1"/>
    <n v="30.26"/>
    <x v="0"/>
  </r>
  <r>
    <n v="355"/>
    <x v="4"/>
    <n v="25"/>
    <s v="Male"/>
    <n v="76.5"/>
    <n v="1.96"/>
    <n v="180"/>
    <n v="120"/>
    <n v="59"/>
    <n v="0.67"/>
    <n v="442"/>
    <s v="Strength"/>
    <n v="23.2"/>
    <n v="2.2999999999999998"/>
    <n v="3"/>
    <n v="1"/>
    <n v="19.91"/>
    <x v="1"/>
  </r>
  <r>
    <n v="356"/>
    <x v="6"/>
    <n v="33"/>
    <s v="Male"/>
    <n v="113.6"/>
    <n v="1.99"/>
    <n v="169"/>
    <n v="125"/>
    <n v="58"/>
    <n v="1.38"/>
    <n v="949"/>
    <s v="Strength"/>
    <n v="28.4"/>
    <n v="3.4"/>
    <n v="2"/>
    <n v="1"/>
    <n v="28.69"/>
    <x v="3"/>
  </r>
  <r>
    <n v="357"/>
    <x v="4"/>
    <n v="31"/>
    <s v="Female"/>
    <n v="62.5"/>
    <n v="1.62"/>
    <n v="168"/>
    <n v="169"/>
    <n v="74"/>
    <n v="1.56"/>
    <n v="1318"/>
    <s v="HIIT"/>
    <n v="16.5"/>
    <n v="2.7"/>
    <n v="4"/>
    <n v="3"/>
    <n v="23.81"/>
    <x v="1"/>
  </r>
  <r>
    <n v="358"/>
    <x v="4"/>
    <n v="29"/>
    <s v="Male"/>
    <n v="95.2"/>
    <n v="1.86"/>
    <n v="174"/>
    <n v="141"/>
    <n v="52"/>
    <n v="0.64"/>
    <n v="496"/>
    <s v="Yoga"/>
    <n v="26.6"/>
    <n v="2.5"/>
    <n v="2"/>
    <n v="1"/>
    <n v="27.52"/>
    <x v="3"/>
  </r>
  <r>
    <n v="359"/>
    <x v="6"/>
    <n v="40"/>
    <s v="Male"/>
    <n v="51.7"/>
    <n v="1.82"/>
    <n v="161"/>
    <n v="160"/>
    <n v="71"/>
    <n v="0.9"/>
    <n v="792"/>
    <s v="Strength"/>
    <n v="21.4"/>
    <n v="3"/>
    <n v="3"/>
    <n v="1"/>
    <n v="15.61"/>
    <x v="2"/>
  </r>
  <r>
    <n v="360"/>
    <x v="8"/>
    <n v="32"/>
    <s v="Male"/>
    <n v="105.3"/>
    <n v="1.67"/>
    <n v="184"/>
    <n v="143"/>
    <n v="72"/>
    <n v="0.56999999999999995"/>
    <n v="448"/>
    <s v="Cardio"/>
    <n v="26.9"/>
    <n v="2.9"/>
    <n v="3"/>
    <n v="1"/>
    <n v="37.76"/>
    <x v="0"/>
  </r>
  <r>
    <n v="361"/>
    <x v="1"/>
    <n v="45"/>
    <s v="Female"/>
    <n v="71.2"/>
    <n v="1.68"/>
    <n v="172"/>
    <n v="144"/>
    <n v="63"/>
    <n v="1.37"/>
    <n v="888"/>
    <s v="Strength"/>
    <n v="34.1"/>
    <n v="1.6"/>
    <n v="3"/>
    <n v="1"/>
    <n v="25.23"/>
    <x v="3"/>
  </r>
  <r>
    <n v="362"/>
    <x v="4"/>
    <n v="51"/>
    <s v="Female"/>
    <n v="78.099999999999994"/>
    <n v="1.51"/>
    <n v="193"/>
    <n v="134"/>
    <n v="74"/>
    <n v="0.92"/>
    <n v="555"/>
    <s v="Strength"/>
    <n v="31.1"/>
    <n v="2.6"/>
    <n v="3"/>
    <n v="1"/>
    <n v="34.25"/>
    <x v="0"/>
  </r>
  <r>
    <n v="363"/>
    <x v="6"/>
    <n v="19"/>
    <s v="Female"/>
    <n v="50.6"/>
    <n v="1.68"/>
    <n v="193"/>
    <n v="145"/>
    <n v="64"/>
    <n v="1.21"/>
    <n v="877"/>
    <s v="Yoga"/>
    <n v="30.6"/>
    <n v="2.1"/>
    <n v="3"/>
    <n v="2"/>
    <n v="17.93"/>
    <x v="2"/>
  </r>
  <r>
    <n v="364"/>
    <x v="6"/>
    <n v="49"/>
    <s v="Male"/>
    <n v="70.2"/>
    <n v="1.89"/>
    <n v="194"/>
    <n v="127"/>
    <n v="51"/>
    <n v="0.7"/>
    <n v="440"/>
    <s v="Yoga"/>
    <n v="29.6"/>
    <n v="2.6"/>
    <n v="3"/>
    <n v="1"/>
    <n v="19.649999999999999"/>
    <x v="1"/>
  </r>
  <r>
    <n v="365"/>
    <x v="3"/>
    <n v="40"/>
    <s v="Female"/>
    <n v="62.6"/>
    <n v="1.53"/>
    <n v="197"/>
    <n v="143"/>
    <n v="73"/>
    <n v="1.93"/>
    <n v="1380"/>
    <s v="Cardio"/>
    <n v="18.100000000000001"/>
    <n v="2.7"/>
    <n v="5"/>
    <n v="3"/>
    <n v="26.74"/>
    <x v="3"/>
  </r>
  <r>
    <n v="366"/>
    <x v="8"/>
    <n v="39"/>
    <s v="Female"/>
    <n v="60.6"/>
    <n v="1.65"/>
    <n v="162"/>
    <n v="167"/>
    <n v="63"/>
    <n v="0.92"/>
    <n v="768"/>
    <s v="HIIT"/>
    <n v="27.6"/>
    <n v="1.7"/>
    <n v="3"/>
    <n v="1"/>
    <n v="22.26"/>
    <x v="1"/>
  </r>
  <r>
    <n v="367"/>
    <x v="2"/>
    <n v="42"/>
    <s v="Male"/>
    <n v="76.400000000000006"/>
    <n v="1.97"/>
    <n v="165"/>
    <n v="157"/>
    <n v="65"/>
    <n v="1.1399999999999999"/>
    <n v="886"/>
    <s v="HIIT"/>
    <n v="22.9"/>
    <n v="2.6"/>
    <n v="3"/>
    <n v="2"/>
    <n v="19.690000000000001"/>
    <x v="1"/>
  </r>
  <r>
    <n v="368"/>
    <x v="3"/>
    <n v="39"/>
    <s v="Female"/>
    <n v="63.3"/>
    <n v="1.71"/>
    <n v="178"/>
    <n v="125"/>
    <n v="56"/>
    <n v="1.88"/>
    <n v="1175"/>
    <s v="Strength"/>
    <n v="18.5"/>
    <n v="2.7"/>
    <n v="4"/>
    <n v="3"/>
    <n v="21.65"/>
    <x v="1"/>
  </r>
  <r>
    <n v="369"/>
    <x v="3"/>
    <n v="39"/>
    <s v="Female"/>
    <n v="68.599999999999994"/>
    <n v="1.64"/>
    <n v="162"/>
    <n v="154"/>
    <n v="53"/>
    <n v="1.33"/>
    <n v="1024"/>
    <s v="Cardio"/>
    <n v="32.4"/>
    <n v="1.5"/>
    <n v="3"/>
    <n v="2"/>
    <n v="25.51"/>
    <x v="3"/>
  </r>
  <r>
    <n v="370"/>
    <x v="0"/>
    <n v="59"/>
    <s v="Male"/>
    <n v="123.3"/>
    <n v="1.88"/>
    <n v="177"/>
    <n v="161"/>
    <n v="67"/>
    <n v="1.3"/>
    <n v="1036"/>
    <s v="HIIT"/>
    <n v="23"/>
    <n v="2.6"/>
    <n v="4"/>
    <n v="2"/>
    <n v="34.89"/>
    <x v="0"/>
  </r>
  <r>
    <n v="371"/>
    <x v="1"/>
    <n v="23"/>
    <s v="Male"/>
    <n v="107"/>
    <n v="1.94"/>
    <n v="198"/>
    <n v="120"/>
    <n v="73"/>
    <n v="1.35"/>
    <n v="891"/>
    <s v="HIIT"/>
    <n v="23.5"/>
    <n v="2.9"/>
    <n v="2"/>
    <n v="1"/>
    <n v="28.43"/>
    <x v="3"/>
  </r>
  <r>
    <n v="372"/>
    <x v="6"/>
    <n v="32"/>
    <s v="Male"/>
    <n v="68.3"/>
    <n v="1.92"/>
    <n v="168"/>
    <n v="165"/>
    <n v="54"/>
    <n v="1.42"/>
    <n v="1289"/>
    <s v="Strength"/>
    <n v="29.9"/>
    <n v="3.5"/>
    <n v="2"/>
    <n v="1"/>
    <n v="18.53"/>
    <x v="1"/>
  </r>
  <r>
    <n v="373"/>
    <x v="1"/>
    <n v="54"/>
    <s v="Female"/>
    <n v="47.8"/>
    <n v="1.6"/>
    <n v="171"/>
    <n v="155"/>
    <n v="55"/>
    <n v="1.19"/>
    <n v="830"/>
    <s v="Cardio"/>
    <n v="26"/>
    <n v="2.2999999999999998"/>
    <n v="4"/>
    <n v="2"/>
    <n v="18.670000000000002"/>
    <x v="1"/>
  </r>
  <r>
    <n v="374"/>
    <x v="5"/>
    <n v="50"/>
    <s v="Female"/>
    <n v="58.4"/>
    <n v="1.79"/>
    <n v="164"/>
    <n v="131"/>
    <n v="56"/>
    <n v="1.6"/>
    <n v="943"/>
    <s v="HIIT"/>
    <n v="17"/>
    <n v="2.7"/>
    <n v="4"/>
    <n v="3"/>
    <n v="18.23"/>
    <x v="2"/>
  </r>
  <r>
    <n v="375"/>
    <x v="0"/>
    <n v="25"/>
    <s v="Female"/>
    <n v="74.3"/>
    <n v="1.71"/>
    <n v="162"/>
    <n v="157"/>
    <n v="64"/>
    <n v="1.43"/>
    <n v="1123"/>
    <s v="Yoga"/>
    <n v="25.6"/>
    <n v="1.6"/>
    <n v="3"/>
    <n v="2"/>
    <n v="25.41"/>
    <x v="3"/>
  </r>
  <r>
    <n v="376"/>
    <x v="2"/>
    <n v="22"/>
    <s v="Male"/>
    <n v="106.8"/>
    <n v="1.82"/>
    <n v="170"/>
    <n v="130"/>
    <n v="50"/>
    <n v="1"/>
    <n v="715"/>
    <s v="Yoga"/>
    <n v="28.2"/>
    <n v="2.2999999999999998"/>
    <n v="4"/>
    <n v="2"/>
    <n v="32.24"/>
    <x v="0"/>
  </r>
  <r>
    <n v="377"/>
    <x v="1"/>
    <n v="56"/>
    <s v="Male"/>
    <n v="125.5"/>
    <n v="1.8"/>
    <n v="189"/>
    <n v="131"/>
    <n v="73"/>
    <n v="1.26"/>
    <n v="817"/>
    <s v="Strength"/>
    <n v="20.9"/>
    <n v="2.7"/>
    <n v="4"/>
    <n v="2"/>
    <n v="38.729999999999997"/>
    <x v="0"/>
  </r>
  <r>
    <n v="378"/>
    <x v="7"/>
    <n v="21"/>
    <s v="Female"/>
    <n v="55.2"/>
    <n v="1.55"/>
    <n v="163"/>
    <n v="161"/>
    <n v="53"/>
    <n v="1.37"/>
    <n v="1103"/>
    <s v="Strength"/>
    <n v="31.7"/>
    <n v="1.7"/>
    <n v="4"/>
    <n v="2"/>
    <n v="22.98"/>
    <x v="1"/>
  </r>
  <r>
    <n v="379"/>
    <x v="4"/>
    <n v="23"/>
    <s v="Female"/>
    <n v="71.400000000000006"/>
    <n v="1.72"/>
    <n v="164"/>
    <n v="169"/>
    <n v="74"/>
    <n v="1.25"/>
    <n v="1056"/>
    <s v="Strength"/>
    <n v="25.6"/>
    <n v="1.5"/>
    <n v="2"/>
    <n v="1"/>
    <n v="24.13"/>
    <x v="1"/>
  </r>
  <r>
    <n v="380"/>
    <x v="5"/>
    <n v="49"/>
    <s v="Male"/>
    <n v="77.7"/>
    <n v="1.61"/>
    <n v="160"/>
    <n v="158"/>
    <n v="50"/>
    <n v="1.03"/>
    <n v="806"/>
    <s v="Strength"/>
    <n v="26.7"/>
    <n v="3.4"/>
    <n v="3"/>
    <n v="2"/>
    <n v="29.98"/>
    <x v="3"/>
  </r>
  <r>
    <n v="381"/>
    <x v="8"/>
    <n v="47"/>
    <s v="Male"/>
    <n v="88.4"/>
    <n v="1.6"/>
    <n v="186"/>
    <n v="126"/>
    <n v="60"/>
    <n v="1.86"/>
    <n v="1160"/>
    <s v="HIIT"/>
    <n v="14.2"/>
    <n v="3.5"/>
    <n v="5"/>
    <n v="3"/>
    <n v="34.53"/>
    <x v="0"/>
  </r>
  <r>
    <n v="382"/>
    <x v="2"/>
    <n v="52"/>
    <s v="Male"/>
    <n v="104.8"/>
    <n v="1.99"/>
    <n v="187"/>
    <n v="130"/>
    <n v="67"/>
    <n v="0.93"/>
    <n v="598"/>
    <s v="Cardio"/>
    <n v="24"/>
    <n v="2"/>
    <n v="2"/>
    <n v="1"/>
    <n v="26.46"/>
    <x v="3"/>
  </r>
  <r>
    <n v="383"/>
    <x v="5"/>
    <n v="57"/>
    <s v="Male"/>
    <n v="82.2"/>
    <n v="1.69"/>
    <n v="188"/>
    <n v="155"/>
    <n v="63"/>
    <n v="1.1499999999999999"/>
    <n v="882"/>
    <s v="Strength"/>
    <n v="25.2"/>
    <n v="3.4"/>
    <n v="4"/>
    <n v="2"/>
    <n v="28.78"/>
    <x v="3"/>
  </r>
  <r>
    <n v="384"/>
    <x v="4"/>
    <n v="33"/>
    <s v="Female"/>
    <n v="68.2"/>
    <n v="1.75"/>
    <n v="177"/>
    <n v="150"/>
    <n v="71"/>
    <n v="0.85"/>
    <n v="638"/>
    <s v="Strength"/>
    <n v="29"/>
    <n v="1.7"/>
    <n v="2"/>
    <n v="1"/>
    <n v="22.27"/>
    <x v="1"/>
  </r>
  <r>
    <n v="385"/>
    <x v="0"/>
    <n v="30"/>
    <s v="Male"/>
    <n v="91.4"/>
    <n v="1.99"/>
    <n v="171"/>
    <n v="152"/>
    <n v="60"/>
    <n v="1.37"/>
    <n v="1145"/>
    <s v="HIIT"/>
    <n v="23"/>
    <n v="3.7"/>
    <n v="3"/>
    <n v="2"/>
    <n v="23.08"/>
    <x v="1"/>
  </r>
  <r>
    <n v="386"/>
    <x v="4"/>
    <n v="59"/>
    <s v="Female"/>
    <n v="42.1"/>
    <n v="1.65"/>
    <n v="172"/>
    <n v="132"/>
    <n v="59"/>
    <n v="1.22"/>
    <n v="725"/>
    <s v="Strength"/>
    <n v="33"/>
    <n v="2.2000000000000002"/>
    <n v="2"/>
    <n v="1"/>
    <n v="15.46"/>
    <x v="2"/>
  </r>
  <r>
    <n v="387"/>
    <x v="3"/>
    <n v="47"/>
    <s v="Female"/>
    <n v="68.7"/>
    <n v="1.76"/>
    <n v="161"/>
    <n v="137"/>
    <n v="66"/>
    <n v="1.37"/>
    <n v="845"/>
    <s v="Strength"/>
    <n v="27.7"/>
    <n v="2.4"/>
    <n v="3"/>
    <n v="2"/>
    <n v="22.18"/>
    <x v="1"/>
  </r>
  <r>
    <n v="388"/>
    <x v="4"/>
    <n v="36"/>
    <s v="Female"/>
    <n v="47.2"/>
    <n v="1.74"/>
    <n v="196"/>
    <n v="160"/>
    <n v="53"/>
    <n v="1.5"/>
    <n v="1200"/>
    <s v="Cardio"/>
    <n v="32.200000000000003"/>
    <n v="1.6"/>
    <n v="4"/>
    <n v="2"/>
    <n v="15.59"/>
    <x v="2"/>
  </r>
  <r>
    <n v="389"/>
    <x v="3"/>
    <n v="34"/>
    <s v="Male"/>
    <n v="92"/>
    <n v="1.76"/>
    <n v="175"/>
    <n v="143"/>
    <n v="73"/>
    <n v="0.73"/>
    <n v="574"/>
    <s v="Yoga"/>
    <n v="22.1"/>
    <n v="3.5"/>
    <n v="3"/>
    <n v="1"/>
    <n v="29.7"/>
    <x v="3"/>
  </r>
  <r>
    <n v="390"/>
    <x v="0"/>
    <n v="36"/>
    <s v="Male"/>
    <n v="56.2"/>
    <n v="1.95"/>
    <n v="183"/>
    <n v="128"/>
    <n v="64"/>
    <n v="1.0900000000000001"/>
    <n v="767"/>
    <s v="Strength"/>
    <n v="22.5"/>
    <n v="3.4"/>
    <n v="4"/>
    <n v="2"/>
    <n v="14.78"/>
    <x v="2"/>
  </r>
  <r>
    <n v="391"/>
    <x v="9"/>
    <n v="45"/>
    <s v="Male"/>
    <n v="58.4"/>
    <n v="1.72"/>
    <n v="194"/>
    <n v="150"/>
    <n v="65"/>
    <n v="1.31"/>
    <n v="973"/>
    <s v="HIIT"/>
    <n v="23.4"/>
    <n v="3.1"/>
    <n v="4"/>
    <n v="2"/>
    <n v="19.739999999999998"/>
    <x v="1"/>
  </r>
  <r>
    <n v="392"/>
    <x v="3"/>
    <n v="43"/>
    <s v="Male"/>
    <n v="82.9"/>
    <n v="1.95"/>
    <n v="181"/>
    <n v="160"/>
    <n v="70"/>
    <n v="1.9"/>
    <n v="1505"/>
    <s v="Cardio"/>
    <n v="12.9"/>
    <n v="3.5"/>
    <n v="5"/>
    <n v="3"/>
    <n v="21.8"/>
    <x v="1"/>
  </r>
  <r>
    <n v="393"/>
    <x v="8"/>
    <n v="54"/>
    <s v="Female"/>
    <n v="66.900000000000006"/>
    <n v="1.74"/>
    <n v="195"/>
    <n v="129"/>
    <n v="62"/>
    <n v="1.24"/>
    <n v="720"/>
    <s v="HIIT"/>
    <n v="29.5"/>
    <n v="2.1"/>
    <n v="2"/>
    <n v="1"/>
    <n v="22.1"/>
    <x v="1"/>
  </r>
  <r>
    <n v="394"/>
    <x v="4"/>
    <n v="43"/>
    <s v="Male"/>
    <n v="66.3"/>
    <n v="1.85"/>
    <n v="170"/>
    <n v="121"/>
    <n v="58"/>
    <n v="1.18"/>
    <n v="707"/>
    <s v="Cardio"/>
    <n v="27.5"/>
    <n v="3.2"/>
    <n v="2"/>
    <n v="1"/>
    <n v="19.37"/>
    <x v="1"/>
  </r>
  <r>
    <n v="395"/>
    <x v="4"/>
    <n v="40"/>
    <s v="Male"/>
    <n v="93.6"/>
    <n v="1.93"/>
    <n v="188"/>
    <n v="157"/>
    <n v="60"/>
    <n v="1.38"/>
    <n v="1192"/>
    <s v="Cardio"/>
    <n v="22.1"/>
    <n v="2"/>
    <n v="3"/>
    <n v="1"/>
    <n v="25.13"/>
    <x v="3"/>
  </r>
  <r>
    <n v="396"/>
    <x v="8"/>
    <n v="26"/>
    <s v="Female"/>
    <n v="64.099999999999994"/>
    <n v="1.5"/>
    <n v="194"/>
    <n v="134"/>
    <n v="60"/>
    <n v="1.93"/>
    <n v="1293"/>
    <s v="Strength"/>
    <n v="15.1"/>
    <n v="2.7"/>
    <n v="5"/>
    <n v="3"/>
    <n v="28.49"/>
    <x v="3"/>
  </r>
  <r>
    <n v="397"/>
    <x v="7"/>
    <n v="29"/>
    <s v="Male"/>
    <n v="86.7"/>
    <n v="1.62"/>
    <n v="174"/>
    <n v="122"/>
    <n v="55"/>
    <n v="1.52"/>
    <n v="1020"/>
    <s v="Strength"/>
    <n v="13.9"/>
    <n v="3.5"/>
    <n v="4"/>
    <n v="3"/>
    <n v="33.04"/>
    <x v="0"/>
  </r>
  <r>
    <n v="398"/>
    <x v="6"/>
    <n v="18"/>
    <s v="Female"/>
    <n v="62"/>
    <n v="1.59"/>
    <n v="190"/>
    <n v="162"/>
    <n v="50"/>
    <n v="1.23"/>
    <n v="996"/>
    <s v="Strength"/>
    <n v="33.200000000000003"/>
    <n v="2.2000000000000002"/>
    <n v="4"/>
    <n v="2"/>
    <n v="24.52"/>
    <x v="1"/>
  </r>
  <r>
    <n v="399"/>
    <x v="9"/>
    <n v="18"/>
    <s v="Female"/>
    <n v="58.1"/>
    <n v="1.61"/>
    <n v="175"/>
    <n v="150"/>
    <n v="71"/>
    <n v="1.9"/>
    <n v="1425"/>
    <s v="Yoga"/>
    <n v="15.3"/>
    <n v="2.7"/>
    <n v="4"/>
    <n v="3"/>
    <n v="22.41"/>
    <x v="1"/>
  </r>
  <r>
    <n v="400"/>
    <x v="2"/>
    <n v="51"/>
    <s v="Female"/>
    <n v="64.900000000000006"/>
    <n v="1.6"/>
    <n v="169"/>
    <n v="125"/>
    <n v="55"/>
    <n v="1.49"/>
    <n v="838"/>
    <s v="Yoga"/>
    <n v="31.1"/>
    <n v="2.5"/>
    <n v="4"/>
    <n v="2"/>
    <n v="25.35"/>
    <x v="3"/>
  </r>
  <r>
    <n v="401"/>
    <x v="3"/>
    <n v="49"/>
    <s v="Female"/>
    <n v="69.3"/>
    <n v="1.62"/>
    <n v="191"/>
    <n v="122"/>
    <n v="62"/>
    <n v="1.1399999999999999"/>
    <n v="626"/>
    <s v="HIIT"/>
    <n v="28.8"/>
    <n v="1.9"/>
    <n v="4"/>
    <n v="2"/>
    <n v="26.41"/>
    <x v="3"/>
  </r>
  <r>
    <n v="402"/>
    <x v="8"/>
    <n v="42"/>
    <s v="Female"/>
    <n v="42.7"/>
    <n v="1.74"/>
    <n v="161"/>
    <n v="130"/>
    <n v="71"/>
    <n v="1.04"/>
    <n v="608"/>
    <s v="Strength"/>
    <n v="32.9"/>
    <n v="1.6"/>
    <n v="3"/>
    <n v="1"/>
    <n v="14.1"/>
    <x v="2"/>
  </r>
  <r>
    <n v="403"/>
    <x v="0"/>
    <n v="57"/>
    <s v="Female"/>
    <n v="51.4"/>
    <n v="1.63"/>
    <n v="183"/>
    <n v="134"/>
    <n v="73"/>
    <n v="1.2"/>
    <n v="724"/>
    <s v="Yoga"/>
    <n v="33.700000000000003"/>
    <n v="2"/>
    <n v="4"/>
    <n v="2"/>
    <n v="19.350000000000001"/>
    <x v="1"/>
  </r>
  <r>
    <n v="404"/>
    <x v="3"/>
    <n v="18"/>
    <s v="Female"/>
    <n v="67.400000000000006"/>
    <n v="1.6"/>
    <n v="182"/>
    <n v="164"/>
    <n v="71"/>
    <n v="0.6"/>
    <n v="492"/>
    <s v="Strength"/>
    <n v="33.5"/>
    <n v="2.4"/>
    <n v="3"/>
    <n v="1"/>
    <n v="26.33"/>
    <x v="3"/>
  </r>
  <r>
    <n v="405"/>
    <x v="6"/>
    <n v="33"/>
    <s v="Female"/>
    <n v="55.6"/>
    <n v="1.61"/>
    <n v="161"/>
    <n v="147"/>
    <n v="54"/>
    <n v="1.77"/>
    <n v="1301"/>
    <s v="Yoga"/>
    <n v="18.899999999999999"/>
    <n v="2.7"/>
    <n v="4"/>
    <n v="3"/>
    <n v="21.45"/>
    <x v="1"/>
  </r>
  <r>
    <n v="406"/>
    <x v="0"/>
    <n v="56"/>
    <s v="Male"/>
    <n v="125.3"/>
    <n v="1.86"/>
    <n v="197"/>
    <n v="129"/>
    <n v="64"/>
    <n v="1"/>
    <n v="639"/>
    <s v="Yoga"/>
    <n v="22.7"/>
    <n v="2.2000000000000002"/>
    <n v="3"/>
    <n v="2"/>
    <n v="36.22"/>
    <x v="0"/>
  </r>
  <r>
    <n v="407"/>
    <x v="5"/>
    <n v="22"/>
    <s v="Male"/>
    <n v="102.1"/>
    <n v="1.85"/>
    <n v="190"/>
    <n v="157"/>
    <n v="67"/>
    <n v="1.48"/>
    <n v="1278"/>
    <s v="Cardio"/>
    <n v="28.1"/>
    <n v="2.4"/>
    <n v="4"/>
    <n v="2"/>
    <n v="29.83"/>
    <x v="3"/>
  </r>
  <r>
    <n v="408"/>
    <x v="4"/>
    <n v="39"/>
    <s v="Male"/>
    <n v="61.9"/>
    <n v="1.77"/>
    <n v="199"/>
    <n v="166"/>
    <n v="69"/>
    <n v="1.32"/>
    <n v="1205"/>
    <s v="Strength"/>
    <n v="25.3"/>
    <n v="2.2999999999999998"/>
    <n v="3"/>
    <n v="1"/>
    <n v="19.760000000000002"/>
    <x v="1"/>
  </r>
  <r>
    <n v="409"/>
    <x v="5"/>
    <n v="46"/>
    <s v="Male"/>
    <n v="108.8"/>
    <n v="1.64"/>
    <n v="185"/>
    <n v="169"/>
    <n v="63"/>
    <n v="1.4"/>
    <n v="1171"/>
    <s v="Strength"/>
    <n v="20.5"/>
    <n v="3.4"/>
    <n v="3"/>
    <n v="1"/>
    <n v="40.450000000000003"/>
    <x v="0"/>
  </r>
  <r>
    <n v="410"/>
    <x v="3"/>
    <n v="20"/>
    <s v="Female"/>
    <n v="51.1"/>
    <n v="1.58"/>
    <n v="188"/>
    <n v="169"/>
    <n v="64"/>
    <n v="0.5"/>
    <n v="422"/>
    <s v="Yoga"/>
    <n v="29.6"/>
    <n v="1.6"/>
    <n v="2"/>
    <n v="1"/>
    <n v="20.47"/>
    <x v="1"/>
  </r>
  <r>
    <n v="411"/>
    <x v="6"/>
    <n v="29"/>
    <s v="Male"/>
    <n v="81.7"/>
    <n v="1.99"/>
    <n v="162"/>
    <n v="126"/>
    <n v="54"/>
    <n v="1.45"/>
    <n v="1005"/>
    <s v="Strength"/>
    <n v="29.4"/>
    <n v="3.2"/>
    <n v="2"/>
    <n v="1"/>
    <n v="20.63"/>
    <x v="1"/>
  </r>
  <r>
    <n v="412"/>
    <x v="9"/>
    <n v="43"/>
    <s v="Female"/>
    <n v="42.7"/>
    <n v="1.66"/>
    <n v="173"/>
    <n v="134"/>
    <n v="53"/>
    <n v="0.73"/>
    <n v="440"/>
    <s v="Yoga"/>
    <n v="33.9"/>
    <n v="1.9"/>
    <n v="2"/>
    <n v="1"/>
    <n v="15.5"/>
    <x v="2"/>
  </r>
  <r>
    <n v="413"/>
    <x v="3"/>
    <n v="33"/>
    <s v="Male"/>
    <n v="81.8"/>
    <n v="1.99"/>
    <n v="184"/>
    <n v="137"/>
    <n v="51"/>
    <n v="1.59"/>
    <n v="1198"/>
    <s v="Strength"/>
    <n v="10.5"/>
    <n v="3.5"/>
    <n v="4"/>
    <n v="3"/>
    <n v="20.66"/>
    <x v="1"/>
  </r>
  <r>
    <n v="414"/>
    <x v="8"/>
    <n v="54"/>
    <s v="Male"/>
    <n v="54.6"/>
    <n v="1.76"/>
    <n v="160"/>
    <n v="137"/>
    <n v="56"/>
    <n v="1.28"/>
    <n v="868"/>
    <s v="Cardio"/>
    <n v="27.4"/>
    <n v="3.3"/>
    <n v="4"/>
    <n v="2"/>
    <n v="17.63"/>
    <x v="2"/>
  </r>
  <r>
    <n v="415"/>
    <x v="1"/>
    <n v="39"/>
    <s v="Male"/>
    <n v="107.7"/>
    <n v="1.88"/>
    <n v="162"/>
    <n v="160"/>
    <n v="59"/>
    <n v="0.72"/>
    <n v="634"/>
    <s v="Strength"/>
    <n v="28.1"/>
    <n v="3.6"/>
    <n v="2"/>
    <n v="1"/>
    <n v="30.47"/>
    <x v="0"/>
  </r>
  <r>
    <n v="416"/>
    <x v="3"/>
    <n v="46"/>
    <s v="Female"/>
    <n v="56.9"/>
    <n v="1.6"/>
    <n v="185"/>
    <n v="143"/>
    <n v="65"/>
    <n v="0.88"/>
    <n v="566"/>
    <s v="Cardio"/>
    <n v="27.7"/>
    <n v="1.6"/>
    <n v="3"/>
    <n v="1"/>
    <n v="22.23"/>
    <x v="1"/>
  </r>
  <r>
    <n v="417"/>
    <x v="4"/>
    <n v="31"/>
    <s v="Male"/>
    <n v="78.8"/>
    <n v="1.71"/>
    <n v="177"/>
    <n v="121"/>
    <n v="59"/>
    <n v="1.49"/>
    <n v="992"/>
    <s v="HIIT"/>
    <n v="24.7"/>
    <n v="2.5"/>
    <n v="4"/>
    <n v="2"/>
    <n v="26.95"/>
    <x v="3"/>
  </r>
  <r>
    <n v="418"/>
    <x v="4"/>
    <n v="45"/>
    <s v="Female"/>
    <n v="48.2"/>
    <n v="1.64"/>
    <n v="168"/>
    <n v="159"/>
    <n v="67"/>
    <n v="1.25"/>
    <n v="894"/>
    <s v="Strength"/>
    <n v="32.1"/>
    <n v="2.5"/>
    <n v="4"/>
    <n v="2"/>
    <n v="17.920000000000002"/>
    <x v="2"/>
  </r>
  <r>
    <n v="419"/>
    <x v="3"/>
    <n v="22"/>
    <s v="Female"/>
    <n v="50.7"/>
    <n v="1.59"/>
    <n v="197"/>
    <n v="139"/>
    <n v="66"/>
    <n v="1.27"/>
    <n v="883"/>
    <s v="Strength"/>
    <n v="29.4"/>
    <n v="1.8"/>
    <n v="3"/>
    <n v="2"/>
    <n v="20.05"/>
    <x v="1"/>
  </r>
  <r>
    <n v="420"/>
    <x v="0"/>
    <n v="47"/>
    <s v="Male"/>
    <n v="86.6"/>
    <n v="1.99"/>
    <n v="182"/>
    <n v="153"/>
    <n v="70"/>
    <n v="1.98"/>
    <n v="1500"/>
    <s v="Strength"/>
    <n v="10.6"/>
    <n v="3.5"/>
    <n v="4"/>
    <n v="3"/>
    <n v="21.87"/>
    <x v="1"/>
  </r>
  <r>
    <n v="421"/>
    <x v="1"/>
    <n v="22"/>
    <s v="Male"/>
    <n v="96.3"/>
    <n v="1.63"/>
    <n v="180"/>
    <n v="162"/>
    <n v="62"/>
    <n v="1.35"/>
    <n v="1203"/>
    <s v="Cardio"/>
    <n v="27.1"/>
    <n v="2.4"/>
    <n v="4"/>
    <n v="2"/>
    <n v="36.25"/>
    <x v="0"/>
  </r>
  <r>
    <n v="422"/>
    <x v="8"/>
    <n v="29"/>
    <s v="Male"/>
    <n v="80.8"/>
    <n v="1.98"/>
    <n v="160"/>
    <n v="145"/>
    <n v="50"/>
    <n v="1.65"/>
    <n v="1316"/>
    <s v="Strength"/>
    <n v="14.6"/>
    <n v="3.5"/>
    <n v="5"/>
    <n v="3"/>
    <n v="20.61"/>
    <x v="1"/>
  </r>
  <r>
    <n v="423"/>
    <x v="3"/>
    <n v="33"/>
    <s v="Female"/>
    <n v="58"/>
    <n v="1.53"/>
    <n v="180"/>
    <n v="126"/>
    <n v="50"/>
    <n v="1.84"/>
    <n v="1159"/>
    <s v="Strength"/>
    <n v="18.3"/>
    <n v="2.7"/>
    <n v="5"/>
    <n v="3"/>
    <n v="24.78"/>
    <x v="1"/>
  </r>
  <r>
    <n v="424"/>
    <x v="0"/>
    <n v="43"/>
    <s v="Male"/>
    <n v="95.9"/>
    <n v="1.85"/>
    <n v="186"/>
    <n v="157"/>
    <n v="64"/>
    <n v="1.28"/>
    <n v="995"/>
    <s v="Yoga"/>
    <n v="27.7"/>
    <n v="3.4"/>
    <n v="2"/>
    <n v="1"/>
    <n v="28.02"/>
    <x v="3"/>
  </r>
  <r>
    <n v="425"/>
    <x v="4"/>
    <n v="43"/>
    <s v="Female"/>
    <n v="61.5"/>
    <n v="1.58"/>
    <n v="165"/>
    <n v="149"/>
    <n v="50"/>
    <n v="1.86"/>
    <n v="1247"/>
    <s v="HIIT"/>
    <n v="16.8"/>
    <n v="2.7"/>
    <n v="5"/>
    <n v="3"/>
    <n v="24.64"/>
    <x v="1"/>
  </r>
  <r>
    <n v="426"/>
    <x v="4"/>
    <n v="38"/>
    <s v="Female"/>
    <n v="40.6"/>
    <n v="1.79"/>
    <n v="195"/>
    <n v="161"/>
    <n v="55"/>
    <n v="0.62"/>
    <n v="499"/>
    <s v="Cardio"/>
    <n v="26.8"/>
    <n v="2.7"/>
    <n v="2"/>
    <n v="1"/>
    <n v="12.67"/>
    <x v="2"/>
  </r>
  <r>
    <n v="427"/>
    <x v="6"/>
    <n v="56"/>
    <s v="Male"/>
    <n v="82.5"/>
    <n v="1.87"/>
    <n v="187"/>
    <n v="124"/>
    <n v="74"/>
    <n v="1.51"/>
    <n v="927"/>
    <s v="Yoga"/>
    <n v="13.2"/>
    <n v="3.5"/>
    <n v="5"/>
    <n v="3"/>
    <n v="23.59"/>
    <x v="1"/>
  </r>
  <r>
    <n v="428"/>
    <x v="3"/>
    <n v="53"/>
    <s v="Male"/>
    <n v="105.1"/>
    <n v="1.84"/>
    <n v="176"/>
    <n v="130"/>
    <n v="62"/>
    <n v="0.69"/>
    <n v="444"/>
    <s v="Cardio"/>
    <n v="23.3"/>
    <n v="2.9"/>
    <n v="3"/>
    <n v="1"/>
    <n v="31.04"/>
    <x v="0"/>
  </r>
  <r>
    <n v="429"/>
    <x v="1"/>
    <n v="50"/>
    <s v="Female"/>
    <n v="58.1"/>
    <n v="1.58"/>
    <n v="199"/>
    <n v="120"/>
    <n v="50"/>
    <n v="1.93"/>
    <n v="1042"/>
    <s v="Yoga"/>
    <n v="19.3"/>
    <n v="2.7"/>
    <n v="5"/>
    <n v="3"/>
    <n v="23.27"/>
    <x v="1"/>
  </r>
  <r>
    <n v="430"/>
    <x v="7"/>
    <n v="47"/>
    <s v="Female"/>
    <n v="61"/>
    <n v="1.76"/>
    <n v="162"/>
    <n v="153"/>
    <n v="54"/>
    <n v="1.54"/>
    <n v="1060"/>
    <s v="HIIT"/>
    <n v="15.6"/>
    <n v="2.7"/>
    <n v="5"/>
    <n v="3"/>
    <n v="19.690000000000001"/>
    <x v="1"/>
  </r>
  <r>
    <n v="431"/>
    <x v="1"/>
    <n v="54"/>
    <s v="Female"/>
    <n v="64.5"/>
    <n v="1.53"/>
    <n v="171"/>
    <n v="120"/>
    <n v="58"/>
    <n v="1.74"/>
    <n v="940"/>
    <s v="Yoga"/>
    <n v="17.2"/>
    <n v="2.7"/>
    <n v="4"/>
    <n v="3"/>
    <n v="27.55"/>
    <x v="3"/>
  </r>
  <r>
    <n v="432"/>
    <x v="4"/>
    <n v="40"/>
    <s v="Male"/>
    <n v="58.2"/>
    <n v="1.98"/>
    <n v="198"/>
    <n v="138"/>
    <n v="74"/>
    <n v="1.43"/>
    <n v="1085"/>
    <s v="Cardio"/>
    <n v="24"/>
    <n v="2.5"/>
    <n v="3"/>
    <n v="2"/>
    <n v="14.85"/>
    <x v="2"/>
  </r>
  <r>
    <n v="433"/>
    <x v="4"/>
    <n v="27"/>
    <s v="Female"/>
    <n v="69.5"/>
    <n v="1.76"/>
    <n v="171"/>
    <n v="121"/>
    <n v="66"/>
    <n v="0.94"/>
    <n v="569"/>
    <s v="Strength"/>
    <n v="34.4"/>
    <n v="2"/>
    <n v="3"/>
    <n v="1"/>
    <n v="22.44"/>
    <x v="1"/>
  </r>
  <r>
    <n v="434"/>
    <x v="5"/>
    <n v="22"/>
    <s v="Male"/>
    <n v="62.2"/>
    <n v="1.84"/>
    <n v="161"/>
    <n v="140"/>
    <n v="65"/>
    <n v="0.51"/>
    <n v="393"/>
    <s v="Strength"/>
    <n v="21.5"/>
    <n v="2.2999999999999998"/>
    <n v="3"/>
    <n v="1"/>
    <n v="18.37"/>
    <x v="2"/>
  </r>
  <r>
    <n v="435"/>
    <x v="4"/>
    <n v="53"/>
    <s v="Female"/>
    <n v="68"/>
    <n v="1.7"/>
    <n v="181"/>
    <n v="139"/>
    <n v="57"/>
    <n v="1.06"/>
    <n v="663"/>
    <s v="HIIT"/>
    <n v="25.1"/>
    <n v="2.4"/>
    <n v="4"/>
    <n v="2"/>
    <n v="23.53"/>
    <x v="1"/>
  </r>
  <r>
    <n v="436"/>
    <x v="8"/>
    <n v="51"/>
    <s v="Female"/>
    <n v="56.3"/>
    <n v="1.5"/>
    <n v="182"/>
    <n v="142"/>
    <n v="66"/>
    <n v="1.43"/>
    <n v="914"/>
    <s v="Cardio"/>
    <n v="27.4"/>
    <n v="2.4"/>
    <n v="3"/>
    <n v="1"/>
    <n v="25.02"/>
    <x v="3"/>
  </r>
  <r>
    <n v="437"/>
    <x v="2"/>
    <n v="48"/>
    <s v="Male"/>
    <n v="94.5"/>
    <n v="1.7"/>
    <n v="189"/>
    <n v="140"/>
    <n v="64"/>
    <n v="1.01"/>
    <n v="700"/>
    <s v="Cardio"/>
    <n v="28.2"/>
    <n v="3.5"/>
    <n v="3"/>
    <n v="2"/>
    <n v="32.700000000000003"/>
    <x v="0"/>
  </r>
  <r>
    <n v="438"/>
    <x v="3"/>
    <n v="27"/>
    <s v="Female"/>
    <n v="58"/>
    <n v="1.79"/>
    <n v="164"/>
    <n v="143"/>
    <n v="73"/>
    <n v="1.39"/>
    <n v="994"/>
    <s v="Cardio"/>
    <n v="27.1"/>
    <n v="1.5"/>
    <n v="2"/>
    <n v="1"/>
    <n v="18.100000000000001"/>
    <x v="2"/>
  </r>
  <r>
    <n v="439"/>
    <x v="1"/>
    <n v="36"/>
    <s v="Male"/>
    <n v="84"/>
    <n v="1.94"/>
    <n v="168"/>
    <n v="123"/>
    <n v="50"/>
    <n v="1.8"/>
    <n v="1218"/>
    <s v="HIIT"/>
    <n v="11.2"/>
    <n v="3.5"/>
    <n v="5"/>
    <n v="3"/>
    <n v="22.32"/>
    <x v="1"/>
  </r>
  <r>
    <n v="440"/>
    <x v="2"/>
    <n v="49"/>
    <s v="Male"/>
    <n v="61"/>
    <n v="1.87"/>
    <n v="180"/>
    <n v="131"/>
    <n v="61"/>
    <n v="1.1399999999999999"/>
    <n v="739"/>
    <s v="Strength"/>
    <n v="21.3"/>
    <n v="3"/>
    <n v="4"/>
    <n v="2"/>
    <n v="17.440000000000001"/>
    <x v="2"/>
  </r>
  <r>
    <n v="441"/>
    <x v="0"/>
    <n v="18"/>
    <s v="Female"/>
    <n v="64.8"/>
    <n v="1.53"/>
    <n v="170"/>
    <n v="141"/>
    <n v="54"/>
    <n v="1.98"/>
    <n v="1396"/>
    <s v="Yoga"/>
    <n v="18.600000000000001"/>
    <n v="2.7"/>
    <n v="5"/>
    <n v="3"/>
    <n v="27.68"/>
    <x v="3"/>
  </r>
  <r>
    <n v="442"/>
    <x v="7"/>
    <n v="22"/>
    <s v="Male"/>
    <n v="45.7"/>
    <n v="1.77"/>
    <n v="164"/>
    <n v="139"/>
    <n v="73"/>
    <n v="1.04"/>
    <n v="795"/>
    <s v="HIIT"/>
    <n v="20.7"/>
    <n v="2.4"/>
    <n v="3"/>
    <n v="1"/>
    <n v="14.59"/>
    <x v="2"/>
  </r>
  <r>
    <n v="443"/>
    <x v="8"/>
    <n v="21"/>
    <s v="Male"/>
    <n v="80.900000000000006"/>
    <n v="1.9"/>
    <n v="194"/>
    <n v="137"/>
    <n v="55"/>
    <n v="1.8"/>
    <n v="1356"/>
    <s v="Yoga"/>
    <n v="11.7"/>
    <n v="3.5"/>
    <n v="4"/>
    <n v="3"/>
    <n v="22.41"/>
    <x v="1"/>
  </r>
  <r>
    <n v="444"/>
    <x v="1"/>
    <n v="33"/>
    <s v="Female"/>
    <n v="64.099999999999994"/>
    <n v="1.63"/>
    <n v="186"/>
    <n v="120"/>
    <n v="74"/>
    <n v="1.58"/>
    <n v="948"/>
    <s v="Strength"/>
    <n v="16.399999999999999"/>
    <n v="2.7"/>
    <n v="5"/>
    <n v="3"/>
    <n v="24.13"/>
    <x v="1"/>
  </r>
  <r>
    <n v="445"/>
    <x v="2"/>
    <n v="41"/>
    <s v="Male"/>
    <n v="67"/>
    <n v="1.77"/>
    <n v="161"/>
    <n v="149"/>
    <n v="50"/>
    <n v="1.22"/>
    <n v="900"/>
    <s v="HIIT"/>
    <n v="25.6"/>
    <n v="2.6"/>
    <n v="3"/>
    <n v="2"/>
    <n v="21.39"/>
    <x v="1"/>
  </r>
  <r>
    <n v="446"/>
    <x v="7"/>
    <n v="33"/>
    <s v="Male"/>
    <n v="106.5"/>
    <n v="1.6"/>
    <n v="183"/>
    <n v="152"/>
    <n v="74"/>
    <n v="1.4"/>
    <n v="1170"/>
    <s v="Strength"/>
    <n v="27.3"/>
    <n v="3.3"/>
    <n v="4"/>
    <n v="2"/>
    <n v="41.6"/>
    <x v="0"/>
  </r>
  <r>
    <n v="447"/>
    <x v="5"/>
    <n v="19"/>
    <s v="Male"/>
    <n v="95.1"/>
    <n v="1.85"/>
    <n v="190"/>
    <n v="143"/>
    <n v="50"/>
    <n v="1.21"/>
    <n v="952"/>
    <s v="Yoga"/>
    <n v="25.3"/>
    <n v="2.2999999999999998"/>
    <n v="4"/>
    <n v="2"/>
    <n v="27.79"/>
    <x v="3"/>
  </r>
  <r>
    <n v="448"/>
    <x v="8"/>
    <n v="45"/>
    <s v="Female"/>
    <n v="65.5"/>
    <n v="1.57"/>
    <n v="192"/>
    <n v="133"/>
    <n v="59"/>
    <n v="0.66"/>
    <n v="395"/>
    <s v="Cardio"/>
    <n v="34.299999999999997"/>
    <n v="2.2999999999999998"/>
    <n v="2"/>
    <n v="1"/>
    <n v="26.57"/>
    <x v="3"/>
  </r>
  <r>
    <n v="449"/>
    <x v="8"/>
    <n v="49"/>
    <s v="Male"/>
    <n v="105.7"/>
    <n v="1.64"/>
    <n v="198"/>
    <n v="155"/>
    <n v="59"/>
    <n v="1.2"/>
    <n v="921"/>
    <s v="Cardio"/>
    <n v="29.5"/>
    <n v="3.1"/>
    <n v="3"/>
    <n v="2"/>
    <n v="39.299999999999997"/>
    <x v="0"/>
  </r>
  <r>
    <n v="450"/>
    <x v="5"/>
    <n v="44"/>
    <s v="Female"/>
    <n v="48"/>
    <n v="1.76"/>
    <n v="189"/>
    <n v="124"/>
    <n v="52"/>
    <n v="0.88"/>
    <n v="491"/>
    <s v="Yoga"/>
    <n v="28.6"/>
    <n v="2.6"/>
    <n v="2"/>
    <n v="1"/>
    <n v="15.5"/>
    <x v="2"/>
  </r>
  <r>
    <n v="451"/>
    <x v="3"/>
    <n v="37"/>
    <s v="Female"/>
    <n v="69.5"/>
    <n v="1.5"/>
    <n v="196"/>
    <n v="130"/>
    <n v="66"/>
    <n v="0.69"/>
    <n v="448"/>
    <s v="Cardio"/>
    <n v="32.799999999999997"/>
    <n v="2.4"/>
    <n v="2"/>
    <n v="1"/>
    <n v="30.89"/>
    <x v="0"/>
  </r>
  <r>
    <n v="452"/>
    <x v="5"/>
    <n v="41"/>
    <s v="Male"/>
    <n v="66.099999999999994"/>
    <n v="1.69"/>
    <n v="187"/>
    <n v="143"/>
    <n v="68"/>
    <n v="0.77"/>
    <n v="545"/>
    <s v="Yoga"/>
    <n v="27.4"/>
    <n v="3.4"/>
    <n v="2"/>
    <n v="1"/>
    <n v="23.14"/>
    <x v="1"/>
  </r>
  <r>
    <n v="453"/>
    <x v="8"/>
    <n v="29"/>
    <s v="Male"/>
    <n v="68"/>
    <n v="1.7"/>
    <n v="190"/>
    <n v="150"/>
    <n v="60"/>
    <n v="0.76"/>
    <n v="627"/>
    <s v="HIIT"/>
    <n v="28.9"/>
    <n v="2.9"/>
    <n v="2"/>
    <n v="1"/>
    <n v="23.53"/>
    <x v="1"/>
  </r>
  <r>
    <n v="454"/>
    <x v="8"/>
    <n v="52"/>
    <s v="Male"/>
    <n v="50.3"/>
    <n v="1.78"/>
    <n v="170"/>
    <n v="132"/>
    <n v="67"/>
    <n v="0.85"/>
    <n v="555"/>
    <s v="HIIT"/>
    <n v="24.5"/>
    <n v="2.2999999999999998"/>
    <n v="2"/>
    <n v="1"/>
    <n v="15.88"/>
    <x v="2"/>
  </r>
  <r>
    <n v="455"/>
    <x v="2"/>
    <n v="50"/>
    <s v="Female"/>
    <n v="69.3"/>
    <n v="1.68"/>
    <n v="182"/>
    <n v="135"/>
    <n v="51"/>
    <n v="1.2"/>
    <n v="729"/>
    <s v="HIIT"/>
    <n v="30.3"/>
    <n v="2"/>
    <n v="2"/>
    <n v="1"/>
    <n v="24.55"/>
    <x v="1"/>
  </r>
  <r>
    <n v="456"/>
    <x v="4"/>
    <n v="50"/>
    <s v="Male"/>
    <n v="86.7"/>
    <n v="1.63"/>
    <n v="161"/>
    <n v="143"/>
    <n v="58"/>
    <n v="1.7"/>
    <n v="1203"/>
    <s v="Cardio"/>
    <n v="12.1"/>
    <n v="3.5"/>
    <n v="4"/>
    <n v="3"/>
    <n v="32.630000000000003"/>
    <x v="0"/>
  </r>
  <r>
    <n v="457"/>
    <x v="7"/>
    <n v="54"/>
    <s v="Male"/>
    <n v="125.9"/>
    <n v="1.94"/>
    <n v="199"/>
    <n v="132"/>
    <n v="73"/>
    <n v="1.35"/>
    <n v="882"/>
    <s v="Strength"/>
    <n v="28.5"/>
    <n v="2.9"/>
    <n v="3"/>
    <n v="2"/>
    <n v="33.450000000000003"/>
    <x v="0"/>
  </r>
  <r>
    <n v="458"/>
    <x v="5"/>
    <n v="29"/>
    <s v="Male"/>
    <n v="88.1"/>
    <n v="1.93"/>
    <n v="186"/>
    <n v="143"/>
    <n v="66"/>
    <n v="1.88"/>
    <n v="1479"/>
    <s v="Cardio"/>
    <n v="11.1"/>
    <n v="3.5"/>
    <n v="5"/>
    <n v="3"/>
    <n v="23.65"/>
    <x v="1"/>
  </r>
  <r>
    <n v="459"/>
    <x v="7"/>
    <n v="20"/>
    <s v="Male"/>
    <n v="124.3"/>
    <n v="1.82"/>
    <n v="194"/>
    <n v="145"/>
    <n v="63"/>
    <n v="1.25"/>
    <n v="997"/>
    <s v="Cardio"/>
    <n v="22.4"/>
    <n v="3.2"/>
    <n v="3"/>
    <n v="2"/>
    <n v="37.53"/>
    <x v="0"/>
  </r>
  <r>
    <n v="460"/>
    <x v="5"/>
    <n v="18"/>
    <s v="Male"/>
    <n v="62"/>
    <n v="1.85"/>
    <n v="161"/>
    <n v="121"/>
    <n v="53"/>
    <n v="0.88"/>
    <n v="586"/>
    <s v="Strength"/>
    <n v="23.7"/>
    <n v="3"/>
    <n v="3"/>
    <n v="1"/>
    <n v="18.12"/>
    <x v="2"/>
  </r>
  <r>
    <n v="461"/>
    <x v="0"/>
    <n v="50"/>
    <s v="Female"/>
    <n v="69.7"/>
    <n v="1.72"/>
    <n v="198"/>
    <n v="135"/>
    <n v="66"/>
    <n v="1.24"/>
    <n v="753"/>
    <s v="Strength"/>
    <n v="27.3"/>
    <n v="2"/>
    <n v="4"/>
    <n v="2"/>
    <n v="23.56"/>
    <x v="1"/>
  </r>
  <r>
    <n v="462"/>
    <x v="8"/>
    <n v="57"/>
    <s v="Female"/>
    <n v="60.9"/>
    <n v="1.52"/>
    <n v="196"/>
    <n v="157"/>
    <n v="66"/>
    <n v="1.31"/>
    <n v="926"/>
    <s v="Strength"/>
    <n v="30.6"/>
    <n v="1.8"/>
    <n v="3"/>
    <n v="2"/>
    <n v="26.36"/>
    <x v="3"/>
  </r>
  <r>
    <n v="463"/>
    <x v="4"/>
    <n v="27"/>
    <s v="Male"/>
    <n v="76.5"/>
    <n v="1.97"/>
    <n v="180"/>
    <n v="165"/>
    <n v="61"/>
    <n v="1.1299999999999999"/>
    <n v="1025"/>
    <s v="Strength"/>
    <n v="21.3"/>
    <n v="2.2999999999999998"/>
    <n v="2"/>
    <n v="1"/>
    <n v="19.71"/>
    <x v="1"/>
  </r>
  <r>
    <n v="464"/>
    <x v="2"/>
    <n v="46"/>
    <s v="Male"/>
    <n v="94.7"/>
    <n v="1.82"/>
    <n v="164"/>
    <n v="120"/>
    <n v="69"/>
    <n v="1.47"/>
    <n v="873"/>
    <s v="Cardio"/>
    <n v="23.2"/>
    <n v="3.2"/>
    <n v="3"/>
    <n v="2"/>
    <n v="28.59"/>
    <x v="3"/>
  </r>
  <r>
    <n v="465"/>
    <x v="4"/>
    <n v="30"/>
    <s v="Male"/>
    <n v="67.900000000000006"/>
    <n v="1.75"/>
    <n v="180"/>
    <n v="168"/>
    <n v="67"/>
    <n v="1.25"/>
    <n v="1155"/>
    <s v="Yoga"/>
    <n v="29.1"/>
    <n v="3.1"/>
    <n v="2"/>
    <n v="1"/>
    <n v="22.17"/>
    <x v="1"/>
  </r>
  <r>
    <n v="466"/>
    <x v="4"/>
    <n v="29"/>
    <s v="Male"/>
    <n v="121.1"/>
    <n v="1.87"/>
    <n v="188"/>
    <n v="130"/>
    <n v="52"/>
    <n v="1.31"/>
    <n v="937"/>
    <s v="HIIT"/>
    <n v="24.1"/>
    <n v="3.2"/>
    <n v="4"/>
    <n v="2"/>
    <n v="34.630000000000003"/>
    <x v="0"/>
  </r>
  <r>
    <n v="467"/>
    <x v="4"/>
    <n v="48"/>
    <s v="Female"/>
    <n v="71.5"/>
    <n v="1.64"/>
    <n v="179"/>
    <n v="154"/>
    <n v="60"/>
    <n v="1.46"/>
    <n v="1012"/>
    <s v="Yoga"/>
    <n v="32.5"/>
    <n v="1.9"/>
    <n v="4"/>
    <n v="2"/>
    <n v="26.58"/>
    <x v="3"/>
  </r>
  <r>
    <n v="468"/>
    <x v="7"/>
    <n v="19"/>
    <s v="Male"/>
    <n v="98.6"/>
    <n v="1.7"/>
    <n v="197"/>
    <n v="162"/>
    <n v="74"/>
    <n v="0.83"/>
    <n v="740"/>
    <s v="Cardio"/>
    <n v="21.1"/>
    <n v="2.4"/>
    <n v="2"/>
    <n v="1"/>
    <n v="34.119999999999997"/>
    <x v="0"/>
  </r>
  <r>
    <n v="469"/>
    <x v="5"/>
    <n v="52"/>
    <s v="Female"/>
    <n v="68.2"/>
    <n v="1.63"/>
    <n v="179"/>
    <n v="148"/>
    <n v="67"/>
    <n v="1.17"/>
    <n v="779"/>
    <s v="Strength"/>
    <n v="27.5"/>
    <n v="2.4"/>
    <n v="3"/>
    <n v="1"/>
    <n v="25.67"/>
    <x v="3"/>
  </r>
  <r>
    <n v="470"/>
    <x v="9"/>
    <n v="40"/>
    <s v="Female"/>
    <n v="57.7"/>
    <n v="1.69"/>
    <n v="184"/>
    <n v="156"/>
    <n v="53"/>
    <n v="1.18"/>
    <n v="920"/>
    <s v="HIIT"/>
    <n v="33.1"/>
    <n v="2.4"/>
    <n v="4"/>
    <n v="2"/>
    <n v="20.2"/>
    <x v="1"/>
  </r>
  <r>
    <n v="471"/>
    <x v="0"/>
    <n v="34"/>
    <s v="Male"/>
    <n v="124.6"/>
    <n v="1.63"/>
    <n v="161"/>
    <n v="136"/>
    <n v="66"/>
    <n v="1.41"/>
    <n v="1055"/>
    <s v="HIIT"/>
    <n v="27.6"/>
    <n v="2.8"/>
    <n v="3"/>
    <n v="2"/>
    <n v="46.9"/>
    <x v="0"/>
  </r>
  <r>
    <n v="472"/>
    <x v="1"/>
    <n v="43"/>
    <s v="Female"/>
    <n v="73"/>
    <n v="1.59"/>
    <n v="191"/>
    <n v="158"/>
    <n v="67"/>
    <n v="1.31"/>
    <n v="931"/>
    <s v="Yoga"/>
    <n v="28.9"/>
    <n v="2.2000000000000002"/>
    <n v="3"/>
    <n v="1"/>
    <n v="28.88"/>
    <x v="3"/>
  </r>
  <r>
    <n v="473"/>
    <x v="4"/>
    <n v="25"/>
    <s v="Female"/>
    <n v="59.4"/>
    <n v="1.51"/>
    <n v="185"/>
    <n v="161"/>
    <n v="54"/>
    <n v="1.62"/>
    <n v="1304"/>
    <s v="Cardio"/>
    <n v="19.8"/>
    <n v="2.7"/>
    <n v="5"/>
    <n v="3"/>
    <n v="26.05"/>
    <x v="3"/>
  </r>
  <r>
    <n v="474"/>
    <x v="3"/>
    <n v="46"/>
    <s v="Female"/>
    <n v="52"/>
    <n v="1.65"/>
    <n v="165"/>
    <n v="147"/>
    <n v="63"/>
    <n v="0.7"/>
    <n v="463"/>
    <s v="Cardio"/>
    <n v="34.1"/>
    <n v="1.9"/>
    <n v="2"/>
    <n v="1"/>
    <n v="19.100000000000001"/>
    <x v="1"/>
  </r>
  <r>
    <n v="475"/>
    <x v="7"/>
    <n v="43"/>
    <s v="Female"/>
    <n v="42.2"/>
    <n v="1.65"/>
    <n v="162"/>
    <n v="148"/>
    <n v="59"/>
    <n v="1.33"/>
    <n v="886"/>
    <s v="Cardio"/>
    <n v="34.6"/>
    <n v="2.2999999999999998"/>
    <n v="3"/>
    <n v="2"/>
    <n v="15.5"/>
    <x v="2"/>
  </r>
  <r>
    <n v="476"/>
    <x v="2"/>
    <n v="27"/>
    <s v="Male"/>
    <n v="89.3"/>
    <n v="1.64"/>
    <n v="192"/>
    <n v="162"/>
    <n v="64"/>
    <n v="1.82"/>
    <n v="1622"/>
    <s v="HIIT"/>
    <n v="12.1"/>
    <n v="3.5"/>
    <n v="4"/>
    <n v="3"/>
    <n v="33.200000000000003"/>
    <x v="0"/>
  </r>
  <r>
    <n v="477"/>
    <x v="1"/>
    <n v="43"/>
    <s v="Male"/>
    <n v="110"/>
    <n v="1.76"/>
    <n v="160"/>
    <n v="122"/>
    <n v="50"/>
    <n v="1.0900000000000001"/>
    <n v="658"/>
    <s v="Yoga"/>
    <n v="22"/>
    <n v="3.4"/>
    <n v="3"/>
    <n v="1"/>
    <n v="35.51"/>
    <x v="0"/>
  </r>
  <r>
    <n v="478"/>
    <x v="9"/>
    <n v="51"/>
    <s v="Female"/>
    <n v="66.2"/>
    <n v="1.58"/>
    <n v="164"/>
    <n v="129"/>
    <n v="65"/>
    <n v="0.86"/>
    <n v="499"/>
    <s v="HIIT"/>
    <n v="31.3"/>
    <n v="2.2999999999999998"/>
    <n v="3"/>
    <n v="1"/>
    <n v="26.52"/>
    <x v="3"/>
  </r>
  <r>
    <n v="479"/>
    <x v="3"/>
    <n v="58"/>
    <s v="Male"/>
    <n v="58.6"/>
    <n v="1.66"/>
    <n v="172"/>
    <n v="161"/>
    <n v="60"/>
    <n v="1.21"/>
    <n v="964"/>
    <s v="HIIT"/>
    <n v="26.8"/>
    <n v="2.9"/>
    <n v="2"/>
    <n v="1"/>
    <n v="21.27"/>
    <x v="1"/>
  </r>
  <r>
    <n v="480"/>
    <x v="9"/>
    <n v="24"/>
    <s v="Male"/>
    <n v="51"/>
    <n v="1.67"/>
    <n v="178"/>
    <n v="133"/>
    <n v="72"/>
    <n v="0.97"/>
    <n v="710"/>
    <s v="Strength"/>
    <n v="21.3"/>
    <n v="2.8"/>
    <n v="3"/>
    <n v="1"/>
    <n v="18.29"/>
    <x v="2"/>
  </r>
  <r>
    <n v="481"/>
    <x v="1"/>
    <n v="21"/>
    <s v="Male"/>
    <n v="101.5"/>
    <n v="1.95"/>
    <n v="171"/>
    <n v="131"/>
    <n v="69"/>
    <n v="0.97"/>
    <n v="699"/>
    <s v="Yoga"/>
    <n v="27.9"/>
    <n v="3.1"/>
    <n v="3"/>
    <n v="1"/>
    <n v="26.69"/>
    <x v="3"/>
  </r>
  <r>
    <n v="482"/>
    <x v="4"/>
    <n v="28"/>
    <s v="Male"/>
    <n v="114.2"/>
    <n v="1.87"/>
    <n v="184"/>
    <n v="166"/>
    <n v="55"/>
    <n v="1.05"/>
    <n v="959"/>
    <s v="Strength"/>
    <n v="20.2"/>
    <n v="3.2"/>
    <n v="3"/>
    <n v="2"/>
    <n v="32.659999999999997"/>
    <x v="0"/>
  </r>
  <r>
    <n v="483"/>
    <x v="3"/>
    <n v="46"/>
    <s v="Male"/>
    <n v="54.4"/>
    <n v="1.72"/>
    <n v="194"/>
    <n v="161"/>
    <n v="73"/>
    <n v="0.91"/>
    <n v="725"/>
    <s v="Cardio"/>
    <n v="24.8"/>
    <n v="2.9"/>
    <n v="2"/>
    <n v="1"/>
    <n v="18.39"/>
    <x v="2"/>
  </r>
  <r>
    <n v="484"/>
    <x v="9"/>
    <n v="53"/>
    <s v="Female"/>
    <n v="52.4"/>
    <n v="1.57"/>
    <n v="171"/>
    <n v="149"/>
    <n v="71"/>
    <n v="1.34"/>
    <n v="898"/>
    <s v="HIIT"/>
    <n v="28.3"/>
    <n v="2.2000000000000002"/>
    <n v="3"/>
    <n v="2"/>
    <n v="21.26"/>
    <x v="1"/>
  </r>
  <r>
    <n v="485"/>
    <x v="2"/>
    <n v="42"/>
    <s v="Male"/>
    <n v="85.2"/>
    <n v="1.81"/>
    <n v="189"/>
    <n v="151"/>
    <n v="65"/>
    <n v="1.54"/>
    <n v="1151"/>
    <s v="Yoga"/>
    <n v="13.7"/>
    <n v="3.5"/>
    <n v="5"/>
    <n v="3"/>
    <n v="26.01"/>
    <x v="3"/>
  </r>
  <r>
    <n v="486"/>
    <x v="5"/>
    <n v="38"/>
    <s v="Male"/>
    <n v="83.6"/>
    <n v="1.74"/>
    <n v="164"/>
    <n v="151"/>
    <n v="51"/>
    <n v="1.66"/>
    <n v="1379"/>
    <s v="Cardio"/>
    <n v="11.6"/>
    <n v="3.5"/>
    <n v="5"/>
    <n v="3"/>
    <n v="27.61"/>
    <x v="3"/>
  </r>
  <r>
    <n v="487"/>
    <x v="8"/>
    <n v="53"/>
    <s v="Male"/>
    <n v="115.4"/>
    <n v="1.92"/>
    <n v="193"/>
    <n v="161"/>
    <n v="50"/>
    <n v="1.36"/>
    <n v="1084"/>
    <s v="Yoga"/>
    <n v="28.3"/>
    <n v="2.2000000000000002"/>
    <n v="4"/>
    <n v="2"/>
    <n v="31.3"/>
    <x v="0"/>
  </r>
  <r>
    <n v="488"/>
    <x v="5"/>
    <n v="27"/>
    <s v="Male"/>
    <n v="71.2"/>
    <n v="1.97"/>
    <n v="181"/>
    <n v="151"/>
    <n v="73"/>
    <n v="0.74"/>
    <n v="615"/>
    <s v="HIIT"/>
    <n v="25.9"/>
    <n v="3.6"/>
    <n v="3"/>
    <n v="1"/>
    <n v="18.350000000000001"/>
    <x v="2"/>
  </r>
  <r>
    <n v="489"/>
    <x v="1"/>
    <n v="54"/>
    <s v="Female"/>
    <n v="78.099999999999994"/>
    <n v="1.6"/>
    <n v="198"/>
    <n v="145"/>
    <n v="73"/>
    <n v="1.1000000000000001"/>
    <n v="718"/>
    <s v="Yoga"/>
    <n v="32.9"/>
    <n v="2.4"/>
    <n v="4"/>
    <n v="2"/>
    <n v="30.51"/>
    <x v="0"/>
  </r>
  <r>
    <n v="490"/>
    <x v="7"/>
    <n v="26"/>
    <s v="Female"/>
    <n v="54.2"/>
    <n v="1.65"/>
    <n v="172"/>
    <n v="120"/>
    <n v="58"/>
    <n v="1.07"/>
    <n v="642"/>
    <s v="Cardio"/>
    <n v="34.9"/>
    <n v="1.9"/>
    <n v="4"/>
    <n v="2"/>
    <n v="19.91"/>
    <x v="1"/>
  </r>
  <r>
    <n v="491"/>
    <x v="8"/>
    <n v="41"/>
    <s v="Female"/>
    <n v="77.599999999999994"/>
    <n v="1.76"/>
    <n v="162"/>
    <n v="161"/>
    <n v="71"/>
    <n v="1.27"/>
    <n v="920"/>
    <s v="Strength"/>
    <n v="31.8"/>
    <n v="2.2000000000000002"/>
    <n v="4"/>
    <n v="2"/>
    <n v="25.05"/>
    <x v="3"/>
  </r>
  <r>
    <n v="492"/>
    <x v="0"/>
    <n v="52"/>
    <s v="Female"/>
    <n v="44.1"/>
    <n v="1.62"/>
    <n v="179"/>
    <n v="121"/>
    <n v="61"/>
    <n v="1.41"/>
    <n v="768"/>
    <s v="HIIT"/>
    <n v="34.799999999999997"/>
    <n v="1.6"/>
    <n v="3"/>
    <n v="1"/>
    <n v="16.8"/>
    <x v="2"/>
  </r>
  <r>
    <n v="493"/>
    <x v="2"/>
    <n v="52"/>
    <s v="Male"/>
    <n v="85.5"/>
    <n v="1.8"/>
    <n v="190"/>
    <n v="136"/>
    <n v="66"/>
    <n v="1.7"/>
    <n v="1144"/>
    <s v="Strength"/>
    <n v="10.1"/>
    <n v="3.5"/>
    <n v="5"/>
    <n v="3"/>
    <n v="26.39"/>
    <x v="3"/>
  </r>
  <r>
    <n v="494"/>
    <x v="0"/>
    <n v="53"/>
    <s v="Female"/>
    <n v="47.8"/>
    <n v="1.76"/>
    <n v="164"/>
    <n v="149"/>
    <n v="74"/>
    <n v="1.06"/>
    <n v="711"/>
    <s v="HIIT"/>
    <n v="28.4"/>
    <n v="1.5"/>
    <n v="4"/>
    <n v="2"/>
    <n v="15.43"/>
    <x v="2"/>
  </r>
  <r>
    <n v="495"/>
    <x v="3"/>
    <n v="35"/>
    <s v="Male"/>
    <n v="102.5"/>
    <n v="1.94"/>
    <n v="183"/>
    <n v="158"/>
    <n v="64"/>
    <n v="0.84"/>
    <n v="730"/>
    <s v="Cardio"/>
    <n v="21.1"/>
    <n v="2.4"/>
    <n v="2"/>
    <n v="1"/>
    <n v="27.23"/>
    <x v="3"/>
  </r>
  <r>
    <n v="496"/>
    <x v="8"/>
    <n v="56"/>
    <s v="Male"/>
    <n v="118"/>
    <n v="1.9"/>
    <n v="199"/>
    <n v="126"/>
    <n v="68"/>
    <n v="0.66"/>
    <n v="412"/>
    <s v="HIIT"/>
    <n v="22.6"/>
    <n v="3.2"/>
    <n v="2"/>
    <n v="1"/>
    <n v="32.69"/>
    <x v="0"/>
  </r>
  <r>
    <n v="497"/>
    <x v="0"/>
    <n v="49"/>
    <s v="Male"/>
    <n v="82.3"/>
    <n v="1.84"/>
    <n v="192"/>
    <n v="146"/>
    <n v="71"/>
    <n v="1.29"/>
    <n v="932"/>
    <s v="Strength"/>
    <n v="28.4"/>
    <n v="3.4"/>
    <n v="4"/>
    <n v="2"/>
    <n v="24.31"/>
    <x v="1"/>
  </r>
  <r>
    <n v="498"/>
    <x v="0"/>
    <n v="41"/>
    <s v="Male"/>
    <n v="81.599999999999994"/>
    <n v="1.87"/>
    <n v="167"/>
    <n v="128"/>
    <n v="59"/>
    <n v="1.87"/>
    <n v="1185"/>
    <s v="HIIT"/>
    <n v="10.199999999999999"/>
    <n v="3.5"/>
    <n v="5"/>
    <n v="3"/>
    <n v="23.33"/>
    <x v="1"/>
  </r>
  <r>
    <n v="499"/>
    <x v="9"/>
    <n v="40"/>
    <s v="Male"/>
    <n v="60.2"/>
    <n v="1.88"/>
    <n v="183"/>
    <n v="141"/>
    <n v="61"/>
    <n v="1.22"/>
    <n v="946"/>
    <s v="Cardio"/>
    <n v="25.2"/>
    <n v="3"/>
    <n v="3"/>
    <n v="2"/>
    <n v="17.03"/>
    <x v="2"/>
  </r>
  <r>
    <n v="500"/>
    <x v="5"/>
    <n v="49"/>
    <s v="Female"/>
    <n v="49.2"/>
    <n v="1.54"/>
    <n v="179"/>
    <n v="153"/>
    <n v="63"/>
    <n v="1.28"/>
    <n v="881"/>
    <s v="HIIT"/>
    <n v="30.7"/>
    <n v="2.1"/>
    <n v="3"/>
    <n v="2"/>
    <n v="20.75"/>
    <x v="1"/>
  </r>
  <r>
    <n v="501"/>
    <x v="9"/>
    <n v="54"/>
    <s v="Female"/>
    <n v="46.6"/>
    <n v="1.5"/>
    <n v="175"/>
    <n v="165"/>
    <n v="58"/>
    <n v="1.38"/>
    <n v="1025"/>
    <s v="Strength"/>
    <n v="30.6"/>
    <n v="2"/>
    <n v="2"/>
    <n v="1"/>
    <n v="20.71"/>
    <x v="1"/>
  </r>
  <r>
    <n v="502"/>
    <x v="8"/>
    <n v="29"/>
    <s v="Female"/>
    <n v="68.7"/>
    <n v="1.72"/>
    <n v="171"/>
    <n v="168"/>
    <n v="62"/>
    <n v="1.08"/>
    <n v="907"/>
    <s v="Cardio"/>
    <n v="29.8"/>
    <n v="1.7"/>
    <n v="4"/>
    <n v="2"/>
    <n v="23.22"/>
    <x v="1"/>
  </r>
  <r>
    <n v="503"/>
    <x v="8"/>
    <n v="30"/>
    <s v="Female"/>
    <n v="60.6"/>
    <n v="1.55"/>
    <n v="172"/>
    <n v="120"/>
    <n v="52"/>
    <n v="1.3"/>
    <n v="780"/>
    <s v="Strength"/>
    <n v="32.9"/>
    <n v="1.6"/>
    <n v="3"/>
    <n v="2"/>
    <n v="25.22"/>
    <x v="3"/>
  </r>
  <r>
    <n v="504"/>
    <x v="1"/>
    <n v="40"/>
    <s v="Male"/>
    <n v="52.1"/>
    <n v="1.61"/>
    <n v="198"/>
    <n v="128"/>
    <n v="70"/>
    <n v="0.87"/>
    <n v="612"/>
    <s v="HIIT"/>
    <n v="21.3"/>
    <n v="3.3"/>
    <n v="2"/>
    <n v="1"/>
    <n v="20.100000000000001"/>
    <x v="1"/>
  </r>
  <r>
    <n v="505"/>
    <x v="9"/>
    <n v="42"/>
    <s v="Female"/>
    <n v="46.6"/>
    <n v="1.77"/>
    <n v="184"/>
    <n v="139"/>
    <n v="63"/>
    <n v="0.61"/>
    <n v="382"/>
    <s v="Yoga"/>
    <n v="28.1"/>
    <n v="2.6"/>
    <n v="2"/>
    <n v="1"/>
    <n v="14.87"/>
    <x v="2"/>
  </r>
  <r>
    <n v="506"/>
    <x v="6"/>
    <n v="52"/>
    <s v="Male"/>
    <n v="65.5"/>
    <n v="1.74"/>
    <n v="191"/>
    <n v="138"/>
    <n v="70"/>
    <n v="1.48"/>
    <n v="1011"/>
    <s v="Strength"/>
    <n v="26.2"/>
    <n v="2.8"/>
    <n v="4"/>
    <n v="2"/>
    <n v="21.63"/>
    <x v="1"/>
  </r>
  <r>
    <n v="507"/>
    <x v="5"/>
    <n v="58"/>
    <s v="Female"/>
    <n v="44.2"/>
    <n v="1.57"/>
    <n v="183"/>
    <n v="155"/>
    <n v="59"/>
    <n v="1.08"/>
    <n v="753"/>
    <s v="HIIT"/>
    <n v="31.9"/>
    <n v="2.2999999999999998"/>
    <n v="3"/>
    <n v="1"/>
    <n v="17.93"/>
    <x v="2"/>
  </r>
  <r>
    <n v="508"/>
    <x v="8"/>
    <n v="47"/>
    <s v="Male"/>
    <n v="89.1"/>
    <n v="1.84"/>
    <n v="168"/>
    <n v="159"/>
    <n v="65"/>
    <n v="1.44"/>
    <n v="1133"/>
    <s v="Yoga"/>
    <n v="24"/>
    <n v="3.6"/>
    <n v="3"/>
    <n v="2"/>
    <n v="26.32"/>
    <x v="3"/>
  </r>
  <r>
    <n v="509"/>
    <x v="1"/>
    <n v="34"/>
    <s v="Male"/>
    <n v="65.900000000000006"/>
    <n v="1.62"/>
    <n v="199"/>
    <n v="164"/>
    <n v="56"/>
    <n v="0.81"/>
    <n v="731"/>
    <s v="Yoga"/>
    <n v="28.8"/>
    <n v="2.2000000000000002"/>
    <n v="2"/>
    <n v="1"/>
    <n v="25.11"/>
    <x v="3"/>
  </r>
  <r>
    <n v="510"/>
    <x v="9"/>
    <n v="37"/>
    <s v="Female"/>
    <n v="55.6"/>
    <n v="1.57"/>
    <n v="182"/>
    <n v="123"/>
    <n v="53"/>
    <n v="0.97"/>
    <n v="597"/>
    <s v="Cardio"/>
    <n v="29.2"/>
    <n v="2.4"/>
    <n v="2"/>
    <n v="1"/>
    <n v="22.56"/>
    <x v="1"/>
  </r>
  <r>
    <n v="511"/>
    <x v="5"/>
    <n v="42"/>
    <s v="Male"/>
    <n v="63.7"/>
    <n v="1.98"/>
    <n v="172"/>
    <n v="128"/>
    <n v="69"/>
    <n v="1.37"/>
    <n v="868"/>
    <s v="Yoga"/>
    <n v="24"/>
    <n v="3"/>
    <n v="2"/>
    <n v="1"/>
    <n v="16.25"/>
    <x v="2"/>
  </r>
  <r>
    <n v="512"/>
    <x v="9"/>
    <n v="39"/>
    <s v="Male"/>
    <n v="86.2"/>
    <n v="1.82"/>
    <n v="191"/>
    <n v="160"/>
    <n v="72"/>
    <n v="1.96"/>
    <n v="1725"/>
    <s v="Strength"/>
    <n v="10.199999999999999"/>
    <n v="3.5"/>
    <n v="5"/>
    <n v="3"/>
    <n v="26.02"/>
    <x v="3"/>
  </r>
  <r>
    <n v="513"/>
    <x v="0"/>
    <n v="30"/>
    <s v="Female"/>
    <n v="59.2"/>
    <n v="1.63"/>
    <n v="174"/>
    <n v="141"/>
    <n v="74"/>
    <n v="1.85"/>
    <n v="1304"/>
    <s v="Strength"/>
    <n v="17.8"/>
    <n v="2.7"/>
    <n v="4"/>
    <n v="3"/>
    <n v="22.28"/>
    <x v="1"/>
  </r>
  <r>
    <n v="514"/>
    <x v="1"/>
    <n v="36"/>
    <s v="Male"/>
    <n v="85.4"/>
    <n v="1.88"/>
    <n v="195"/>
    <n v="137"/>
    <n v="60"/>
    <n v="1.98"/>
    <n v="1492"/>
    <s v="Yoga"/>
    <n v="13.5"/>
    <n v="3.5"/>
    <n v="5"/>
    <n v="3"/>
    <n v="24.16"/>
    <x v="1"/>
  </r>
  <r>
    <n v="515"/>
    <x v="5"/>
    <n v="53"/>
    <s v="Female"/>
    <n v="68.099999999999994"/>
    <n v="1.55"/>
    <n v="164"/>
    <n v="131"/>
    <n v="65"/>
    <n v="1.41"/>
    <n v="831"/>
    <s v="HIIT"/>
    <n v="26.1"/>
    <n v="2.2000000000000002"/>
    <n v="4"/>
    <n v="2"/>
    <n v="28.35"/>
    <x v="3"/>
  </r>
  <r>
    <n v="516"/>
    <x v="4"/>
    <n v="29"/>
    <s v="Female"/>
    <n v="60"/>
    <n v="1.62"/>
    <n v="181"/>
    <n v="161"/>
    <n v="69"/>
    <n v="0.85"/>
    <n v="684"/>
    <s v="Strength"/>
    <n v="28.1"/>
    <n v="1.9"/>
    <n v="2"/>
    <n v="1"/>
    <n v="22.86"/>
    <x v="1"/>
  </r>
  <r>
    <n v="517"/>
    <x v="3"/>
    <n v="58"/>
    <s v="Female"/>
    <n v="74.8"/>
    <n v="1.69"/>
    <n v="175"/>
    <n v="162"/>
    <n v="53"/>
    <n v="1.28"/>
    <n v="933"/>
    <s v="Strength"/>
    <n v="32.799999999999997"/>
    <n v="2.2999999999999998"/>
    <n v="4"/>
    <n v="2"/>
    <n v="26.19"/>
    <x v="3"/>
  </r>
  <r>
    <n v="518"/>
    <x v="3"/>
    <n v="36"/>
    <s v="Male"/>
    <n v="90.3"/>
    <n v="1.65"/>
    <n v="169"/>
    <n v="158"/>
    <n v="71"/>
    <n v="1.38"/>
    <n v="1199"/>
    <s v="Cardio"/>
    <n v="23.7"/>
    <n v="3.4"/>
    <n v="4"/>
    <n v="2"/>
    <n v="33.17"/>
    <x v="0"/>
  </r>
  <r>
    <n v="519"/>
    <x v="5"/>
    <n v="29"/>
    <s v="Male"/>
    <n v="86.1"/>
    <n v="1.65"/>
    <n v="183"/>
    <n v="128"/>
    <n v="71"/>
    <n v="1.66"/>
    <n v="1169"/>
    <s v="HIIT"/>
    <n v="11.2"/>
    <n v="3.5"/>
    <n v="4"/>
    <n v="3"/>
    <n v="31.63"/>
    <x v="0"/>
  </r>
  <r>
    <n v="520"/>
    <x v="9"/>
    <n v="26"/>
    <s v="Male"/>
    <n v="73.7"/>
    <n v="1.66"/>
    <n v="177"/>
    <n v="125"/>
    <n v="72"/>
    <n v="0.93"/>
    <n v="639"/>
    <s v="Yoga"/>
    <n v="26.7"/>
    <n v="2.2000000000000002"/>
    <n v="2"/>
    <n v="1"/>
    <n v="26.75"/>
    <x v="3"/>
  </r>
  <r>
    <n v="521"/>
    <x v="1"/>
    <n v="24"/>
    <s v="Female"/>
    <n v="67.7"/>
    <n v="1.56"/>
    <n v="177"/>
    <n v="138"/>
    <n v="66"/>
    <n v="1.42"/>
    <n v="980"/>
    <s v="HIIT"/>
    <n v="27"/>
    <n v="2.1"/>
    <n v="3"/>
    <n v="2"/>
    <n v="27.82"/>
    <x v="3"/>
  </r>
  <r>
    <n v="522"/>
    <x v="3"/>
    <n v="45"/>
    <s v="Male"/>
    <n v="78.3"/>
    <n v="1.96"/>
    <n v="166"/>
    <n v="167"/>
    <n v="62"/>
    <n v="1.29"/>
    <n v="1066"/>
    <s v="Cardio"/>
    <n v="29"/>
    <n v="2.2000000000000002"/>
    <n v="3"/>
    <n v="1"/>
    <n v="20.38"/>
    <x v="1"/>
  </r>
  <r>
    <n v="523"/>
    <x v="1"/>
    <n v="31"/>
    <s v="Female"/>
    <n v="48.2"/>
    <n v="1.65"/>
    <n v="163"/>
    <n v="166"/>
    <n v="60"/>
    <n v="1.1000000000000001"/>
    <n v="913"/>
    <s v="Cardio"/>
    <n v="26.1"/>
    <n v="2.5"/>
    <n v="2"/>
    <n v="1"/>
    <n v="17.7"/>
    <x v="2"/>
  </r>
  <r>
    <n v="524"/>
    <x v="3"/>
    <n v="48"/>
    <s v="Female"/>
    <n v="56.8"/>
    <n v="1.51"/>
    <n v="185"/>
    <n v="126"/>
    <n v="52"/>
    <n v="1.37"/>
    <n v="777"/>
    <s v="HIIT"/>
    <n v="32.1"/>
    <n v="2.1"/>
    <n v="4"/>
    <n v="2"/>
    <n v="24.91"/>
    <x v="1"/>
  </r>
  <r>
    <n v="525"/>
    <x v="0"/>
    <n v="36"/>
    <s v="Male"/>
    <n v="112.4"/>
    <n v="1.63"/>
    <n v="164"/>
    <n v="135"/>
    <n v="58"/>
    <n v="1.02"/>
    <n v="757"/>
    <s v="Cardio"/>
    <n v="25"/>
    <n v="3.4"/>
    <n v="4"/>
    <n v="2"/>
    <n v="42.3"/>
    <x v="0"/>
  </r>
  <r>
    <n v="526"/>
    <x v="9"/>
    <n v="33"/>
    <s v="Female"/>
    <n v="59"/>
    <n v="1.67"/>
    <n v="175"/>
    <n v="124"/>
    <n v="55"/>
    <n v="0.9"/>
    <n v="558"/>
    <s v="Cardio"/>
    <n v="33.700000000000003"/>
    <n v="1.9"/>
    <n v="3"/>
    <n v="1"/>
    <n v="21.16"/>
    <x v="1"/>
  </r>
  <r>
    <n v="527"/>
    <x v="0"/>
    <n v="22"/>
    <s v="Male"/>
    <n v="98.4"/>
    <n v="1.88"/>
    <n v="194"/>
    <n v="135"/>
    <n v="71"/>
    <n v="0.52"/>
    <n v="386"/>
    <s v="Cardio"/>
    <n v="21.3"/>
    <n v="2.2000000000000002"/>
    <n v="2"/>
    <n v="1"/>
    <n v="27.84"/>
    <x v="3"/>
  </r>
  <r>
    <n v="528"/>
    <x v="3"/>
    <n v="52"/>
    <s v="Male"/>
    <n v="66.5"/>
    <n v="1.6"/>
    <n v="185"/>
    <n v="120"/>
    <n v="70"/>
    <n v="1.34"/>
    <n v="796"/>
    <s v="HIIT"/>
    <n v="26.8"/>
    <n v="2.1"/>
    <n v="4"/>
    <n v="2"/>
    <n v="25.98"/>
    <x v="3"/>
  </r>
  <r>
    <n v="529"/>
    <x v="4"/>
    <n v="29"/>
    <s v="Male"/>
    <n v="106.5"/>
    <n v="1.81"/>
    <n v="177"/>
    <n v="156"/>
    <n v="60"/>
    <n v="1.29"/>
    <n v="1107"/>
    <s v="Cardio"/>
    <n v="25.7"/>
    <n v="2.5"/>
    <n v="4"/>
    <n v="2"/>
    <n v="32.51"/>
    <x v="0"/>
  </r>
  <r>
    <n v="530"/>
    <x v="4"/>
    <n v="42"/>
    <s v="Male"/>
    <n v="88.4"/>
    <n v="1.93"/>
    <n v="188"/>
    <n v="158"/>
    <n v="65"/>
    <n v="1.68"/>
    <n v="1314"/>
    <s v="Yoga"/>
    <n v="12.4"/>
    <n v="3.5"/>
    <n v="4"/>
    <n v="3"/>
    <n v="23.73"/>
    <x v="1"/>
  </r>
  <r>
    <n v="531"/>
    <x v="0"/>
    <n v="38"/>
    <s v="Male"/>
    <n v="88.4"/>
    <n v="1.79"/>
    <n v="182"/>
    <n v="138"/>
    <n v="68"/>
    <n v="1.74"/>
    <n v="1321"/>
    <s v="Yoga"/>
    <n v="12.5"/>
    <n v="3.5"/>
    <n v="5"/>
    <n v="3"/>
    <n v="27.59"/>
    <x v="3"/>
  </r>
  <r>
    <n v="532"/>
    <x v="4"/>
    <n v="53"/>
    <s v="Female"/>
    <n v="53.3"/>
    <n v="1.74"/>
    <n v="173"/>
    <n v="156"/>
    <n v="54"/>
    <n v="1.37"/>
    <n v="962"/>
    <s v="Strength"/>
    <n v="32.200000000000003"/>
    <n v="1.8"/>
    <n v="3"/>
    <n v="2"/>
    <n v="17.600000000000001"/>
    <x v="2"/>
  </r>
  <r>
    <n v="533"/>
    <x v="3"/>
    <n v="40"/>
    <s v="Female"/>
    <n v="58.1"/>
    <n v="1.56"/>
    <n v="174"/>
    <n v="136"/>
    <n v="63"/>
    <n v="0.61"/>
    <n v="415"/>
    <s v="Yoga"/>
    <n v="34.4"/>
    <n v="2.2000000000000002"/>
    <n v="2"/>
    <n v="1"/>
    <n v="23.87"/>
    <x v="1"/>
  </r>
  <r>
    <n v="534"/>
    <x v="5"/>
    <n v="33"/>
    <s v="Female"/>
    <n v="74.2"/>
    <n v="1.76"/>
    <n v="192"/>
    <n v="145"/>
    <n v="66"/>
    <n v="1.1499999999999999"/>
    <n v="834"/>
    <s v="Strength"/>
    <n v="25.9"/>
    <n v="1.5"/>
    <n v="4"/>
    <n v="2"/>
    <n v="23.95"/>
    <x v="1"/>
  </r>
  <r>
    <n v="535"/>
    <x v="0"/>
    <n v="56"/>
    <s v="Male"/>
    <n v="84.6"/>
    <n v="1.63"/>
    <n v="184"/>
    <n v="141"/>
    <n v="52"/>
    <n v="1.01"/>
    <n v="705"/>
    <s v="HIIT"/>
    <n v="20.2"/>
    <n v="2.9"/>
    <n v="4"/>
    <n v="2"/>
    <n v="31.84"/>
    <x v="0"/>
  </r>
  <r>
    <n v="536"/>
    <x v="7"/>
    <n v="59"/>
    <s v="Male"/>
    <n v="78"/>
    <n v="1.92"/>
    <n v="180"/>
    <n v="127"/>
    <n v="53"/>
    <n v="0.72"/>
    <n v="453"/>
    <s v="Cardio"/>
    <n v="28.1"/>
    <n v="2.7"/>
    <n v="3"/>
    <n v="1"/>
    <n v="21.16"/>
    <x v="1"/>
  </r>
  <r>
    <n v="537"/>
    <x v="9"/>
    <n v="56"/>
    <s v="Male"/>
    <n v="89"/>
    <n v="1.68"/>
    <n v="176"/>
    <n v="152"/>
    <n v="65"/>
    <n v="1.77"/>
    <n v="1332"/>
    <s v="Yoga"/>
    <n v="10.5"/>
    <n v="3.5"/>
    <n v="5"/>
    <n v="3"/>
    <n v="31.53"/>
    <x v="0"/>
  </r>
  <r>
    <n v="538"/>
    <x v="4"/>
    <n v="31"/>
    <s v="Female"/>
    <n v="42.7"/>
    <n v="1.76"/>
    <n v="182"/>
    <n v="121"/>
    <n v="65"/>
    <n v="1.46"/>
    <n v="883"/>
    <s v="Strength"/>
    <n v="34.9"/>
    <n v="2.2000000000000002"/>
    <n v="3"/>
    <n v="1"/>
    <n v="13.78"/>
    <x v="2"/>
  </r>
  <r>
    <n v="539"/>
    <x v="4"/>
    <n v="48"/>
    <s v="Male"/>
    <n v="83.9"/>
    <n v="1.82"/>
    <n v="176"/>
    <n v="149"/>
    <n v="70"/>
    <n v="1.9"/>
    <n v="1401"/>
    <s v="HIIT"/>
    <n v="13.1"/>
    <n v="3.5"/>
    <n v="5"/>
    <n v="3"/>
    <n v="25.33"/>
    <x v="3"/>
  </r>
  <r>
    <n v="540"/>
    <x v="8"/>
    <n v="22"/>
    <s v="Female"/>
    <n v="78.7"/>
    <n v="1.52"/>
    <n v="173"/>
    <n v="166"/>
    <n v="74"/>
    <n v="1.45"/>
    <n v="1204"/>
    <s v="Strength"/>
    <n v="31.5"/>
    <n v="2.2999999999999998"/>
    <n v="3"/>
    <n v="2"/>
    <n v="34.06"/>
    <x v="0"/>
  </r>
  <r>
    <n v="541"/>
    <x v="6"/>
    <n v="52"/>
    <s v="Female"/>
    <n v="65.900000000000006"/>
    <n v="1.52"/>
    <n v="188"/>
    <n v="139"/>
    <n v="53"/>
    <n v="1.27"/>
    <n v="794"/>
    <s v="Cardio"/>
    <n v="27"/>
    <n v="2.2999999999999998"/>
    <n v="4"/>
    <n v="2"/>
    <n v="28.52"/>
    <x v="3"/>
  </r>
  <r>
    <n v="542"/>
    <x v="0"/>
    <n v="40"/>
    <s v="Male"/>
    <n v="76.900000000000006"/>
    <n v="1.92"/>
    <n v="179"/>
    <n v="137"/>
    <n v="68"/>
    <n v="1.1299999999999999"/>
    <n v="851"/>
    <s v="Yoga"/>
    <n v="22.4"/>
    <n v="3.7"/>
    <n v="4"/>
    <n v="2"/>
    <n v="20.86"/>
    <x v="1"/>
  </r>
  <r>
    <n v="543"/>
    <x v="2"/>
    <n v="46"/>
    <s v="Male"/>
    <n v="84.3"/>
    <n v="2"/>
    <n v="189"/>
    <n v="162"/>
    <n v="66"/>
    <n v="1.83"/>
    <n v="1467"/>
    <s v="HIIT"/>
    <n v="13.3"/>
    <n v="3.5"/>
    <n v="5"/>
    <n v="3"/>
    <n v="21.07"/>
    <x v="1"/>
  </r>
  <r>
    <n v="544"/>
    <x v="4"/>
    <n v="28"/>
    <s v="Female"/>
    <n v="62.4"/>
    <n v="1.6"/>
    <n v="178"/>
    <n v="129"/>
    <n v="62"/>
    <n v="1.1000000000000001"/>
    <n v="710"/>
    <s v="Strength"/>
    <n v="34.1"/>
    <n v="1.7"/>
    <n v="3"/>
    <n v="2"/>
    <n v="24.37"/>
    <x v="1"/>
  </r>
  <r>
    <n v="545"/>
    <x v="9"/>
    <n v="35"/>
    <s v="Male"/>
    <n v="63.7"/>
    <n v="1.74"/>
    <n v="198"/>
    <n v="143"/>
    <n v="71"/>
    <n v="1.03"/>
    <n v="810"/>
    <s v="HIIT"/>
    <n v="29.8"/>
    <n v="2.7"/>
    <n v="4"/>
    <n v="2"/>
    <n v="21.04"/>
    <x v="1"/>
  </r>
  <r>
    <n v="546"/>
    <x v="7"/>
    <n v="29"/>
    <s v="Female"/>
    <n v="54.9"/>
    <n v="1.52"/>
    <n v="172"/>
    <n v="123"/>
    <n v="72"/>
    <n v="1.48"/>
    <n v="910"/>
    <s v="Strength"/>
    <n v="27"/>
    <n v="2"/>
    <n v="3"/>
    <n v="1"/>
    <n v="23.76"/>
    <x v="1"/>
  </r>
  <r>
    <n v="547"/>
    <x v="4"/>
    <n v="26"/>
    <s v="Male"/>
    <n v="76.400000000000006"/>
    <n v="1.79"/>
    <n v="177"/>
    <n v="156"/>
    <n v="73"/>
    <n v="1.17"/>
    <n v="1004"/>
    <s v="Strength"/>
    <n v="21.3"/>
    <n v="2.7"/>
    <n v="3"/>
    <n v="2"/>
    <n v="23.84"/>
    <x v="1"/>
  </r>
  <r>
    <n v="548"/>
    <x v="7"/>
    <n v="27"/>
    <s v="Male"/>
    <n v="106.4"/>
    <n v="1.86"/>
    <n v="182"/>
    <n v="123"/>
    <n v="50"/>
    <n v="1.34"/>
    <n v="907"/>
    <s v="Cardio"/>
    <n v="20.6"/>
    <n v="3.1"/>
    <n v="2"/>
    <n v="1"/>
    <n v="30.76"/>
    <x v="0"/>
  </r>
  <r>
    <n v="549"/>
    <x v="3"/>
    <n v="34"/>
    <s v="Female"/>
    <n v="68.400000000000006"/>
    <n v="1.5"/>
    <n v="192"/>
    <n v="132"/>
    <n v="61"/>
    <n v="1.37"/>
    <n v="904"/>
    <s v="Cardio"/>
    <n v="33.700000000000003"/>
    <n v="2.1"/>
    <n v="4"/>
    <n v="2"/>
    <n v="30.4"/>
    <x v="0"/>
  </r>
  <r>
    <n v="550"/>
    <x v="3"/>
    <n v="55"/>
    <s v="Male"/>
    <n v="63.5"/>
    <n v="1.86"/>
    <n v="198"/>
    <n v="144"/>
    <n v="53"/>
    <n v="1.36"/>
    <n v="969"/>
    <s v="Strength"/>
    <n v="22.9"/>
    <n v="2.9"/>
    <n v="4"/>
    <n v="2"/>
    <n v="18.350000000000001"/>
    <x v="2"/>
  </r>
  <r>
    <n v="551"/>
    <x v="6"/>
    <n v="24"/>
    <s v="Female"/>
    <n v="59.4"/>
    <n v="1.5"/>
    <n v="199"/>
    <n v="132"/>
    <n v="60"/>
    <n v="1.25"/>
    <n v="825"/>
    <s v="Yoga"/>
    <n v="25"/>
    <n v="2"/>
    <n v="3"/>
    <n v="2"/>
    <n v="26.4"/>
    <x v="3"/>
  </r>
  <r>
    <n v="552"/>
    <x v="5"/>
    <n v="30"/>
    <s v="Male"/>
    <n v="113.4"/>
    <n v="1.91"/>
    <n v="177"/>
    <n v="137"/>
    <n v="54"/>
    <n v="1.27"/>
    <n v="957"/>
    <s v="HIIT"/>
    <n v="22.2"/>
    <n v="3.7"/>
    <n v="3"/>
    <n v="1"/>
    <n v="31.08"/>
    <x v="0"/>
  </r>
  <r>
    <n v="553"/>
    <x v="2"/>
    <n v="57"/>
    <s v="Female"/>
    <n v="61.9"/>
    <n v="1.52"/>
    <n v="168"/>
    <n v="143"/>
    <n v="51"/>
    <n v="0.92"/>
    <n v="592"/>
    <s v="HIIT"/>
    <n v="28.4"/>
    <n v="2.6"/>
    <n v="3"/>
    <n v="1"/>
    <n v="26.79"/>
    <x v="3"/>
  </r>
  <r>
    <n v="554"/>
    <x v="8"/>
    <n v="59"/>
    <s v="Female"/>
    <n v="70.7"/>
    <n v="1.68"/>
    <n v="192"/>
    <n v="121"/>
    <n v="66"/>
    <n v="1.17"/>
    <n v="637"/>
    <s v="Cardio"/>
    <n v="34.9"/>
    <n v="1.9"/>
    <n v="3"/>
    <n v="2"/>
    <n v="25.05"/>
    <x v="3"/>
  </r>
  <r>
    <n v="555"/>
    <x v="6"/>
    <n v="26"/>
    <s v="Male"/>
    <n v="111.5"/>
    <n v="1.9"/>
    <n v="191"/>
    <n v="167"/>
    <n v="57"/>
    <n v="1.02"/>
    <n v="937"/>
    <s v="Yoga"/>
    <n v="25.2"/>
    <n v="2.2000000000000002"/>
    <n v="2"/>
    <n v="1"/>
    <n v="30.89"/>
    <x v="0"/>
  </r>
  <r>
    <n v="556"/>
    <x v="1"/>
    <n v="44"/>
    <s v="Female"/>
    <n v="72.099999999999994"/>
    <n v="1.66"/>
    <n v="176"/>
    <n v="152"/>
    <n v="55"/>
    <n v="1.4"/>
    <n v="958"/>
    <s v="Strength"/>
    <n v="27"/>
    <n v="2.5"/>
    <n v="2"/>
    <n v="1"/>
    <n v="26.16"/>
    <x v="3"/>
  </r>
  <r>
    <n v="557"/>
    <x v="8"/>
    <n v="19"/>
    <s v="Male"/>
    <n v="56.9"/>
    <n v="1.87"/>
    <n v="178"/>
    <n v="138"/>
    <n v="70"/>
    <n v="0.61"/>
    <n v="463"/>
    <s v="Cardio"/>
    <n v="23.3"/>
    <n v="3.7"/>
    <n v="3"/>
    <n v="1"/>
    <n v="16.27"/>
    <x v="2"/>
  </r>
  <r>
    <n v="558"/>
    <x v="0"/>
    <n v="22"/>
    <s v="Male"/>
    <n v="86.2"/>
    <n v="1.9"/>
    <n v="186"/>
    <n v="128"/>
    <n v="58"/>
    <n v="1.91"/>
    <n v="1345"/>
    <s v="Strength"/>
    <n v="11.7"/>
    <n v="3.5"/>
    <n v="5"/>
    <n v="3"/>
    <n v="23.88"/>
    <x v="1"/>
  </r>
  <r>
    <n v="559"/>
    <x v="9"/>
    <n v="46"/>
    <s v="Male"/>
    <n v="59.4"/>
    <n v="1.68"/>
    <n v="165"/>
    <n v="147"/>
    <n v="62"/>
    <n v="1.1599999999999999"/>
    <n v="844"/>
    <s v="Strength"/>
    <n v="20.2"/>
    <n v="2.5"/>
    <n v="4"/>
    <n v="2"/>
    <n v="21.05"/>
    <x v="1"/>
  </r>
  <r>
    <n v="560"/>
    <x v="1"/>
    <n v="54"/>
    <s v="Female"/>
    <n v="75.599999999999994"/>
    <n v="1.72"/>
    <n v="194"/>
    <n v="154"/>
    <n v="60"/>
    <n v="0.97"/>
    <n v="672"/>
    <s v="Cardio"/>
    <n v="26.4"/>
    <n v="1.9"/>
    <n v="3"/>
    <n v="1"/>
    <n v="25.55"/>
    <x v="3"/>
  </r>
  <r>
    <n v="561"/>
    <x v="1"/>
    <n v="55"/>
    <s v="Female"/>
    <n v="76.3"/>
    <n v="1.73"/>
    <n v="196"/>
    <n v="158"/>
    <n v="65"/>
    <n v="1.08"/>
    <n v="768"/>
    <s v="Yoga"/>
    <n v="32"/>
    <n v="2.6"/>
    <n v="3"/>
    <n v="1"/>
    <n v="25.49"/>
    <x v="3"/>
  </r>
  <r>
    <n v="562"/>
    <x v="6"/>
    <n v="36"/>
    <s v="Male"/>
    <n v="95.8"/>
    <n v="1.86"/>
    <n v="193"/>
    <n v="129"/>
    <n v="65"/>
    <n v="1.37"/>
    <n v="972"/>
    <s v="HIIT"/>
    <n v="21.2"/>
    <n v="3.2"/>
    <n v="3"/>
    <n v="1"/>
    <n v="27.69"/>
    <x v="3"/>
  </r>
  <r>
    <n v="563"/>
    <x v="5"/>
    <n v="25"/>
    <s v="Male"/>
    <n v="120.6"/>
    <n v="1.83"/>
    <n v="179"/>
    <n v="120"/>
    <n v="51"/>
    <n v="1.04"/>
    <n v="686"/>
    <s v="Cardio"/>
    <n v="22.3"/>
    <n v="2.5"/>
    <n v="3"/>
    <n v="2"/>
    <n v="36.01"/>
    <x v="0"/>
  </r>
  <r>
    <n v="564"/>
    <x v="6"/>
    <n v="18"/>
    <s v="Female"/>
    <n v="65.3"/>
    <n v="1.55"/>
    <n v="184"/>
    <n v="161"/>
    <n v="59"/>
    <n v="1.42"/>
    <n v="1143"/>
    <s v="Yoga"/>
    <n v="28.5"/>
    <n v="2.2000000000000002"/>
    <n v="3"/>
    <n v="2"/>
    <n v="27.18"/>
    <x v="3"/>
  </r>
  <r>
    <n v="565"/>
    <x v="0"/>
    <n v="39"/>
    <s v="Male"/>
    <n v="85.3"/>
    <n v="1.89"/>
    <n v="163"/>
    <n v="140"/>
    <n v="61"/>
    <n v="0.77"/>
    <n v="593"/>
    <s v="Strength"/>
    <n v="27.6"/>
    <n v="3.6"/>
    <n v="2"/>
    <n v="1"/>
    <n v="23.88"/>
    <x v="1"/>
  </r>
  <r>
    <n v="566"/>
    <x v="4"/>
    <n v="34"/>
    <s v="Male"/>
    <n v="68"/>
    <n v="1.68"/>
    <n v="169"/>
    <n v="128"/>
    <n v="57"/>
    <n v="0.67"/>
    <n v="472"/>
    <s v="Cardio"/>
    <n v="25.8"/>
    <n v="3.4"/>
    <n v="2"/>
    <n v="1"/>
    <n v="24.09"/>
    <x v="1"/>
  </r>
  <r>
    <n v="567"/>
    <x v="4"/>
    <n v="24"/>
    <s v="Female"/>
    <n v="52.6"/>
    <n v="1.57"/>
    <n v="169"/>
    <n v="166"/>
    <n v="60"/>
    <n v="1.29"/>
    <n v="1071"/>
    <s v="HIIT"/>
    <n v="31.9"/>
    <n v="2.4"/>
    <n v="2"/>
    <n v="1"/>
    <n v="21.34"/>
    <x v="1"/>
  </r>
  <r>
    <n v="568"/>
    <x v="5"/>
    <n v="42"/>
    <s v="Male"/>
    <n v="63.3"/>
    <n v="1.77"/>
    <n v="183"/>
    <n v="134"/>
    <n v="59"/>
    <n v="1.32"/>
    <n v="876"/>
    <s v="HIIT"/>
    <n v="25.7"/>
    <n v="3.3"/>
    <n v="3"/>
    <n v="2"/>
    <n v="20.2"/>
    <x v="1"/>
  </r>
  <r>
    <n v="569"/>
    <x v="0"/>
    <n v="21"/>
    <s v="Female"/>
    <n v="76.3"/>
    <n v="1.65"/>
    <n v="180"/>
    <n v="154"/>
    <n v="62"/>
    <n v="1.1399999999999999"/>
    <n v="878"/>
    <s v="Strength"/>
    <n v="31.8"/>
    <n v="1.7"/>
    <n v="3"/>
    <n v="2"/>
    <n v="28.03"/>
    <x v="3"/>
  </r>
  <r>
    <n v="570"/>
    <x v="5"/>
    <n v="53"/>
    <s v="Male"/>
    <n v="61"/>
    <n v="1.63"/>
    <n v="170"/>
    <n v="124"/>
    <n v="74"/>
    <n v="0.54"/>
    <n v="331"/>
    <s v="Cardio"/>
    <n v="20"/>
    <n v="3.4"/>
    <n v="3"/>
    <n v="1"/>
    <n v="22.96"/>
    <x v="1"/>
  </r>
  <r>
    <n v="571"/>
    <x v="7"/>
    <n v="23"/>
    <s v="Female"/>
    <n v="67.8"/>
    <n v="1.61"/>
    <n v="186"/>
    <n v="160"/>
    <n v="66"/>
    <n v="1.34"/>
    <n v="1072"/>
    <s v="HIIT"/>
    <n v="34.299999999999997"/>
    <n v="1.8"/>
    <n v="2"/>
    <n v="1"/>
    <n v="26.16"/>
    <x v="3"/>
  </r>
  <r>
    <n v="572"/>
    <x v="4"/>
    <n v="48"/>
    <s v="Male"/>
    <n v="114.9"/>
    <n v="1.86"/>
    <n v="175"/>
    <n v="141"/>
    <n v="56"/>
    <n v="1.36"/>
    <n v="949"/>
    <s v="Cardio"/>
    <n v="21.1"/>
    <n v="3.6"/>
    <n v="3"/>
    <n v="1"/>
    <n v="33.21"/>
    <x v="0"/>
  </r>
  <r>
    <n v="573"/>
    <x v="1"/>
    <n v="36"/>
    <s v="Male"/>
    <n v="88"/>
    <n v="1.71"/>
    <n v="185"/>
    <n v="160"/>
    <n v="73"/>
    <n v="1.87"/>
    <n v="1646"/>
    <s v="HIIT"/>
    <n v="12"/>
    <n v="3.5"/>
    <n v="5"/>
    <n v="3"/>
    <n v="30.09"/>
    <x v="0"/>
  </r>
  <r>
    <n v="574"/>
    <x v="2"/>
    <n v="56"/>
    <s v="Female"/>
    <n v="67.7"/>
    <n v="1.58"/>
    <n v="189"/>
    <n v="142"/>
    <n v="52"/>
    <n v="1.45"/>
    <n v="927"/>
    <s v="Strength"/>
    <n v="32.700000000000003"/>
    <n v="1.9"/>
    <n v="2"/>
    <n v="1"/>
    <n v="27.12"/>
    <x v="3"/>
  </r>
  <r>
    <n v="575"/>
    <x v="9"/>
    <n v="44"/>
    <s v="Male"/>
    <n v="124.8"/>
    <n v="1.85"/>
    <n v="175"/>
    <n v="126"/>
    <n v="69"/>
    <n v="1.35"/>
    <n v="842"/>
    <s v="Strength"/>
    <n v="24.4"/>
    <n v="3.5"/>
    <n v="4"/>
    <n v="2"/>
    <n v="36.46"/>
    <x v="0"/>
  </r>
  <r>
    <n v="576"/>
    <x v="0"/>
    <n v="27"/>
    <s v="Female"/>
    <n v="53"/>
    <n v="1.58"/>
    <n v="166"/>
    <n v="142"/>
    <n v="62"/>
    <n v="1.26"/>
    <n v="895"/>
    <s v="Cardio"/>
    <n v="34.5"/>
    <n v="1.8"/>
    <n v="4"/>
    <n v="2"/>
    <n v="21.23"/>
    <x v="1"/>
  </r>
  <r>
    <n v="577"/>
    <x v="8"/>
    <n v="43"/>
    <s v="Male"/>
    <n v="61.2"/>
    <n v="1.88"/>
    <n v="175"/>
    <n v="163"/>
    <n v="68"/>
    <n v="1.03"/>
    <n v="831"/>
    <s v="Yoga"/>
    <n v="24.7"/>
    <n v="2.9"/>
    <n v="3"/>
    <n v="1"/>
    <n v="17.32"/>
    <x v="2"/>
  </r>
  <r>
    <n v="578"/>
    <x v="5"/>
    <n v="36"/>
    <s v="Female"/>
    <n v="48.7"/>
    <n v="1.68"/>
    <n v="194"/>
    <n v="144"/>
    <n v="56"/>
    <n v="1.23"/>
    <n v="886"/>
    <s v="Yoga"/>
    <n v="33.700000000000003"/>
    <n v="1.6"/>
    <n v="3"/>
    <n v="1"/>
    <n v="17.25"/>
    <x v="2"/>
  </r>
  <r>
    <n v="579"/>
    <x v="9"/>
    <n v="56"/>
    <s v="Female"/>
    <n v="50.6"/>
    <n v="1.7"/>
    <n v="175"/>
    <n v="146"/>
    <n v="58"/>
    <n v="1.29"/>
    <n v="848"/>
    <s v="Strength"/>
    <n v="33.1"/>
    <n v="2.2999999999999998"/>
    <n v="2"/>
    <n v="1"/>
    <n v="17.510000000000002"/>
    <x v="2"/>
  </r>
  <r>
    <n v="580"/>
    <x v="8"/>
    <n v="20"/>
    <s v="Female"/>
    <n v="72.599999999999994"/>
    <n v="1.73"/>
    <n v="199"/>
    <n v="160"/>
    <n v="68"/>
    <n v="1.27"/>
    <n v="1016"/>
    <s v="HIIT"/>
    <n v="34.799999999999997"/>
    <n v="2.5"/>
    <n v="3"/>
    <n v="2"/>
    <n v="24.26"/>
    <x v="1"/>
  </r>
  <r>
    <n v="581"/>
    <x v="9"/>
    <n v="30"/>
    <s v="Female"/>
    <n v="70.400000000000006"/>
    <n v="1.56"/>
    <n v="171"/>
    <n v="125"/>
    <n v="62"/>
    <n v="1.03"/>
    <n v="644"/>
    <s v="Yoga"/>
    <n v="34.299999999999997"/>
    <n v="2.4"/>
    <n v="4"/>
    <n v="2"/>
    <n v="28.93"/>
    <x v="3"/>
  </r>
  <r>
    <n v="582"/>
    <x v="2"/>
    <n v="45"/>
    <s v="Male"/>
    <n v="52.5"/>
    <n v="1.88"/>
    <n v="194"/>
    <n v="153"/>
    <n v="71"/>
    <n v="1.08"/>
    <n v="818"/>
    <s v="Strength"/>
    <n v="29"/>
    <n v="2.9"/>
    <n v="4"/>
    <n v="2"/>
    <n v="14.85"/>
    <x v="2"/>
  </r>
  <r>
    <n v="583"/>
    <x v="8"/>
    <n v="37"/>
    <s v="Male"/>
    <n v="76.3"/>
    <n v="1.77"/>
    <n v="180"/>
    <n v="128"/>
    <n v="57"/>
    <n v="1.36"/>
    <n v="957"/>
    <s v="HIIT"/>
    <n v="27.3"/>
    <n v="2.1"/>
    <n v="4"/>
    <n v="2"/>
    <n v="24.35"/>
    <x v="1"/>
  </r>
  <r>
    <n v="584"/>
    <x v="6"/>
    <n v="45"/>
    <s v="Female"/>
    <n v="41.2"/>
    <n v="1.58"/>
    <n v="195"/>
    <n v="168"/>
    <n v="71"/>
    <n v="1.47"/>
    <n v="1111"/>
    <s v="HIIT"/>
    <n v="28.7"/>
    <n v="2.6"/>
    <n v="2"/>
    <n v="1"/>
    <n v="16.5"/>
    <x v="2"/>
  </r>
  <r>
    <n v="585"/>
    <x v="3"/>
    <n v="25"/>
    <s v="Female"/>
    <n v="55.3"/>
    <n v="1.76"/>
    <n v="176"/>
    <n v="152"/>
    <n v="67"/>
    <n v="1.56"/>
    <n v="1186"/>
    <s v="Yoga"/>
    <n v="15.5"/>
    <n v="2.7"/>
    <n v="4"/>
    <n v="3"/>
    <n v="17.850000000000001"/>
    <x v="2"/>
  </r>
  <r>
    <n v="586"/>
    <x v="6"/>
    <n v="58"/>
    <s v="Female"/>
    <n v="49.7"/>
    <n v="1.67"/>
    <n v="191"/>
    <n v="125"/>
    <n v="72"/>
    <n v="1.38"/>
    <n v="776"/>
    <s v="Strength"/>
    <n v="31.9"/>
    <n v="2.2999999999999998"/>
    <n v="4"/>
    <n v="2"/>
    <n v="17.82"/>
    <x v="2"/>
  </r>
  <r>
    <n v="587"/>
    <x v="4"/>
    <n v="56"/>
    <s v="Male"/>
    <n v="48.3"/>
    <n v="1.87"/>
    <n v="165"/>
    <n v="156"/>
    <n v="51"/>
    <n v="0.68"/>
    <n v="525"/>
    <s v="HIIT"/>
    <n v="29.8"/>
    <n v="3.3"/>
    <n v="3"/>
    <n v="1"/>
    <n v="13.81"/>
    <x v="2"/>
  </r>
  <r>
    <n v="588"/>
    <x v="3"/>
    <n v="18"/>
    <s v="Male"/>
    <n v="83.2"/>
    <n v="1.96"/>
    <n v="183"/>
    <n v="150"/>
    <n v="67"/>
    <n v="1.83"/>
    <n v="1510"/>
    <s v="HIIT"/>
    <n v="13.6"/>
    <n v="3.5"/>
    <n v="4"/>
    <n v="3"/>
    <n v="21.66"/>
    <x v="1"/>
  </r>
  <r>
    <n v="589"/>
    <x v="6"/>
    <n v="20"/>
    <s v="Male"/>
    <n v="120.5"/>
    <n v="1.73"/>
    <n v="186"/>
    <n v="153"/>
    <n v="67"/>
    <n v="1.01"/>
    <n v="850"/>
    <s v="Cardio"/>
    <n v="29.3"/>
    <n v="3.4"/>
    <n v="3"/>
    <n v="2"/>
    <n v="40.26"/>
    <x v="0"/>
  </r>
  <r>
    <n v="590"/>
    <x v="3"/>
    <n v="30"/>
    <s v="Male"/>
    <n v="121.6"/>
    <n v="2"/>
    <n v="179"/>
    <n v="160"/>
    <n v="60"/>
    <n v="1.24"/>
    <n v="1091"/>
    <s v="Cardio"/>
    <n v="28"/>
    <n v="3.3"/>
    <n v="4"/>
    <n v="2"/>
    <n v="30.4"/>
    <x v="0"/>
  </r>
  <r>
    <n v="591"/>
    <x v="3"/>
    <n v="45"/>
    <s v="Female"/>
    <n v="73"/>
    <n v="1.75"/>
    <n v="184"/>
    <n v="148"/>
    <n v="50"/>
    <n v="1.1399999999999999"/>
    <n v="759"/>
    <s v="Yoga"/>
    <n v="26.6"/>
    <n v="2"/>
    <n v="4"/>
    <n v="2"/>
    <n v="23.84"/>
    <x v="1"/>
  </r>
  <r>
    <n v="592"/>
    <x v="1"/>
    <n v="42"/>
    <s v="Female"/>
    <n v="57.5"/>
    <n v="1.67"/>
    <n v="161"/>
    <n v="133"/>
    <n v="63"/>
    <n v="1.76"/>
    <n v="1053"/>
    <s v="Cardio"/>
    <n v="16.2"/>
    <n v="2.7"/>
    <n v="5"/>
    <n v="3"/>
    <n v="20.62"/>
    <x v="1"/>
  </r>
  <r>
    <n v="593"/>
    <x v="5"/>
    <n v="50"/>
    <s v="Female"/>
    <n v="42.7"/>
    <n v="1.53"/>
    <n v="168"/>
    <n v="155"/>
    <n v="65"/>
    <n v="1.41"/>
    <n v="983"/>
    <s v="Strength"/>
    <n v="28.4"/>
    <n v="2.4"/>
    <n v="4"/>
    <n v="2"/>
    <n v="18.239999999999998"/>
    <x v="2"/>
  </r>
  <r>
    <n v="594"/>
    <x v="5"/>
    <n v="55"/>
    <s v="Male"/>
    <n v="129.9"/>
    <n v="1.73"/>
    <n v="187"/>
    <n v="155"/>
    <n v="60"/>
    <n v="0.69"/>
    <n v="529"/>
    <s v="Yoga"/>
    <n v="21.7"/>
    <n v="3.1"/>
    <n v="3"/>
    <n v="1"/>
    <n v="43.4"/>
    <x v="0"/>
  </r>
  <r>
    <n v="595"/>
    <x v="1"/>
    <n v="23"/>
    <s v="Male"/>
    <n v="108.6"/>
    <n v="1.92"/>
    <n v="197"/>
    <n v="134"/>
    <n v="50"/>
    <n v="0.89"/>
    <n v="656"/>
    <s v="Yoga"/>
    <n v="25.8"/>
    <n v="3.5"/>
    <n v="2"/>
    <n v="1"/>
    <n v="29.46"/>
    <x v="3"/>
  </r>
  <r>
    <n v="596"/>
    <x v="9"/>
    <n v="49"/>
    <s v="Male"/>
    <n v="88.6"/>
    <n v="2"/>
    <n v="162"/>
    <n v="127"/>
    <n v="56"/>
    <n v="1.83"/>
    <n v="1150"/>
    <s v="Cardio"/>
    <n v="14.9"/>
    <n v="3.5"/>
    <n v="4"/>
    <n v="3"/>
    <n v="22.15"/>
    <x v="1"/>
  </r>
  <r>
    <n v="597"/>
    <x v="7"/>
    <n v="38"/>
    <s v="Female"/>
    <n v="49.7"/>
    <n v="1.51"/>
    <n v="179"/>
    <n v="145"/>
    <n v="65"/>
    <n v="1.25"/>
    <n v="906"/>
    <s v="HIIT"/>
    <n v="32.6"/>
    <n v="2.5"/>
    <n v="3"/>
    <n v="1"/>
    <n v="21.8"/>
    <x v="1"/>
  </r>
  <r>
    <n v="598"/>
    <x v="9"/>
    <n v="33"/>
    <s v="Female"/>
    <n v="56.4"/>
    <n v="1.54"/>
    <n v="165"/>
    <n v="155"/>
    <n v="63"/>
    <n v="1.06"/>
    <n v="822"/>
    <s v="Strength"/>
    <n v="29.2"/>
    <n v="1.5"/>
    <n v="3"/>
    <n v="1"/>
    <n v="23.78"/>
    <x v="1"/>
  </r>
  <r>
    <n v="599"/>
    <x v="8"/>
    <n v="38"/>
    <s v="Male"/>
    <n v="46.9"/>
    <n v="1.74"/>
    <n v="198"/>
    <n v="167"/>
    <n v="64"/>
    <n v="1.03"/>
    <n v="946"/>
    <s v="Strength"/>
    <n v="20"/>
    <n v="2.6"/>
    <n v="4"/>
    <n v="2"/>
    <n v="15.49"/>
    <x v="2"/>
  </r>
  <r>
    <n v="600"/>
    <x v="8"/>
    <n v="28"/>
    <s v="Female"/>
    <n v="71.3"/>
    <n v="1.67"/>
    <n v="192"/>
    <n v="140"/>
    <n v="63"/>
    <n v="1.46"/>
    <n v="1022"/>
    <s v="Strength"/>
    <n v="28.1"/>
    <n v="1.5"/>
    <n v="4"/>
    <n v="2"/>
    <n v="25.57"/>
    <x v="3"/>
  </r>
  <r>
    <n v="601"/>
    <x v="3"/>
    <n v="54"/>
    <s v="Male"/>
    <n v="71.599999999999994"/>
    <n v="1.86"/>
    <n v="160"/>
    <n v="147"/>
    <n v="70"/>
    <n v="1.1399999999999999"/>
    <n v="830"/>
    <s v="Yoga"/>
    <n v="25.3"/>
    <n v="2.2000000000000002"/>
    <n v="3"/>
    <n v="2"/>
    <n v="20.7"/>
    <x v="1"/>
  </r>
  <r>
    <n v="602"/>
    <x v="6"/>
    <n v="53"/>
    <s v="Male"/>
    <n v="82.3"/>
    <n v="1.61"/>
    <n v="196"/>
    <n v="123"/>
    <n v="60"/>
    <n v="1.87"/>
    <n v="1139"/>
    <s v="Strength"/>
    <n v="11.6"/>
    <n v="3.5"/>
    <n v="5"/>
    <n v="3"/>
    <n v="31.75"/>
    <x v="0"/>
  </r>
  <r>
    <n v="603"/>
    <x v="6"/>
    <n v="52"/>
    <s v="Female"/>
    <n v="70.599999999999994"/>
    <n v="1.69"/>
    <n v="165"/>
    <n v="135"/>
    <n v="65"/>
    <n v="1.36"/>
    <n v="826"/>
    <s v="HIIT"/>
    <n v="26.1"/>
    <n v="2.2000000000000002"/>
    <n v="3"/>
    <n v="1"/>
    <n v="24.72"/>
    <x v="1"/>
  </r>
  <r>
    <n v="604"/>
    <x v="5"/>
    <n v="36"/>
    <s v="Male"/>
    <n v="109.8"/>
    <n v="1.62"/>
    <n v="193"/>
    <n v="141"/>
    <n v="68"/>
    <n v="0.84"/>
    <n v="651"/>
    <s v="HIIT"/>
    <n v="24.4"/>
    <n v="3.5"/>
    <n v="3"/>
    <n v="1"/>
    <n v="41.84"/>
    <x v="0"/>
  </r>
  <r>
    <n v="605"/>
    <x v="0"/>
    <n v="37"/>
    <s v="Female"/>
    <n v="73.5"/>
    <n v="1.69"/>
    <n v="174"/>
    <n v="131"/>
    <n v="66"/>
    <n v="0.54"/>
    <n v="354"/>
    <s v="Cardio"/>
    <n v="27.5"/>
    <n v="1.6"/>
    <n v="2"/>
    <n v="1"/>
    <n v="25.73"/>
    <x v="3"/>
  </r>
  <r>
    <n v="606"/>
    <x v="9"/>
    <n v="35"/>
    <s v="Male"/>
    <n v="85.6"/>
    <n v="1.85"/>
    <n v="185"/>
    <n v="135"/>
    <n v="55"/>
    <n v="1.78"/>
    <n v="1322"/>
    <s v="Strength"/>
    <n v="14.5"/>
    <n v="3.5"/>
    <n v="5"/>
    <n v="3"/>
    <n v="25.01"/>
    <x v="3"/>
  </r>
  <r>
    <n v="607"/>
    <x v="4"/>
    <n v="58"/>
    <s v="Female"/>
    <n v="74.599999999999994"/>
    <n v="1.68"/>
    <n v="173"/>
    <n v="159"/>
    <n v="60"/>
    <n v="1.03"/>
    <n v="737"/>
    <s v="Yoga"/>
    <n v="26"/>
    <n v="2"/>
    <n v="4"/>
    <n v="2"/>
    <n v="26.43"/>
    <x v="3"/>
  </r>
  <r>
    <n v="608"/>
    <x v="2"/>
    <n v="31"/>
    <s v="Female"/>
    <n v="63.2"/>
    <n v="1.8"/>
    <n v="166"/>
    <n v="157"/>
    <n v="66"/>
    <n v="0.59"/>
    <n v="463"/>
    <s v="Cardio"/>
    <n v="25.5"/>
    <n v="2.6"/>
    <n v="2"/>
    <n v="1"/>
    <n v="19.510000000000002"/>
    <x v="1"/>
  </r>
  <r>
    <n v="609"/>
    <x v="6"/>
    <n v="32"/>
    <s v="Female"/>
    <n v="62.6"/>
    <n v="1.63"/>
    <n v="190"/>
    <n v="161"/>
    <n v="58"/>
    <n v="1.67"/>
    <n v="1344"/>
    <s v="HIIT"/>
    <n v="15"/>
    <n v="2.7"/>
    <n v="5"/>
    <n v="3"/>
    <n v="23.56"/>
    <x v="1"/>
  </r>
  <r>
    <n v="610"/>
    <x v="2"/>
    <n v="48"/>
    <s v="Male"/>
    <n v="87.1"/>
    <n v="1.76"/>
    <n v="183"/>
    <n v="156"/>
    <n v="67"/>
    <n v="1.81"/>
    <n v="1398"/>
    <s v="Strength"/>
    <n v="11.6"/>
    <n v="3.5"/>
    <n v="5"/>
    <n v="3"/>
    <n v="28.12"/>
    <x v="3"/>
  </r>
  <r>
    <n v="611"/>
    <x v="3"/>
    <n v="18"/>
    <s v="Male"/>
    <n v="82.3"/>
    <n v="1.84"/>
    <n v="190"/>
    <n v="148"/>
    <n v="66"/>
    <n v="1.73"/>
    <n v="1408"/>
    <s v="HIIT"/>
    <n v="13.3"/>
    <n v="3.5"/>
    <n v="5"/>
    <n v="3"/>
    <n v="24.31"/>
    <x v="1"/>
  </r>
  <r>
    <n v="612"/>
    <x v="2"/>
    <n v="20"/>
    <s v="Female"/>
    <n v="64.3"/>
    <n v="1.78"/>
    <n v="188"/>
    <n v="137"/>
    <n v="61"/>
    <n v="1.71"/>
    <n v="1171"/>
    <s v="Cardio"/>
    <n v="18.7"/>
    <n v="2.7"/>
    <n v="4"/>
    <n v="3"/>
    <n v="20.29"/>
    <x v="1"/>
  </r>
  <r>
    <n v="613"/>
    <x v="4"/>
    <n v="33"/>
    <s v="Female"/>
    <n v="53.7"/>
    <n v="1.66"/>
    <n v="191"/>
    <n v="129"/>
    <n v="72"/>
    <n v="1.25"/>
    <n v="806"/>
    <s v="HIIT"/>
    <n v="29.5"/>
    <n v="2.5"/>
    <n v="3"/>
    <n v="1"/>
    <n v="19.489999999999998"/>
    <x v="1"/>
  </r>
  <r>
    <n v="614"/>
    <x v="1"/>
    <n v="40"/>
    <s v="Male"/>
    <n v="63"/>
    <n v="2"/>
    <n v="176"/>
    <n v="161"/>
    <n v="71"/>
    <n v="1.42"/>
    <n v="1257"/>
    <s v="Strength"/>
    <n v="26.8"/>
    <n v="2.9"/>
    <n v="4"/>
    <n v="2"/>
    <n v="15.75"/>
    <x v="2"/>
  </r>
  <r>
    <n v="615"/>
    <x v="4"/>
    <n v="28"/>
    <s v="Male"/>
    <n v="128.4"/>
    <n v="1.86"/>
    <n v="173"/>
    <n v="158"/>
    <n v="71"/>
    <n v="1.06"/>
    <n v="921"/>
    <s v="Strength"/>
    <n v="23.6"/>
    <n v="3.3"/>
    <n v="4"/>
    <n v="2"/>
    <n v="37.11"/>
    <x v="0"/>
  </r>
  <r>
    <n v="616"/>
    <x v="2"/>
    <n v="29"/>
    <s v="Male"/>
    <n v="88"/>
    <n v="1.89"/>
    <n v="199"/>
    <n v="137"/>
    <n v="54"/>
    <n v="1.75"/>
    <n v="1319"/>
    <s v="Cardio"/>
    <n v="13.3"/>
    <n v="3.5"/>
    <n v="5"/>
    <n v="3"/>
    <n v="24.64"/>
    <x v="1"/>
  </r>
  <r>
    <n v="617"/>
    <x v="4"/>
    <n v="27"/>
    <s v="Female"/>
    <n v="63.7"/>
    <n v="1.52"/>
    <n v="195"/>
    <n v="120"/>
    <n v="60"/>
    <n v="1.19"/>
    <n v="714"/>
    <s v="Strength"/>
    <n v="25.4"/>
    <n v="2.1"/>
    <n v="4"/>
    <n v="2"/>
    <n v="27.57"/>
    <x v="3"/>
  </r>
  <r>
    <n v="618"/>
    <x v="7"/>
    <n v="49"/>
    <s v="Male"/>
    <n v="83.7"/>
    <n v="1.87"/>
    <n v="183"/>
    <n v="158"/>
    <n v="53"/>
    <n v="1.29"/>
    <n v="1009"/>
    <s v="HIIT"/>
    <n v="23.9"/>
    <n v="2.2999999999999998"/>
    <n v="4"/>
    <n v="2"/>
    <n v="23.94"/>
    <x v="1"/>
  </r>
  <r>
    <n v="619"/>
    <x v="3"/>
    <n v="33"/>
    <s v="Male"/>
    <n v="102.6"/>
    <n v="1.75"/>
    <n v="186"/>
    <n v="140"/>
    <n v="53"/>
    <n v="1.4"/>
    <n v="1078"/>
    <s v="HIIT"/>
    <n v="27.9"/>
    <n v="2.2000000000000002"/>
    <n v="3"/>
    <n v="2"/>
    <n v="33.5"/>
    <x v="0"/>
  </r>
  <r>
    <n v="620"/>
    <x v="9"/>
    <n v="25"/>
    <s v="Female"/>
    <n v="77.7"/>
    <n v="1.55"/>
    <n v="184"/>
    <n v="120"/>
    <n v="52"/>
    <n v="0.55000000000000004"/>
    <n v="330"/>
    <s v="Yoga"/>
    <n v="33"/>
    <n v="1.7"/>
    <n v="2"/>
    <n v="1"/>
    <n v="32.340000000000003"/>
    <x v="0"/>
  </r>
  <r>
    <n v="621"/>
    <x v="1"/>
    <n v="55"/>
    <s v="Male"/>
    <n v="87.5"/>
    <n v="1.88"/>
    <n v="191"/>
    <n v="134"/>
    <n v="73"/>
    <n v="1.19"/>
    <n v="789"/>
    <s v="Yoga"/>
    <n v="27.2"/>
    <n v="2.6"/>
    <n v="4"/>
    <n v="2"/>
    <n v="24.76"/>
    <x v="1"/>
  </r>
  <r>
    <n v="622"/>
    <x v="6"/>
    <n v="29"/>
    <s v="Male"/>
    <n v="87"/>
    <n v="1.86"/>
    <n v="177"/>
    <n v="123"/>
    <n v="72"/>
    <n v="1.52"/>
    <n v="1028"/>
    <s v="Yoga"/>
    <n v="11"/>
    <n v="3.5"/>
    <n v="4"/>
    <n v="3"/>
    <n v="25.15"/>
    <x v="3"/>
  </r>
  <r>
    <n v="623"/>
    <x v="8"/>
    <n v="41"/>
    <s v="Male"/>
    <n v="82.8"/>
    <n v="1.66"/>
    <n v="177"/>
    <n v="139"/>
    <n v="74"/>
    <n v="1.97"/>
    <n v="1355"/>
    <s v="HIIT"/>
    <n v="11.2"/>
    <n v="3.5"/>
    <n v="5"/>
    <n v="3"/>
    <n v="30.05"/>
    <x v="0"/>
  </r>
  <r>
    <n v="624"/>
    <x v="9"/>
    <n v="45"/>
    <s v="Female"/>
    <n v="65.400000000000006"/>
    <n v="1.68"/>
    <n v="196"/>
    <n v="129"/>
    <n v="66"/>
    <n v="0.76"/>
    <n v="441"/>
    <s v="HIIT"/>
    <n v="35"/>
    <n v="2.6"/>
    <n v="3"/>
    <n v="1"/>
    <n v="23.17"/>
    <x v="1"/>
  </r>
  <r>
    <n v="625"/>
    <x v="8"/>
    <n v="25"/>
    <s v="Female"/>
    <n v="47.2"/>
    <n v="1.71"/>
    <n v="185"/>
    <n v="142"/>
    <n v="56"/>
    <n v="0.89"/>
    <n v="632"/>
    <s v="Cardio"/>
    <n v="26"/>
    <n v="2.5"/>
    <n v="2"/>
    <n v="1"/>
    <n v="16.14"/>
    <x v="2"/>
  </r>
  <r>
    <n v="626"/>
    <x v="3"/>
    <n v="45"/>
    <s v="Female"/>
    <n v="58.2"/>
    <n v="1.7"/>
    <n v="168"/>
    <n v="160"/>
    <n v="53"/>
    <n v="0.95"/>
    <n v="684"/>
    <s v="Yoga"/>
    <n v="26.8"/>
    <n v="2"/>
    <n v="3"/>
    <n v="1"/>
    <n v="20.14"/>
    <x v="1"/>
  </r>
  <r>
    <n v="627"/>
    <x v="1"/>
    <n v="53"/>
    <s v="Female"/>
    <n v="73.5"/>
    <n v="1.55"/>
    <n v="194"/>
    <n v="153"/>
    <n v="72"/>
    <n v="1.17"/>
    <n v="806"/>
    <s v="HIIT"/>
    <n v="26.3"/>
    <n v="2.1"/>
    <n v="4"/>
    <n v="2"/>
    <n v="30.59"/>
    <x v="0"/>
  </r>
  <r>
    <n v="628"/>
    <x v="5"/>
    <n v="43"/>
    <s v="Female"/>
    <n v="55.2"/>
    <n v="1.73"/>
    <n v="167"/>
    <n v="165"/>
    <n v="62"/>
    <n v="1.67"/>
    <n v="1240"/>
    <s v="Cardio"/>
    <n v="16.600000000000001"/>
    <n v="2.7"/>
    <n v="5"/>
    <n v="3"/>
    <n v="18.440000000000001"/>
    <x v="2"/>
  </r>
  <r>
    <n v="629"/>
    <x v="6"/>
    <n v="25"/>
    <s v="Female"/>
    <n v="64.400000000000006"/>
    <n v="1.71"/>
    <n v="179"/>
    <n v="167"/>
    <n v="61"/>
    <n v="1.1200000000000001"/>
    <n v="935"/>
    <s v="HIIT"/>
    <n v="27.1"/>
    <n v="1.8"/>
    <n v="3"/>
    <n v="1"/>
    <n v="22.02"/>
    <x v="1"/>
  </r>
  <r>
    <n v="630"/>
    <x v="7"/>
    <n v="45"/>
    <s v="Female"/>
    <n v="73.5"/>
    <n v="1.74"/>
    <n v="181"/>
    <n v="152"/>
    <n v="50"/>
    <n v="1.18"/>
    <n v="807"/>
    <s v="Cardio"/>
    <n v="30"/>
    <n v="2.2999999999999998"/>
    <n v="4"/>
    <n v="2"/>
    <n v="24.28"/>
    <x v="1"/>
  </r>
  <r>
    <n v="631"/>
    <x v="5"/>
    <n v="45"/>
    <s v="Male"/>
    <n v="89.6"/>
    <n v="1.81"/>
    <n v="178"/>
    <n v="153"/>
    <n v="70"/>
    <n v="1.7"/>
    <n v="1287"/>
    <s v="Yoga"/>
    <n v="12.4"/>
    <n v="3.5"/>
    <n v="5"/>
    <n v="3"/>
    <n v="27.35"/>
    <x v="3"/>
  </r>
  <r>
    <n v="632"/>
    <x v="3"/>
    <n v="54"/>
    <s v="Male"/>
    <n v="86.5"/>
    <n v="1.76"/>
    <n v="189"/>
    <n v="158"/>
    <n v="68"/>
    <n v="1.48"/>
    <n v="1158"/>
    <s v="Yoga"/>
    <n v="29"/>
    <n v="3.4"/>
    <n v="3"/>
    <n v="2"/>
    <n v="27.92"/>
    <x v="3"/>
  </r>
  <r>
    <n v="633"/>
    <x v="9"/>
    <n v="58"/>
    <s v="Female"/>
    <n v="46.1"/>
    <n v="1.67"/>
    <n v="187"/>
    <n v="129"/>
    <n v="70"/>
    <n v="1.28"/>
    <n v="743"/>
    <s v="Yoga"/>
    <n v="25.3"/>
    <n v="1.8"/>
    <n v="4"/>
    <n v="2"/>
    <n v="16.53"/>
    <x v="2"/>
  </r>
  <r>
    <n v="634"/>
    <x v="7"/>
    <n v="53"/>
    <s v="Male"/>
    <n v="68.5"/>
    <n v="1.97"/>
    <n v="194"/>
    <n v="139"/>
    <n v="69"/>
    <n v="1.3"/>
    <n v="894"/>
    <s v="HIIT"/>
    <n v="23.2"/>
    <n v="2.1"/>
    <n v="3"/>
    <n v="2"/>
    <n v="17.649999999999999"/>
    <x v="2"/>
  </r>
  <r>
    <n v="635"/>
    <x v="4"/>
    <n v="44"/>
    <s v="Male"/>
    <n v="94.6"/>
    <n v="1.84"/>
    <n v="170"/>
    <n v="120"/>
    <n v="67"/>
    <n v="1.26"/>
    <n v="748"/>
    <s v="HIIT"/>
    <n v="26"/>
    <n v="3.1"/>
    <n v="4"/>
    <n v="2"/>
    <n v="27.94"/>
    <x v="3"/>
  </r>
  <r>
    <n v="636"/>
    <x v="2"/>
    <n v="34"/>
    <s v="Female"/>
    <n v="54.2"/>
    <n v="1.52"/>
    <n v="190"/>
    <n v="132"/>
    <n v="60"/>
    <n v="1.1299999999999999"/>
    <n v="746"/>
    <s v="Cardio"/>
    <n v="31"/>
    <n v="2.2000000000000002"/>
    <n v="3"/>
    <n v="1"/>
    <n v="23.46"/>
    <x v="1"/>
  </r>
  <r>
    <n v="637"/>
    <x v="7"/>
    <n v="26"/>
    <s v="Male"/>
    <n v="47.7"/>
    <n v="1.77"/>
    <n v="198"/>
    <n v="120"/>
    <n v="69"/>
    <n v="1.1499999999999999"/>
    <n v="759"/>
    <s v="Strength"/>
    <n v="24.8"/>
    <n v="2.7"/>
    <n v="3"/>
    <n v="2"/>
    <n v="15.23"/>
    <x v="2"/>
  </r>
  <r>
    <n v="638"/>
    <x v="3"/>
    <n v="50"/>
    <s v="Male"/>
    <n v="52.2"/>
    <n v="1.84"/>
    <n v="195"/>
    <n v="124"/>
    <n v="52"/>
    <n v="1.38"/>
    <n v="847"/>
    <s v="Strength"/>
    <n v="28.2"/>
    <n v="3.1"/>
    <n v="4"/>
    <n v="2"/>
    <n v="15.42"/>
    <x v="2"/>
  </r>
  <r>
    <n v="639"/>
    <x v="0"/>
    <n v="37"/>
    <s v="Male"/>
    <n v="88.8"/>
    <n v="1.95"/>
    <n v="189"/>
    <n v="135"/>
    <n v="66"/>
    <n v="1.58"/>
    <n v="1173"/>
    <s v="Yoga"/>
    <n v="10.3"/>
    <n v="3.5"/>
    <n v="5"/>
    <n v="3"/>
    <n v="23.35"/>
    <x v="1"/>
  </r>
  <r>
    <n v="640"/>
    <x v="2"/>
    <n v="30"/>
    <s v="Male"/>
    <n v="101"/>
    <n v="1.68"/>
    <n v="182"/>
    <n v="134"/>
    <n v="61"/>
    <n v="1.46"/>
    <n v="1076"/>
    <s v="Strength"/>
    <n v="28.2"/>
    <n v="2.9"/>
    <n v="4"/>
    <n v="2"/>
    <n v="35.79"/>
    <x v="0"/>
  </r>
  <r>
    <n v="641"/>
    <x v="8"/>
    <n v="45"/>
    <s v="Male"/>
    <n v="118.4"/>
    <n v="1.95"/>
    <n v="178"/>
    <n v="168"/>
    <n v="59"/>
    <n v="1.06"/>
    <n v="881"/>
    <s v="Yoga"/>
    <n v="24.9"/>
    <n v="2.4"/>
    <n v="3"/>
    <n v="2"/>
    <n v="31.14"/>
    <x v="0"/>
  </r>
  <r>
    <n v="642"/>
    <x v="6"/>
    <n v="46"/>
    <s v="Female"/>
    <n v="47.9"/>
    <n v="1.72"/>
    <n v="171"/>
    <n v="147"/>
    <n v="57"/>
    <n v="1.41"/>
    <n v="933"/>
    <s v="Cardio"/>
    <n v="26.3"/>
    <n v="2"/>
    <n v="3"/>
    <n v="1"/>
    <n v="16.190000000000001"/>
    <x v="2"/>
  </r>
  <r>
    <n v="643"/>
    <x v="8"/>
    <n v="30"/>
    <s v="Female"/>
    <n v="51.5"/>
    <n v="1.74"/>
    <n v="174"/>
    <n v="150"/>
    <n v="64"/>
    <n v="1.08"/>
    <n v="810"/>
    <s v="Strength"/>
    <n v="33.9"/>
    <n v="2"/>
    <n v="3"/>
    <n v="2"/>
    <n v="17.010000000000002"/>
    <x v="2"/>
  </r>
  <r>
    <n v="644"/>
    <x v="7"/>
    <n v="52"/>
    <s v="Female"/>
    <n v="79.900000000000006"/>
    <n v="1.51"/>
    <n v="190"/>
    <n v="142"/>
    <n v="54"/>
    <n v="0.75"/>
    <n v="479"/>
    <s v="Strength"/>
    <n v="31.5"/>
    <n v="2.6"/>
    <n v="3"/>
    <n v="1"/>
    <n v="35.04"/>
    <x v="0"/>
  </r>
  <r>
    <n v="645"/>
    <x v="8"/>
    <n v="23"/>
    <s v="Male"/>
    <n v="121.3"/>
    <n v="1.85"/>
    <n v="196"/>
    <n v="167"/>
    <n v="53"/>
    <n v="0.72"/>
    <n v="661"/>
    <s v="Yoga"/>
    <n v="21.6"/>
    <n v="3.6"/>
    <n v="2"/>
    <n v="1"/>
    <n v="35.44"/>
    <x v="0"/>
  </r>
  <r>
    <n v="646"/>
    <x v="3"/>
    <n v="35"/>
    <s v="Female"/>
    <n v="78.900000000000006"/>
    <n v="1.64"/>
    <n v="196"/>
    <n v="164"/>
    <n v="70"/>
    <n v="1.28"/>
    <n v="1050"/>
    <s v="Cardio"/>
    <n v="25.3"/>
    <n v="2.6"/>
    <n v="4"/>
    <n v="2"/>
    <n v="29.34"/>
    <x v="3"/>
  </r>
  <r>
    <n v="647"/>
    <x v="4"/>
    <n v="22"/>
    <s v="Male"/>
    <n v="88.5"/>
    <n v="1.62"/>
    <n v="174"/>
    <n v="162"/>
    <n v="69"/>
    <n v="1.88"/>
    <n v="1675"/>
    <s v="Strength"/>
    <n v="10.7"/>
    <n v="3.5"/>
    <n v="5"/>
    <n v="3"/>
    <n v="33.72"/>
    <x v="0"/>
  </r>
  <r>
    <n v="648"/>
    <x v="9"/>
    <n v="42"/>
    <s v="Male"/>
    <n v="73.5"/>
    <n v="1.63"/>
    <n v="188"/>
    <n v="136"/>
    <n v="68"/>
    <n v="0.52"/>
    <n v="350"/>
    <s v="Strength"/>
    <n v="26.1"/>
    <n v="3.2"/>
    <n v="3"/>
    <n v="1"/>
    <n v="27.66"/>
    <x v="3"/>
  </r>
  <r>
    <n v="649"/>
    <x v="6"/>
    <n v="19"/>
    <s v="Male"/>
    <n v="127.9"/>
    <n v="1.93"/>
    <n v="185"/>
    <n v="168"/>
    <n v="70"/>
    <n v="1.27"/>
    <n v="1173"/>
    <s v="Strength"/>
    <n v="21.8"/>
    <n v="3"/>
    <n v="4"/>
    <n v="2"/>
    <n v="34.340000000000003"/>
    <x v="0"/>
  </r>
  <r>
    <n v="650"/>
    <x v="8"/>
    <n v="27"/>
    <s v="Male"/>
    <n v="88.5"/>
    <n v="1.98"/>
    <n v="161"/>
    <n v="153"/>
    <n v="53"/>
    <n v="1.8"/>
    <n v="1515"/>
    <s v="Cardio"/>
    <n v="11.1"/>
    <n v="3.5"/>
    <n v="4"/>
    <n v="3"/>
    <n v="22.57"/>
    <x v="1"/>
  </r>
  <r>
    <n v="651"/>
    <x v="8"/>
    <n v="47"/>
    <s v="Female"/>
    <n v="43.4"/>
    <n v="1.62"/>
    <n v="179"/>
    <n v="132"/>
    <n v="64"/>
    <n v="0.51"/>
    <n v="303"/>
    <s v="Cardio"/>
    <n v="25.3"/>
    <n v="2.2999999999999998"/>
    <n v="3"/>
    <n v="1"/>
    <n v="16.54"/>
    <x v="2"/>
  </r>
  <r>
    <n v="652"/>
    <x v="7"/>
    <n v="22"/>
    <s v="Female"/>
    <n v="42.8"/>
    <n v="1.56"/>
    <n v="174"/>
    <n v="133"/>
    <n v="66"/>
    <n v="1.47"/>
    <n v="978"/>
    <s v="Strength"/>
    <n v="32.200000000000003"/>
    <n v="2.6"/>
    <n v="3"/>
    <n v="2"/>
    <n v="17.59"/>
    <x v="2"/>
  </r>
  <r>
    <n v="653"/>
    <x v="9"/>
    <n v="50"/>
    <s v="Male"/>
    <n v="64.5"/>
    <n v="1.79"/>
    <n v="163"/>
    <n v="130"/>
    <n v="61"/>
    <n v="1.17"/>
    <n v="753"/>
    <s v="Yoga"/>
    <n v="28.1"/>
    <n v="2.4"/>
    <n v="4"/>
    <n v="2"/>
    <n v="20.13"/>
    <x v="1"/>
  </r>
  <r>
    <n v="654"/>
    <x v="5"/>
    <n v="18"/>
    <s v="Female"/>
    <n v="50.7"/>
    <n v="1.53"/>
    <n v="181"/>
    <n v="147"/>
    <n v="52"/>
    <n v="1.29"/>
    <n v="948"/>
    <s v="Yoga"/>
    <n v="33"/>
    <n v="2.1"/>
    <n v="3"/>
    <n v="2"/>
    <n v="21.66"/>
    <x v="1"/>
  </r>
  <r>
    <n v="655"/>
    <x v="8"/>
    <n v="35"/>
    <s v="Male"/>
    <n v="59.2"/>
    <n v="1.66"/>
    <n v="197"/>
    <n v="161"/>
    <n v="59"/>
    <n v="1.3"/>
    <n v="1151"/>
    <s v="Strength"/>
    <n v="21.3"/>
    <n v="3.2"/>
    <n v="3"/>
    <n v="1"/>
    <n v="21.48"/>
    <x v="1"/>
  </r>
  <r>
    <n v="656"/>
    <x v="3"/>
    <n v="49"/>
    <s v="Female"/>
    <n v="78.900000000000006"/>
    <n v="1.73"/>
    <n v="182"/>
    <n v="151"/>
    <n v="64"/>
    <n v="1.38"/>
    <n v="938"/>
    <s v="Cardio"/>
    <n v="34"/>
    <n v="2.2999999999999998"/>
    <n v="2"/>
    <n v="1"/>
    <n v="26.36"/>
    <x v="3"/>
  </r>
  <r>
    <n v="657"/>
    <x v="0"/>
    <n v="28"/>
    <s v="Female"/>
    <n v="78.7"/>
    <n v="1.63"/>
    <n v="185"/>
    <n v="154"/>
    <n v="59"/>
    <n v="1.1000000000000001"/>
    <n v="847"/>
    <s v="Strength"/>
    <n v="31.7"/>
    <n v="1.8"/>
    <n v="3"/>
    <n v="2"/>
    <n v="29.62"/>
    <x v="3"/>
  </r>
  <r>
    <n v="658"/>
    <x v="6"/>
    <n v="38"/>
    <s v="Male"/>
    <n v="68.7"/>
    <n v="1.92"/>
    <n v="170"/>
    <n v="150"/>
    <n v="73"/>
    <n v="1.31"/>
    <n v="1081"/>
    <s v="Cardio"/>
    <n v="29"/>
    <n v="3"/>
    <n v="4"/>
    <n v="2"/>
    <n v="18.64"/>
    <x v="1"/>
  </r>
  <r>
    <n v="659"/>
    <x v="8"/>
    <n v="43"/>
    <s v="Female"/>
    <n v="53.1"/>
    <n v="1.59"/>
    <n v="187"/>
    <n v="136"/>
    <n v="72"/>
    <n v="0.82"/>
    <n v="502"/>
    <s v="Strength"/>
    <n v="29.5"/>
    <n v="2.5"/>
    <n v="2"/>
    <n v="1"/>
    <n v="21"/>
    <x v="1"/>
  </r>
  <r>
    <n v="660"/>
    <x v="3"/>
    <n v="42"/>
    <s v="Male"/>
    <n v="64.8"/>
    <n v="1.65"/>
    <n v="161"/>
    <n v="166"/>
    <n v="67"/>
    <n v="1.1000000000000001"/>
    <n v="904"/>
    <s v="Cardio"/>
    <n v="24.4"/>
    <n v="2.8"/>
    <n v="3"/>
    <n v="2"/>
    <n v="23.8"/>
    <x v="1"/>
  </r>
  <r>
    <n v="661"/>
    <x v="3"/>
    <n v="39"/>
    <s v="Female"/>
    <n v="50.3"/>
    <n v="1.61"/>
    <n v="167"/>
    <n v="128"/>
    <n v="50"/>
    <n v="1.17"/>
    <n v="749"/>
    <s v="HIIT"/>
    <n v="32.799999999999997"/>
    <n v="2.5"/>
    <n v="2"/>
    <n v="1"/>
    <n v="19.41"/>
    <x v="1"/>
  </r>
  <r>
    <n v="662"/>
    <x v="6"/>
    <n v="44"/>
    <s v="Male"/>
    <n v="102.3"/>
    <n v="1.63"/>
    <n v="188"/>
    <n v="129"/>
    <n v="52"/>
    <n v="1.34"/>
    <n v="856"/>
    <s v="Yoga"/>
    <n v="20.9"/>
    <n v="2.6"/>
    <n v="4"/>
    <n v="2"/>
    <n v="38.5"/>
    <x v="0"/>
  </r>
  <r>
    <n v="663"/>
    <x v="5"/>
    <n v="30"/>
    <s v="Male"/>
    <n v="62.9"/>
    <n v="1.92"/>
    <n v="170"/>
    <n v="127"/>
    <n v="70"/>
    <n v="1.1299999999999999"/>
    <n v="789"/>
    <s v="HIIT"/>
    <n v="25.2"/>
    <n v="3.6"/>
    <n v="2"/>
    <n v="1"/>
    <n v="17.059999999999999"/>
    <x v="2"/>
  </r>
  <r>
    <n v="664"/>
    <x v="3"/>
    <n v="50"/>
    <s v="Female"/>
    <n v="56.5"/>
    <n v="1.6"/>
    <n v="196"/>
    <n v="140"/>
    <n v="61"/>
    <n v="1.88"/>
    <n v="1184"/>
    <s v="Yoga"/>
    <n v="19.2"/>
    <n v="2.7"/>
    <n v="5"/>
    <n v="3"/>
    <n v="22.07"/>
    <x v="1"/>
  </r>
  <r>
    <n v="665"/>
    <x v="0"/>
    <n v="51"/>
    <s v="Female"/>
    <n v="74.599999999999994"/>
    <n v="1.55"/>
    <n v="177"/>
    <n v="132"/>
    <n v="50"/>
    <n v="0.71"/>
    <n v="422"/>
    <s v="Cardio"/>
    <n v="33.299999999999997"/>
    <n v="2.1"/>
    <n v="2"/>
    <n v="1"/>
    <n v="31.05"/>
    <x v="0"/>
  </r>
  <r>
    <n v="666"/>
    <x v="3"/>
    <n v="58"/>
    <s v="Male"/>
    <n v="52"/>
    <n v="1.79"/>
    <n v="173"/>
    <n v="169"/>
    <n v="52"/>
    <n v="1.1200000000000001"/>
    <n v="937"/>
    <s v="HIIT"/>
    <n v="29.6"/>
    <n v="3"/>
    <n v="3"/>
    <n v="1"/>
    <n v="16.23"/>
    <x v="2"/>
  </r>
  <r>
    <n v="667"/>
    <x v="3"/>
    <n v="52"/>
    <s v="Female"/>
    <n v="52.1"/>
    <n v="1.67"/>
    <n v="169"/>
    <n v="124"/>
    <n v="52"/>
    <n v="1.5"/>
    <n v="837"/>
    <s v="Yoga"/>
    <n v="32"/>
    <n v="1.5"/>
    <n v="2"/>
    <n v="1"/>
    <n v="18.68"/>
    <x v="1"/>
  </r>
  <r>
    <n v="668"/>
    <x v="3"/>
    <n v="18"/>
    <s v="Female"/>
    <n v="72.2"/>
    <n v="1.54"/>
    <n v="194"/>
    <n v="125"/>
    <n v="54"/>
    <n v="0.97"/>
    <n v="606"/>
    <s v="Strength"/>
    <n v="27.1"/>
    <n v="1.7"/>
    <n v="2"/>
    <n v="1"/>
    <n v="30.44"/>
    <x v="0"/>
  </r>
  <r>
    <n v="669"/>
    <x v="4"/>
    <n v="38"/>
    <s v="Male"/>
    <n v="85.8"/>
    <n v="1.8"/>
    <n v="168"/>
    <n v="149"/>
    <n v="68"/>
    <n v="1.72"/>
    <n v="1410"/>
    <s v="Cardio"/>
    <n v="10.1"/>
    <n v="3.5"/>
    <n v="4"/>
    <n v="3"/>
    <n v="26.48"/>
    <x v="3"/>
  </r>
  <r>
    <n v="670"/>
    <x v="4"/>
    <n v="23"/>
    <s v="Male"/>
    <n v="81.400000000000006"/>
    <n v="1.85"/>
    <n v="194"/>
    <n v="150"/>
    <n v="74"/>
    <n v="1.6"/>
    <n v="1320"/>
    <s v="Cardio"/>
    <n v="12.4"/>
    <n v="3.5"/>
    <n v="4"/>
    <n v="3"/>
    <n v="23.78"/>
    <x v="1"/>
  </r>
  <r>
    <n v="671"/>
    <x v="5"/>
    <n v="45"/>
    <s v="Female"/>
    <n v="50.9"/>
    <n v="1.65"/>
    <n v="170"/>
    <n v="136"/>
    <n v="50"/>
    <n v="1.45"/>
    <n v="887"/>
    <s v="Strength"/>
    <n v="30.1"/>
    <n v="2.2999999999999998"/>
    <n v="2"/>
    <n v="1"/>
    <n v="18.7"/>
    <x v="1"/>
  </r>
  <r>
    <n v="672"/>
    <x v="8"/>
    <n v="34"/>
    <s v="Male"/>
    <n v="52"/>
    <n v="1.78"/>
    <n v="171"/>
    <n v="130"/>
    <n v="53"/>
    <n v="1.38"/>
    <n v="987"/>
    <s v="Strength"/>
    <n v="22.4"/>
    <n v="2.7"/>
    <n v="4"/>
    <n v="2"/>
    <n v="16.41"/>
    <x v="2"/>
  </r>
  <r>
    <n v="673"/>
    <x v="3"/>
    <n v="22"/>
    <s v="Male"/>
    <n v="71"/>
    <n v="1.93"/>
    <n v="162"/>
    <n v="139"/>
    <n v="53"/>
    <n v="1.42"/>
    <n v="1086"/>
    <s v="Yoga"/>
    <n v="21.2"/>
    <n v="2.9"/>
    <n v="4"/>
    <n v="2"/>
    <n v="19.059999999999999"/>
    <x v="1"/>
  </r>
  <r>
    <n v="674"/>
    <x v="9"/>
    <n v="48"/>
    <s v="Male"/>
    <n v="80.599999999999994"/>
    <n v="1.77"/>
    <n v="198"/>
    <n v="167"/>
    <n v="66"/>
    <n v="1.51"/>
    <n v="1248"/>
    <s v="Cardio"/>
    <n v="12.9"/>
    <n v="3.5"/>
    <n v="4"/>
    <n v="3"/>
    <n v="25.73"/>
    <x v="3"/>
  </r>
  <r>
    <n v="675"/>
    <x v="8"/>
    <n v="22"/>
    <s v="Female"/>
    <n v="58.3"/>
    <n v="1.72"/>
    <n v="173"/>
    <n v="128"/>
    <n v="63"/>
    <n v="1"/>
    <n v="640"/>
    <s v="Yoga"/>
    <n v="32.6"/>
    <n v="1.6"/>
    <n v="3"/>
    <n v="2"/>
    <n v="19.71"/>
    <x v="1"/>
  </r>
  <r>
    <n v="676"/>
    <x v="5"/>
    <n v="55"/>
    <s v="Female"/>
    <n v="63"/>
    <n v="1.7"/>
    <n v="187"/>
    <n v="121"/>
    <n v="67"/>
    <n v="1.32"/>
    <n v="719"/>
    <s v="Strength"/>
    <n v="34.9"/>
    <n v="2.5"/>
    <n v="3"/>
    <n v="1"/>
    <n v="21.8"/>
    <x v="1"/>
  </r>
  <r>
    <n v="677"/>
    <x v="1"/>
    <n v="20"/>
    <s v="Male"/>
    <n v="111"/>
    <n v="1.94"/>
    <n v="170"/>
    <n v="156"/>
    <n v="50"/>
    <n v="1.02"/>
    <n v="875"/>
    <s v="Cardio"/>
    <n v="27.6"/>
    <n v="3.3"/>
    <n v="4"/>
    <n v="2"/>
    <n v="29.49"/>
    <x v="3"/>
  </r>
  <r>
    <n v="678"/>
    <x v="8"/>
    <n v="40"/>
    <s v="Female"/>
    <n v="52.6"/>
    <n v="1.66"/>
    <n v="198"/>
    <n v="120"/>
    <n v="71"/>
    <n v="1.27"/>
    <n v="762"/>
    <s v="Strength"/>
    <n v="32.9"/>
    <n v="1.7"/>
    <n v="3"/>
    <n v="2"/>
    <n v="19.09"/>
    <x v="1"/>
  </r>
  <r>
    <n v="679"/>
    <x v="8"/>
    <n v="54"/>
    <s v="Male"/>
    <n v="116.4"/>
    <n v="2"/>
    <n v="184"/>
    <n v="123"/>
    <n v="65"/>
    <n v="1.1299999999999999"/>
    <n v="688"/>
    <s v="Yoga"/>
    <n v="26.2"/>
    <n v="3.1"/>
    <n v="3"/>
    <n v="1"/>
    <n v="29.1"/>
    <x v="3"/>
  </r>
  <r>
    <n v="680"/>
    <x v="2"/>
    <n v="54"/>
    <s v="Female"/>
    <n v="75.599999999999994"/>
    <n v="1.61"/>
    <n v="180"/>
    <n v="155"/>
    <n v="52"/>
    <n v="1.41"/>
    <n v="983"/>
    <s v="Yoga"/>
    <n v="34.9"/>
    <n v="2.5"/>
    <n v="4"/>
    <n v="2"/>
    <n v="29.17"/>
    <x v="3"/>
  </r>
  <r>
    <n v="681"/>
    <x v="7"/>
    <n v="27"/>
    <s v="Male"/>
    <n v="61.6"/>
    <n v="1.8"/>
    <n v="169"/>
    <n v="144"/>
    <n v="72"/>
    <n v="1.48"/>
    <n v="1172"/>
    <s v="Yoga"/>
    <n v="26.4"/>
    <n v="3.1"/>
    <n v="2"/>
    <n v="1"/>
    <n v="19.010000000000002"/>
    <x v="1"/>
  </r>
  <r>
    <n v="682"/>
    <x v="2"/>
    <n v="27"/>
    <s v="Male"/>
    <n v="108"/>
    <n v="1.8"/>
    <n v="174"/>
    <n v="122"/>
    <n v="70"/>
    <n v="1.38"/>
    <n v="926"/>
    <s v="Cardio"/>
    <n v="28.6"/>
    <n v="2.5"/>
    <n v="4"/>
    <n v="2"/>
    <n v="33.33"/>
    <x v="0"/>
  </r>
  <r>
    <n v="683"/>
    <x v="0"/>
    <n v="36"/>
    <s v="Female"/>
    <n v="59.3"/>
    <n v="1.75"/>
    <n v="178"/>
    <n v="128"/>
    <n v="58"/>
    <n v="0.99"/>
    <n v="634"/>
    <s v="Strength"/>
    <n v="34.5"/>
    <n v="2.2999999999999998"/>
    <n v="3"/>
    <n v="1"/>
    <n v="19.36"/>
    <x v="1"/>
  </r>
  <r>
    <n v="684"/>
    <x v="4"/>
    <n v="34"/>
    <s v="Male"/>
    <n v="75.7"/>
    <n v="1.94"/>
    <n v="181"/>
    <n v="141"/>
    <n v="72"/>
    <n v="1.18"/>
    <n v="915"/>
    <s v="Strength"/>
    <n v="29.3"/>
    <n v="2.4"/>
    <n v="4"/>
    <n v="2"/>
    <n v="20.11"/>
    <x v="1"/>
  </r>
  <r>
    <n v="685"/>
    <x v="4"/>
    <n v="38"/>
    <s v="Female"/>
    <n v="56.3"/>
    <n v="1.6"/>
    <n v="180"/>
    <n v="142"/>
    <n v="53"/>
    <n v="1.21"/>
    <n v="859"/>
    <s v="Yoga"/>
    <n v="28.8"/>
    <n v="1.9"/>
    <n v="4"/>
    <n v="2"/>
    <n v="21.99"/>
    <x v="1"/>
  </r>
  <r>
    <n v="686"/>
    <x v="7"/>
    <n v="31"/>
    <s v="Female"/>
    <n v="58.2"/>
    <n v="1.73"/>
    <n v="191"/>
    <n v="131"/>
    <n v="70"/>
    <n v="1.17"/>
    <n v="766"/>
    <s v="Yoga"/>
    <n v="25.8"/>
    <n v="1.8"/>
    <n v="3"/>
    <n v="2"/>
    <n v="19.45"/>
    <x v="1"/>
  </r>
  <r>
    <n v="687"/>
    <x v="6"/>
    <n v="26"/>
    <s v="Male"/>
    <n v="55.7"/>
    <n v="1.68"/>
    <n v="182"/>
    <n v="129"/>
    <n v="54"/>
    <n v="1.1299999999999999"/>
    <n v="802"/>
    <s v="Yoga"/>
    <n v="21.7"/>
    <n v="2.9"/>
    <n v="3"/>
    <n v="1"/>
    <n v="19.73"/>
    <x v="1"/>
  </r>
  <r>
    <n v="688"/>
    <x v="6"/>
    <n v="18"/>
    <s v="Male"/>
    <n v="125.9"/>
    <n v="1.67"/>
    <n v="172"/>
    <n v="153"/>
    <n v="60"/>
    <n v="1.46"/>
    <n v="1229"/>
    <s v="Yoga"/>
    <n v="20.6"/>
    <n v="2.2000000000000002"/>
    <n v="3"/>
    <n v="2"/>
    <n v="45.14"/>
    <x v="0"/>
  </r>
  <r>
    <n v="689"/>
    <x v="5"/>
    <n v="30"/>
    <s v="Female"/>
    <n v="62.7"/>
    <n v="1.67"/>
    <n v="164"/>
    <n v="162"/>
    <n v="70"/>
    <n v="1.02"/>
    <n v="826"/>
    <s v="HIIT"/>
    <n v="26.1"/>
    <n v="2.6"/>
    <n v="4"/>
    <n v="2"/>
    <n v="22.48"/>
    <x v="1"/>
  </r>
  <r>
    <n v="690"/>
    <x v="7"/>
    <n v="21"/>
    <s v="Male"/>
    <n v="86.6"/>
    <n v="1.86"/>
    <n v="163"/>
    <n v="129"/>
    <n v="58"/>
    <n v="1.37"/>
    <n v="972"/>
    <s v="HIIT"/>
    <n v="21.8"/>
    <n v="2.6"/>
    <n v="3"/>
    <n v="2"/>
    <n v="25.03"/>
    <x v="3"/>
  </r>
  <r>
    <n v="691"/>
    <x v="8"/>
    <n v="18"/>
    <s v="Male"/>
    <n v="64.5"/>
    <n v="1.82"/>
    <n v="187"/>
    <n v="149"/>
    <n v="52"/>
    <n v="1.2"/>
    <n v="983"/>
    <s v="HIIT"/>
    <n v="23.4"/>
    <n v="2.4"/>
    <n v="3"/>
    <n v="2"/>
    <n v="19.47"/>
    <x v="1"/>
  </r>
  <r>
    <n v="692"/>
    <x v="6"/>
    <n v="57"/>
    <s v="Male"/>
    <n v="76.599999999999994"/>
    <n v="1.86"/>
    <n v="173"/>
    <n v="141"/>
    <n v="55"/>
    <n v="1.1399999999999999"/>
    <n v="796"/>
    <s v="Yoga"/>
    <n v="25.4"/>
    <n v="2.8"/>
    <n v="4"/>
    <n v="2"/>
    <n v="22.14"/>
    <x v="1"/>
  </r>
  <r>
    <n v="693"/>
    <x v="3"/>
    <n v="49"/>
    <s v="Male"/>
    <n v="81.400000000000006"/>
    <n v="1.83"/>
    <n v="167"/>
    <n v="125"/>
    <n v="73"/>
    <n v="1.98"/>
    <n v="1225"/>
    <s v="Yoga"/>
    <n v="13.6"/>
    <n v="3.5"/>
    <n v="5"/>
    <n v="3"/>
    <n v="24.31"/>
    <x v="1"/>
  </r>
  <r>
    <n v="694"/>
    <x v="9"/>
    <n v="51"/>
    <s v="Male"/>
    <n v="60.7"/>
    <n v="1.71"/>
    <n v="168"/>
    <n v="169"/>
    <n v="60"/>
    <n v="1.1399999999999999"/>
    <n v="954"/>
    <s v="Strength"/>
    <n v="22.1"/>
    <n v="2.5"/>
    <n v="2"/>
    <n v="1"/>
    <n v="20.76"/>
    <x v="1"/>
  </r>
  <r>
    <n v="695"/>
    <x v="8"/>
    <n v="45"/>
    <s v="Female"/>
    <n v="57.2"/>
    <n v="1.55"/>
    <n v="194"/>
    <n v="121"/>
    <n v="58"/>
    <n v="1.67"/>
    <n v="909"/>
    <s v="Cardio"/>
    <n v="18.399999999999999"/>
    <n v="2.7"/>
    <n v="5"/>
    <n v="3"/>
    <n v="23.81"/>
    <x v="1"/>
  </r>
  <r>
    <n v="696"/>
    <x v="0"/>
    <n v="48"/>
    <s v="Female"/>
    <n v="73"/>
    <n v="1.59"/>
    <n v="196"/>
    <n v="149"/>
    <n v="64"/>
    <n v="1.19"/>
    <n v="798"/>
    <s v="Strength"/>
    <n v="32"/>
    <n v="2.1"/>
    <n v="3"/>
    <n v="2"/>
    <n v="28.88"/>
    <x v="3"/>
  </r>
  <r>
    <n v="697"/>
    <x v="3"/>
    <n v="25"/>
    <s v="Male"/>
    <n v="123.8"/>
    <n v="1.99"/>
    <n v="180"/>
    <n v="121"/>
    <n v="72"/>
    <n v="1.1299999999999999"/>
    <n v="752"/>
    <s v="HIIT"/>
    <n v="25.6"/>
    <n v="2.6"/>
    <n v="3"/>
    <n v="1"/>
    <n v="31.26"/>
    <x v="0"/>
  </r>
  <r>
    <n v="698"/>
    <x v="3"/>
    <n v="56"/>
    <s v="Male"/>
    <n v="93.6"/>
    <n v="1.66"/>
    <n v="177"/>
    <n v="151"/>
    <n v="52"/>
    <n v="1.37"/>
    <n v="1024"/>
    <s v="Strength"/>
    <n v="29"/>
    <n v="2.2000000000000002"/>
    <n v="2"/>
    <n v="1"/>
    <n v="33.97"/>
    <x v="0"/>
  </r>
  <r>
    <n v="699"/>
    <x v="7"/>
    <n v="43"/>
    <s v="Male"/>
    <n v="76.8"/>
    <n v="1.92"/>
    <n v="192"/>
    <n v="161"/>
    <n v="50"/>
    <n v="1.24"/>
    <n v="988"/>
    <s v="Yoga"/>
    <n v="21.1"/>
    <n v="2.5"/>
    <n v="3"/>
    <n v="1"/>
    <n v="20.83"/>
    <x v="1"/>
  </r>
  <r>
    <n v="700"/>
    <x v="5"/>
    <n v="51"/>
    <s v="Female"/>
    <n v="54.7"/>
    <n v="1.53"/>
    <n v="167"/>
    <n v="135"/>
    <n v="69"/>
    <n v="1.1100000000000001"/>
    <n v="674"/>
    <s v="HIIT"/>
    <n v="26.8"/>
    <n v="2"/>
    <n v="4"/>
    <n v="2"/>
    <n v="23.37"/>
    <x v="1"/>
  </r>
  <r>
    <n v="701"/>
    <x v="0"/>
    <n v="20"/>
    <s v="Male"/>
    <n v="92.3"/>
    <n v="1.94"/>
    <n v="176"/>
    <n v="131"/>
    <n v="71"/>
    <n v="1.1399999999999999"/>
    <n v="821"/>
    <s v="HIIT"/>
    <n v="24.3"/>
    <n v="2.1"/>
    <n v="3"/>
    <n v="2"/>
    <n v="24.52"/>
    <x v="1"/>
  </r>
  <r>
    <n v="702"/>
    <x v="6"/>
    <n v="29"/>
    <s v="Female"/>
    <n v="71.8"/>
    <n v="1.55"/>
    <n v="190"/>
    <n v="120"/>
    <n v="68"/>
    <n v="1.2"/>
    <n v="720"/>
    <s v="Cardio"/>
    <n v="26.3"/>
    <n v="2.4"/>
    <n v="4"/>
    <n v="2"/>
    <n v="29.89"/>
    <x v="3"/>
  </r>
  <r>
    <n v="703"/>
    <x v="7"/>
    <n v="18"/>
    <s v="Female"/>
    <n v="66.900000000000006"/>
    <n v="1.57"/>
    <n v="193"/>
    <n v="127"/>
    <n v="63"/>
    <n v="1.07"/>
    <n v="679"/>
    <s v="Cardio"/>
    <n v="30.7"/>
    <n v="2.2000000000000002"/>
    <n v="3"/>
    <n v="2"/>
    <n v="27.14"/>
    <x v="3"/>
  </r>
  <r>
    <n v="704"/>
    <x v="6"/>
    <n v="22"/>
    <s v="Female"/>
    <n v="48.7"/>
    <n v="1.76"/>
    <n v="165"/>
    <n v="167"/>
    <n v="66"/>
    <n v="1.37"/>
    <n v="1144"/>
    <s v="HIIT"/>
    <n v="29"/>
    <n v="2.2000000000000002"/>
    <n v="4"/>
    <n v="2"/>
    <n v="15.72"/>
    <x v="2"/>
  </r>
  <r>
    <n v="705"/>
    <x v="7"/>
    <n v="47"/>
    <s v="Male"/>
    <n v="66.2"/>
    <n v="1.71"/>
    <n v="181"/>
    <n v="169"/>
    <n v="71"/>
    <n v="1.42"/>
    <n v="1188"/>
    <s v="HIIT"/>
    <n v="22.8"/>
    <n v="2.9"/>
    <n v="3"/>
    <n v="1"/>
    <n v="22.64"/>
    <x v="1"/>
  </r>
  <r>
    <n v="706"/>
    <x v="7"/>
    <n v="47"/>
    <s v="Female"/>
    <n v="40"/>
    <n v="1.76"/>
    <n v="173"/>
    <n v="132"/>
    <n v="63"/>
    <n v="0.8"/>
    <n v="475"/>
    <s v="Strength"/>
    <n v="26.7"/>
    <n v="2.2000000000000002"/>
    <n v="3"/>
    <n v="1"/>
    <n v="12.91"/>
    <x v="2"/>
  </r>
  <r>
    <n v="707"/>
    <x v="7"/>
    <n v="34"/>
    <s v="Male"/>
    <n v="112.4"/>
    <n v="1.85"/>
    <n v="162"/>
    <n v="134"/>
    <n v="66"/>
    <n v="1.18"/>
    <n v="870"/>
    <s v="HIIT"/>
    <n v="23.4"/>
    <n v="3.6"/>
    <n v="4"/>
    <n v="2"/>
    <n v="32.840000000000003"/>
    <x v="0"/>
  </r>
  <r>
    <n v="708"/>
    <x v="5"/>
    <n v="40"/>
    <s v="Female"/>
    <n v="70"/>
    <n v="1.55"/>
    <n v="171"/>
    <n v="163"/>
    <n v="74"/>
    <n v="0.85"/>
    <n v="693"/>
    <s v="Yoga"/>
    <n v="31.1"/>
    <n v="1.5"/>
    <n v="3"/>
    <n v="1"/>
    <n v="29.14"/>
    <x v="3"/>
  </r>
  <r>
    <n v="709"/>
    <x v="7"/>
    <n v="32"/>
    <s v="Male"/>
    <n v="84"/>
    <n v="1.74"/>
    <n v="195"/>
    <n v="127"/>
    <n v="63"/>
    <n v="1.45"/>
    <n v="1013"/>
    <s v="Strength"/>
    <n v="25.8"/>
    <n v="2.1"/>
    <n v="3"/>
    <n v="1"/>
    <n v="27.74"/>
    <x v="3"/>
  </r>
  <r>
    <n v="710"/>
    <x v="1"/>
    <n v="54"/>
    <s v="Female"/>
    <n v="43.8"/>
    <n v="1.65"/>
    <n v="171"/>
    <n v="129"/>
    <n v="61"/>
    <n v="1.29"/>
    <n v="749"/>
    <s v="Yoga"/>
    <n v="26.6"/>
    <n v="1.7"/>
    <n v="4"/>
    <n v="2"/>
    <n v="16.09"/>
    <x v="2"/>
  </r>
  <r>
    <n v="711"/>
    <x v="9"/>
    <n v="38"/>
    <s v="Male"/>
    <n v="123.3"/>
    <n v="1.62"/>
    <n v="161"/>
    <n v="165"/>
    <n v="65"/>
    <n v="1.34"/>
    <n v="1216"/>
    <s v="Yoga"/>
    <n v="21.2"/>
    <n v="2.2999999999999998"/>
    <n v="4"/>
    <n v="2"/>
    <n v="46.98"/>
    <x v="0"/>
  </r>
  <r>
    <n v="712"/>
    <x v="6"/>
    <n v="31"/>
    <s v="Female"/>
    <n v="57.9"/>
    <n v="1.56"/>
    <n v="161"/>
    <n v="124"/>
    <n v="50"/>
    <n v="1.8"/>
    <n v="1116"/>
    <s v="Yoga"/>
    <n v="15.1"/>
    <n v="2.7"/>
    <n v="5"/>
    <n v="3"/>
    <n v="23.79"/>
    <x v="1"/>
  </r>
  <r>
    <n v="713"/>
    <x v="8"/>
    <n v="19"/>
    <s v="Male"/>
    <n v="82.4"/>
    <n v="1.96"/>
    <n v="174"/>
    <n v="169"/>
    <n v="62"/>
    <n v="1.9"/>
    <n v="1766"/>
    <s v="HIIT"/>
    <n v="10.1"/>
    <n v="3.5"/>
    <n v="5"/>
    <n v="3"/>
    <n v="21.45"/>
    <x v="1"/>
  </r>
  <r>
    <n v="714"/>
    <x v="2"/>
    <n v="28"/>
    <s v="Male"/>
    <n v="84.8"/>
    <n v="1.79"/>
    <n v="182"/>
    <n v="138"/>
    <n v="55"/>
    <n v="1.35"/>
    <n v="1025"/>
    <s v="Cardio"/>
    <n v="28.8"/>
    <n v="2.2999999999999998"/>
    <n v="4"/>
    <n v="2"/>
    <n v="26.47"/>
    <x v="3"/>
  </r>
  <r>
    <n v="715"/>
    <x v="0"/>
    <n v="56"/>
    <s v="Male"/>
    <n v="109.6"/>
    <n v="1.66"/>
    <n v="188"/>
    <n v="166"/>
    <n v="66"/>
    <n v="1.29"/>
    <n v="1060"/>
    <s v="Cardio"/>
    <n v="20.5"/>
    <n v="3.1"/>
    <n v="3"/>
    <n v="2"/>
    <n v="39.770000000000003"/>
    <x v="0"/>
  </r>
  <r>
    <n v="716"/>
    <x v="4"/>
    <n v="55"/>
    <s v="Male"/>
    <n v="86.4"/>
    <n v="1.77"/>
    <n v="176"/>
    <n v="157"/>
    <n v="61"/>
    <n v="1"/>
    <n v="777"/>
    <s v="Yoga"/>
    <n v="27.3"/>
    <n v="2.8"/>
    <n v="3"/>
    <n v="2"/>
    <n v="27.58"/>
    <x v="3"/>
  </r>
  <r>
    <n v="717"/>
    <x v="5"/>
    <n v="51"/>
    <s v="Female"/>
    <n v="63.9"/>
    <n v="1.8"/>
    <n v="191"/>
    <n v="130"/>
    <n v="72"/>
    <n v="1.07"/>
    <n v="626"/>
    <s v="HIIT"/>
    <n v="33.700000000000003"/>
    <n v="2.7"/>
    <n v="4"/>
    <n v="2"/>
    <n v="19.72"/>
    <x v="1"/>
  </r>
  <r>
    <n v="718"/>
    <x v="8"/>
    <n v="55"/>
    <s v="Female"/>
    <n v="70.8"/>
    <n v="1.62"/>
    <n v="166"/>
    <n v="162"/>
    <n v="68"/>
    <n v="0.54"/>
    <n v="394"/>
    <s v="Strength"/>
    <n v="26"/>
    <n v="1.8"/>
    <n v="3"/>
    <n v="1"/>
    <n v="26.98"/>
    <x v="3"/>
  </r>
  <r>
    <n v="719"/>
    <x v="3"/>
    <n v="51"/>
    <s v="Male"/>
    <n v="115.3"/>
    <n v="1.67"/>
    <n v="189"/>
    <n v="139"/>
    <n v="55"/>
    <n v="1.38"/>
    <n v="950"/>
    <s v="Yoga"/>
    <n v="24.4"/>
    <n v="2.5"/>
    <n v="3"/>
    <n v="2"/>
    <n v="41.34"/>
    <x v="0"/>
  </r>
  <r>
    <n v="720"/>
    <x v="1"/>
    <n v="35"/>
    <s v="Female"/>
    <n v="55.3"/>
    <n v="1.56"/>
    <n v="187"/>
    <n v="139"/>
    <n v="56"/>
    <n v="1.71"/>
    <n v="1188"/>
    <s v="Strength"/>
    <n v="19.8"/>
    <n v="2.7"/>
    <n v="5"/>
    <n v="3"/>
    <n v="22.72"/>
    <x v="1"/>
  </r>
  <r>
    <n v="721"/>
    <x v="4"/>
    <n v="47"/>
    <s v="Male"/>
    <n v="73.900000000000006"/>
    <n v="1.8"/>
    <n v="173"/>
    <n v="140"/>
    <n v="50"/>
    <n v="1.36"/>
    <n v="942"/>
    <s v="Strength"/>
    <n v="28.3"/>
    <n v="3.7"/>
    <n v="3"/>
    <n v="1"/>
    <n v="22.81"/>
    <x v="1"/>
  </r>
  <r>
    <n v="722"/>
    <x v="2"/>
    <n v="32"/>
    <s v="Male"/>
    <n v="97.3"/>
    <n v="1.96"/>
    <n v="189"/>
    <n v="137"/>
    <n v="50"/>
    <n v="1.36"/>
    <n v="1025"/>
    <s v="HIIT"/>
    <n v="24.9"/>
    <n v="3.4"/>
    <n v="3"/>
    <n v="2"/>
    <n v="25.33"/>
    <x v="3"/>
  </r>
  <r>
    <n v="723"/>
    <x v="8"/>
    <n v="44"/>
    <s v="Female"/>
    <n v="60.4"/>
    <n v="1.65"/>
    <n v="176"/>
    <n v="169"/>
    <n v="54"/>
    <n v="1.27"/>
    <n v="966"/>
    <s v="HIIT"/>
    <n v="32.6"/>
    <n v="2.1"/>
    <n v="4"/>
    <n v="2"/>
    <n v="22.19"/>
    <x v="1"/>
  </r>
  <r>
    <n v="724"/>
    <x v="4"/>
    <n v="51"/>
    <s v="Male"/>
    <n v="49.3"/>
    <n v="1.61"/>
    <n v="191"/>
    <n v="129"/>
    <n v="55"/>
    <n v="1.36"/>
    <n v="868"/>
    <s v="Cardio"/>
    <n v="28.3"/>
    <n v="2.9"/>
    <n v="2"/>
    <n v="1"/>
    <n v="19.02"/>
    <x v="1"/>
  </r>
  <r>
    <n v="725"/>
    <x v="8"/>
    <n v="55"/>
    <s v="Male"/>
    <n v="91.8"/>
    <n v="1.78"/>
    <n v="165"/>
    <n v="153"/>
    <n v="65"/>
    <n v="1.44"/>
    <n v="1091"/>
    <s v="Cardio"/>
    <n v="23.5"/>
    <n v="3.4"/>
    <n v="3"/>
    <n v="1"/>
    <n v="28.97"/>
    <x v="3"/>
  </r>
  <r>
    <n v="726"/>
    <x v="1"/>
    <n v="50"/>
    <s v="Female"/>
    <n v="73.599999999999994"/>
    <n v="1.55"/>
    <n v="183"/>
    <n v="145"/>
    <n v="74"/>
    <n v="0.89"/>
    <n v="581"/>
    <s v="HIIT"/>
    <n v="33.9"/>
    <n v="2.1"/>
    <n v="3"/>
    <n v="1"/>
    <n v="30.63"/>
    <x v="0"/>
  </r>
  <r>
    <n v="727"/>
    <x v="2"/>
    <n v="41"/>
    <s v="Male"/>
    <n v="47.1"/>
    <n v="1.78"/>
    <n v="165"/>
    <n v="149"/>
    <n v="65"/>
    <n v="1.26"/>
    <n v="929"/>
    <s v="Yoga"/>
    <n v="24.7"/>
    <n v="2.4"/>
    <n v="3"/>
    <n v="1"/>
    <n v="14.87"/>
    <x v="2"/>
  </r>
  <r>
    <n v="728"/>
    <x v="3"/>
    <n v="32"/>
    <s v="Male"/>
    <n v="65.2"/>
    <n v="1.62"/>
    <n v="186"/>
    <n v="128"/>
    <n v="63"/>
    <n v="0.57999999999999996"/>
    <n v="408"/>
    <s v="Cardio"/>
    <n v="25.3"/>
    <n v="3.4"/>
    <n v="2"/>
    <n v="1"/>
    <n v="24.84"/>
    <x v="1"/>
  </r>
  <r>
    <n v="729"/>
    <x v="7"/>
    <n v="47"/>
    <s v="Male"/>
    <n v="87.2"/>
    <n v="1.64"/>
    <n v="177"/>
    <n v="165"/>
    <n v="50"/>
    <n v="2"/>
    <n v="1634"/>
    <s v="Strength"/>
    <n v="15"/>
    <n v="3.5"/>
    <n v="4"/>
    <n v="3"/>
    <n v="32.42"/>
    <x v="0"/>
  </r>
  <r>
    <n v="730"/>
    <x v="6"/>
    <n v="59"/>
    <s v="Male"/>
    <n v="96.7"/>
    <n v="1.71"/>
    <n v="183"/>
    <n v="150"/>
    <n v="62"/>
    <n v="0.56999999999999995"/>
    <n v="423"/>
    <s v="Yoga"/>
    <n v="28.4"/>
    <n v="2.9"/>
    <n v="3"/>
    <n v="1"/>
    <n v="33.07"/>
    <x v="0"/>
  </r>
  <r>
    <n v="731"/>
    <x v="3"/>
    <n v="34"/>
    <s v="Female"/>
    <n v="46.9"/>
    <n v="1.61"/>
    <n v="196"/>
    <n v="161"/>
    <n v="69"/>
    <n v="1.02"/>
    <n v="821"/>
    <s v="Strength"/>
    <n v="28.6"/>
    <n v="1.7"/>
    <n v="3"/>
    <n v="2"/>
    <n v="18.09"/>
    <x v="2"/>
  </r>
  <r>
    <n v="732"/>
    <x v="7"/>
    <n v="22"/>
    <s v="Female"/>
    <n v="72.099999999999994"/>
    <n v="1.62"/>
    <n v="183"/>
    <n v="123"/>
    <n v="59"/>
    <n v="1.38"/>
    <n v="849"/>
    <s v="HIIT"/>
    <n v="25.1"/>
    <n v="2.1"/>
    <n v="3"/>
    <n v="1"/>
    <n v="27.47"/>
    <x v="3"/>
  </r>
  <r>
    <n v="733"/>
    <x v="5"/>
    <n v="46"/>
    <s v="Female"/>
    <n v="62.5"/>
    <n v="1.54"/>
    <n v="197"/>
    <n v="125"/>
    <n v="73"/>
    <n v="1.61"/>
    <n v="906"/>
    <s v="Strength"/>
    <n v="18.100000000000001"/>
    <n v="2.7"/>
    <n v="4"/>
    <n v="3"/>
    <n v="26.35"/>
    <x v="3"/>
  </r>
  <r>
    <n v="734"/>
    <x v="9"/>
    <n v="21"/>
    <s v="Male"/>
    <n v="110.7"/>
    <n v="1.69"/>
    <n v="193"/>
    <n v="133"/>
    <n v="59"/>
    <n v="1.06"/>
    <n v="775"/>
    <s v="Yoga"/>
    <n v="27"/>
    <n v="2.7"/>
    <n v="3"/>
    <n v="1"/>
    <n v="38.76"/>
    <x v="0"/>
  </r>
  <r>
    <n v="735"/>
    <x v="0"/>
    <n v="27"/>
    <s v="Male"/>
    <n v="102.6"/>
    <n v="1.83"/>
    <n v="199"/>
    <n v="123"/>
    <n v="58"/>
    <n v="1.41"/>
    <n v="954"/>
    <s v="HIIT"/>
    <n v="26.5"/>
    <n v="3.5"/>
    <n v="3"/>
    <n v="2"/>
    <n v="30.64"/>
    <x v="0"/>
  </r>
  <r>
    <n v="736"/>
    <x v="0"/>
    <n v="34"/>
    <s v="Female"/>
    <n v="64.3"/>
    <n v="1.62"/>
    <n v="174"/>
    <n v="145"/>
    <n v="62"/>
    <n v="1.76"/>
    <n v="1276"/>
    <s v="Yoga"/>
    <n v="19.8"/>
    <n v="2.7"/>
    <n v="5"/>
    <n v="3"/>
    <n v="24.5"/>
    <x v="1"/>
  </r>
  <r>
    <n v="737"/>
    <x v="6"/>
    <n v="27"/>
    <s v="Male"/>
    <n v="80.7"/>
    <n v="1.61"/>
    <n v="170"/>
    <n v="166"/>
    <n v="52"/>
    <n v="1.75"/>
    <n v="1598"/>
    <s v="Strength"/>
    <n v="14.3"/>
    <n v="3.5"/>
    <n v="4"/>
    <n v="3"/>
    <n v="31.13"/>
    <x v="0"/>
  </r>
  <r>
    <n v="738"/>
    <x v="2"/>
    <n v="34"/>
    <s v="Male"/>
    <n v="115.3"/>
    <n v="1.81"/>
    <n v="181"/>
    <n v="167"/>
    <n v="67"/>
    <n v="1.36"/>
    <n v="1249"/>
    <s v="Yoga"/>
    <n v="24.5"/>
    <n v="2.2000000000000002"/>
    <n v="2"/>
    <n v="1"/>
    <n v="35.19"/>
    <x v="0"/>
  </r>
  <r>
    <n v="739"/>
    <x v="1"/>
    <n v="37"/>
    <s v="Male"/>
    <n v="87.8"/>
    <n v="1.69"/>
    <n v="183"/>
    <n v="158"/>
    <n v="69"/>
    <n v="1.81"/>
    <n v="1573"/>
    <s v="HIIT"/>
    <n v="10.3"/>
    <n v="3.5"/>
    <n v="5"/>
    <n v="3"/>
    <n v="30.74"/>
    <x v="0"/>
  </r>
  <r>
    <n v="740"/>
    <x v="2"/>
    <n v="41"/>
    <s v="Male"/>
    <n v="74.3"/>
    <n v="1.61"/>
    <n v="160"/>
    <n v="136"/>
    <n v="51"/>
    <n v="1.06"/>
    <n v="714"/>
    <s v="Strength"/>
    <n v="24.8"/>
    <n v="3.5"/>
    <n v="4"/>
    <n v="2"/>
    <n v="28.66"/>
    <x v="3"/>
  </r>
  <r>
    <n v="741"/>
    <x v="1"/>
    <n v="22"/>
    <s v="Female"/>
    <n v="78.5"/>
    <n v="1.7"/>
    <n v="177"/>
    <n v="138"/>
    <n v="66"/>
    <n v="1.36"/>
    <n v="938"/>
    <s v="Strength"/>
    <n v="31.9"/>
    <n v="2.1"/>
    <n v="4"/>
    <n v="2"/>
    <n v="27.16"/>
    <x v="3"/>
  </r>
  <r>
    <n v="742"/>
    <x v="2"/>
    <n v="51"/>
    <s v="Female"/>
    <n v="77.3"/>
    <n v="1.58"/>
    <n v="171"/>
    <n v="168"/>
    <n v="68"/>
    <n v="0.97"/>
    <n v="733"/>
    <s v="Cardio"/>
    <n v="31.1"/>
    <n v="2"/>
    <n v="2"/>
    <n v="1"/>
    <n v="30.96"/>
    <x v="0"/>
  </r>
  <r>
    <n v="743"/>
    <x v="9"/>
    <n v="23"/>
    <s v="Female"/>
    <n v="64.5"/>
    <n v="1.7"/>
    <n v="187"/>
    <n v="125"/>
    <n v="72"/>
    <n v="0.51"/>
    <n v="319"/>
    <s v="Cardio"/>
    <n v="30.4"/>
    <n v="1.7"/>
    <n v="2"/>
    <n v="1"/>
    <n v="22.32"/>
    <x v="1"/>
  </r>
  <r>
    <n v="744"/>
    <x v="5"/>
    <n v="19"/>
    <s v="Male"/>
    <n v="72"/>
    <n v="1.94"/>
    <n v="199"/>
    <n v="148"/>
    <n v="62"/>
    <n v="1.17"/>
    <n v="952"/>
    <s v="Yoga"/>
    <n v="24.7"/>
    <n v="3.2"/>
    <n v="3"/>
    <n v="2"/>
    <n v="19.13"/>
    <x v="1"/>
  </r>
  <r>
    <n v="745"/>
    <x v="5"/>
    <n v="30"/>
    <s v="Female"/>
    <n v="77.900000000000006"/>
    <n v="1.77"/>
    <n v="166"/>
    <n v="130"/>
    <n v="62"/>
    <n v="1.41"/>
    <n v="916"/>
    <s v="Cardio"/>
    <n v="27.9"/>
    <n v="2.6"/>
    <n v="4"/>
    <n v="2"/>
    <n v="24.87"/>
    <x v="1"/>
  </r>
  <r>
    <n v="746"/>
    <x v="7"/>
    <n v="28"/>
    <s v="Female"/>
    <n v="69.599999999999994"/>
    <n v="1.58"/>
    <n v="182"/>
    <n v="135"/>
    <n v="50"/>
    <n v="1.49"/>
    <n v="1006"/>
    <s v="Cardio"/>
    <n v="27.8"/>
    <n v="2"/>
    <n v="3"/>
    <n v="2"/>
    <n v="27.88"/>
    <x v="3"/>
  </r>
  <r>
    <n v="747"/>
    <x v="4"/>
    <n v="40"/>
    <s v="Male"/>
    <n v="68.900000000000006"/>
    <n v="1.99"/>
    <n v="180"/>
    <n v="149"/>
    <n v="51"/>
    <n v="1.1599999999999999"/>
    <n v="951"/>
    <s v="Cardio"/>
    <n v="25"/>
    <n v="2.4"/>
    <n v="4"/>
    <n v="2"/>
    <n v="17.399999999999999"/>
    <x v="2"/>
  </r>
  <r>
    <n v="748"/>
    <x v="5"/>
    <n v="33"/>
    <s v="Male"/>
    <n v="45.9"/>
    <n v="1.89"/>
    <n v="193"/>
    <n v="144"/>
    <n v="50"/>
    <n v="1.45"/>
    <n v="1148"/>
    <s v="Cardio"/>
    <n v="21.6"/>
    <n v="2.9"/>
    <n v="3"/>
    <n v="2"/>
    <n v="12.85"/>
    <x v="2"/>
  </r>
  <r>
    <n v="749"/>
    <x v="5"/>
    <n v="48"/>
    <s v="Female"/>
    <n v="68.2"/>
    <n v="1.69"/>
    <n v="170"/>
    <n v="159"/>
    <n v="73"/>
    <n v="0.75"/>
    <n v="537"/>
    <s v="HIIT"/>
    <n v="28.4"/>
    <n v="2.5"/>
    <n v="3"/>
    <n v="1"/>
    <n v="23.88"/>
    <x v="1"/>
  </r>
  <r>
    <n v="750"/>
    <x v="3"/>
    <n v="28"/>
    <s v="Female"/>
    <n v="79.599999999999994"/>
    <n v="1.59"/>
    <n v="181"/>
    <n v="130"/>
    <n v="54"/>
    <n v="1.49"/>
    <n v="968"/>
    <s v="HIIT"/>
    <n v="28.2"/>
    <n v="1.5"/>
    <n v="3"/>
    <n v="2"/>
    <n v="31.49"/>
    <x v="0"/>
  </r>
  <r>
    <n v="751"/>
    <x v="3"/>
    <n v="33"/>
    <s v="Female"/>
    <n v="53.6"/>
    <n v="1.52"/>
    <n v="194"/>
    <n v="126"/>
    <n v="73"/>
    <n v="1.02"/>
    <n v="643"/>
    <s v="Cardio"/>
    <n v="30.9"/>
    <n v="2.2999999999999998"/>
    <n v="2"/>
    <n v="1"/>
    <n v="23.2"/>
    <x v="1"/>
  </r>
  <r>
    <n v="752"/>
    <x v="7"/>
    <n v="25"/>
    <s v="Female"/>
    <n v="57.7"/>
    <n v="1.58"/>
    <n v="188"/>
    <n v="145"/>
    <n v="52"/>
    <n v="1.36"/>
    <n v="986"/>
    <s v="Yoga"/>
    <n v="25.7"/>
    <n v="2.2000000000000002"/>
    <n v="3"/>
    <n v="2"/>
    <n v="23.11"/>
    <x v="1"/>
  </r>
  <r>
    <n v="753"/>
    <x v="4"/>
    <n v="21"/>
    <s v="Male"/>
    <n v="74.2"/>
    <n v="1.93"/>
    <n v="187"/>
    <n v="141"/>
    <n v="56"/>
    <n v="1.32"/>
    <n v="1024"/>
    <s v="HIIT"/>
    <n v="28.3"/>
    <n v="2.5"/>
    <n v="3"/>
    <n v="2"/>
    <n v="19.920000000000002"/>
    <x v="1"/>
  </r>
  <r>
    <n v="754"/>
    <x v="6"/>
    <n v="57"/>
    <s v="Female"/>
    <n v="64.400000000000006"/>
    <n v="1.56"/>
    <n v="177"/>
    <n v="144"/>
    <n v="73"/>
    <n v="1.52"/>
    <n v="985"/>
    <s v="Cardio"/>
    <n v="17.8"/>
    <n v="2.7"/>
    <n v="5"/>
    <n v="3"/>
    <n v="26.46"/>
    <x v="3"/>
  </r>
  <r>
    <n v="755"/>
    <x v="3"/>
    <n v="21"/>
    <s v="Female"/>
    <n v="54.9"/>
    <n v="1.78"/>
    <n v="173"/>
    <n v="138"/>
    <n v="71"/>
    <n v="0.55000000000000004"/>
    <n v="380"/>
    <s v="HIIT"/>
    <n v="31.7"/>
    <n v="2"/>
    <n v="2"/>
    <n v="1"/>
    <n v="17.329999999999998"/>
    <x v="2"/>
  </r>
  <r>
    <n v="756"/>
    <x v="6"/>
    <n v="42"/>
    <s v="Male"/>
    <n v="50.3"/>
    <n v="1.64"/>
    <n v="177"/>
    <n v="150"/>
    <n v="62"/>
    <n v="0.63"/>
    <n v="468"/>
    <s v="Strength"/>
    <n v="27"/>
    <n v="2.4"/>
    <n v="3"/>
    <n v="1"/>
    <n v="18.7"/>
    <x v="1"/>
  </r>
  <r>
    <n v="757"/>
    <x v="8"/>
    <n v="20"/>
    <s v="Female"/>
    <n v="46.5"/>
    <n v="1.68"/>
    <n v="187"/>
    <n v="145"/>
    <n v="72"/>
    <n v="0.91"/>
    <n v="660"/>
    <s v="HIIT"/>
    <n v="27.9"/>
    <n v="2.4"/>
    <n v="2"/>
    <n v="1"/>
    <n v="16.48"/>
    <x v="2"/>
  </r>
  <r>
    <n v="758"/>
    <x v="3"/>
    <n v="49"/>
    <s v="Male"/>
    <n v="57.8"/>
    <n v="1.99"/>
    <n v="183"/>
    <n v="161"/>
    <n v="67"/>
    <n v="0.93"/>
    <n v="741"/>
    <s v="HIIT"/>
    <n v="24.7"/>
    <n v="3.1"/>
    <n v="3"/>
    <n v="1"/>
    <n v="14.6"/>
    <x v="2"/>
  </r>
  <r>
    <n v="759"/>
    <x v="9"/>
    <n v="20"/>
    <s v="Male"/>
    <n v="83"/>
    <n v="1.8"/>
    <n v="167"/>
    <n v="160"/>
    <n v="73"/>
    <n v="0.79"/>
    <n v="695"/>
    <s v="Yoga"/>
    <n v="29.6"/>
    <n v="2.9"/>
    <n v="2"/>
    <n v="1"/>
    <n v="25.62"/>
    <x v="3"/>
  </r>
  <r>
    <n v="760"/>
    <x v="4"/>
    <n v="44"/>
    <s v="Male"/>
    <n v="82.5"/>
    <n v="1.79"/>
    <n v="167"/>
    <n v="155"/>
    <n v="70"/>
    <n v="1.51"/>
    <n v="1159"/>
    <s v="HIIT"/>
    <n v="13.8"/>
    <n v="3.5"/>
    <n v="5"/>
    <n v="3"/>
    <n v="25.75"/>
    <x v="3"/>
  </r>
  <r>
    <n v="761"/>
    <x v="7"/>
    <n v="46"/>
    <s v="Female"/>
    <n v="66.5"/>
    <n v="1.73"/>
    <n v="163"/>
    <n v="142"/>
    <n v="56"/>
    <n v="1.1100000000000001"/>
    <n v="709"/>
    <s v="Yoga"/>
    <n v="34.700000000000003"/>
    <n v="2"/>
    <n v="3"/>
    <n v="1"/>
    <n v="22.22"/>
    <x v="1"/>
  </r>
  <r>
    <n v="762"/>
    <x v="8"/>
    <n v="49"/>
    <s v="Female"/>
    <n v="70.2"/>
    <n v="1.67"/>
    <n v="186"/>
    <n v="166"/>
    <n v="50"/>
    <n v="0.93"/>
    <n v="695"/>
    <s v="Strength"/>
    <n v="32.5"/>
    <n v="1.8"/>
    <n v="3"/>
    <n v="1"/>
    <n v="25.17"/>
    <x v="3"/>
  </r>
  <r>
    <n v="763"/>
    <x v="4"/>
    <n v="36"/>
    <s v="Male"/>
    <n v="121.9"/>
    <n v="1.93"/>
    <n v="195"/>
    <n v="132"/>
    <n v="54"/>
    <n v="1.49"/>
    <n v="1082"/>
    <s v="Cardio"/>
    <n v="21.8"/>
    <n v="3.4"/>
    <n v="3"/>
    <n v="2"/>
    <n v="32.729999999999997"/>
    <x v="0"/>
  </r>
  <r>
    <n v="764"/>
    <x v="9"/>
    <n v="38"/>
    <s v="Female"/>
    <n v="70.3"/>
    <n v="1.52"/>
    <n v="164"/>
    <n v="144"/>
    <n v="66"/>
    <n v="1.19"/>
    <n v="857"/>
    <s v="Yoga"/>
    <n v="25.6"/>
    <n v="2"/>
    <n v="4"/>
    <n v="2"/>
    <n v="30.43"/>
    <x v="0"/>
  </r>
  <r>
    <n v="765"/>
    <x v="4"/>
    <n v="22"/>
    <s v="Female"/>
    <n v="40.299999999999997"/>
    <n v="1.56"/>
    <n v="192"/>
    <n v="121"/>
    <n v="57"/>
    <n v="1.45"/>
    <n v="877"/>
    <s v="HIIT"/>
    <n v="30.8"/>
    <n v="2.1"/>
    <n v="4"/>
    <n v="2"/>
    <n v="16.559999999999999"/>
    <x v="2"/>
  </r>
  <r>
    <n v="766"/>
    <x v="9"/>
    <n v="35"/>
    <s v="Male"/>
    <n v="101.4"/>
    <n v="1.76"/>
    <n v="193"/>
    <n v="121"/>
    <n v="64"/>
    <n v="0.84"/>
    <n v="559"/>
    <s v="HIIT"/>
    <n v="23.6"/>
    <n v="2.9"/>
    <n v="2"/>
    <n v="1"/>
    <n v="32.74"/>
    <x v="0"/>
  </r>
  <r>
    <n v="767"/>
    <x v="9"/>
    <n v="45"/>
    <s v="Male"/>
    <n v="79.2"/>
    <n v="1.95"/>
    <n v="189"/>
    <n v="135"/>
    <n v="69"/>
    <n v="1.47"/>
    <n v="982"/>
    <s v="Yoga"/>
    <n v="22.8"/>
    <n v="2.8"/>
    <n v="3"/>
    <n v="2"/>
    <n v="20.83"/>
    <x v="1"/>
  </r>
  <r>
    <n v="768"/>
    <x v="6"/>
    <n v="59"/>
    <s v="Female"/>
    <n v="75.8"/>
    <n v="1.77"/>
    <n v="167"/>
    <n v="128"/>
    <n v="53"/>
    <n v="1.46"/>
    <n v="841"/>
    <s v="Strength"/>
    <n v="33.1"/>
    <n v="1.8"/>
    <n v="3"/>
    <n v="1"/>
    <n v="24.19"/>
    <x v="1"/>
  </r>
  <r>
    <n v="769"/>
    <x v="2"/>
    <n v="39"/>
    <s v="Male"/>
    <n v="71.7"/>
    <n v="1.88"/>
    <n v="198"/>
    <n v="147"/>
    <n v="51"/>
    <n v="0.55000000000000004"/>
    <n v="445"/>
    <s v="Cardio"/>
    <n v="23.7"/>
    <n v="2.2000000000000002"/>
    <n v="2"/>
    <n v="1"/>
    <n v="20.29"/>
    <x v="1"/>
  </r>
  <r>
    <n v="770"/>
    <x v="8"/>
    <n v="38"/>
    <s v="Female"/>
    <n v="57.7"/>
    <n v="1.56"/>
    <n v="185"/>
    <n v="132"/>
    <n v="54"/>
    <n v="1.64"/>
    <n v="1082"/>
    <s v="HIIT"/>
    <n v="16.600000000000001"/>
    <n v="2.7"/>
    <n v="5"/>
    <n v="3"/>
    <n v="23.71"/>
    <x v="1"/>
  </r>
  <r>
    <n v="771"/>
    <x v="4"/>
    <n v="23"/>
    <s v="Female"/>
    <n v="47.4"/>
    <n v="1.6"/>
    <n v="196"/>
    <n v="154"/>
    <n v="50"/>
    <n v="0.76"/>
    <n v="585"/>
    <s v="Strength"/>
    <n v="33.5"/>
    <n v="1.6"/>
    <n v="3"/>
    <n v="1"/>
    <n v="18.52"/>
    <x v="1"/>
  </r>
  <r>
    <n v="772"/>
    <x v="1"/>
    <n v="18"/>
    <s v="Female"/>
    <n v="57.2"/>
    <n v="1.75"/>
    <n v="193"/>
    <n v="160"/>
    <n v="74"/>
    <n v="1.29"/>
    <n v="1032"/>
    <s v="Cardio"/>
    <n v="33.5"/>
    <n v="2.4"/>
    <n v="3"/>
    <n v="2"/>
    <n v="18.68"/>
    <x v="1"/>
  </r>
  <r>
    <n v="773"/>
    <x v="8"/>
    <n v="22"/>
    <s v="Female"/>
    <n v="44.8"/>
    <n v="1.72"/>
    <n v="166"/>
    <n v="132"/>
    <n v="54"/>
    <n v="1.48"/>
    <n v="977"/>
    <s v="Cardio"/>
    <n v="28.6"/>
    <n v="1.8"/>
    <n v="4"/>
    <n v="2"/>
    <n v="15.14"/>
    <x v="2"/>
  </r>
  <r>
    <n v="774"/>
    <x v="2"/>
    <n v="58"/>
    <s v="Male"/>
    <n v="90.2"/>
    <n v="1.72"/>
    <n v="199"/>
    <n v="150"/>
    <n v="55"/>
    <n v="0.9"/>
    <n v="668"/>
    <s v="HIIT"/>
    <n v="28.3"/>
    <n v="2.1"/>
    <n v="2"/>
    <n v="1"/>
    <n v="30.49"/>
    <x v="0"/>
  </r>
  <r>
    <n v="775"/>
    <x v="8"/>
    <n v="29"/>
    <s v="Male"/>
    <n v="84.9"/>
    <n v="1.72"/>
    <n v="187"/>
    <n v="140"/>
    <n v="51"/>
    <n v="1.79"/>
    <n v="1378"/>
    <s v="Yoga"/>
    <n v="14.3"/>
    <n v="3.5"/>
    <n v="4"/>
    <n v="3"/>
    <n v="28.7"/>
    <x v="3"/>
  </r>
  <r>
    <n v="776"/>
    <x v="5"/>
    <n v="43"/>
    <s v="Male"/>
    <n v="95.7"/>
    <n v="1.77"/>
    <n v="198"/>
    <n v="151"/>
    <n v="50"/>
    <n v="1.08"/>
    <n v="807"/>
    <s v="HIIT"/>
    <n v="24.2"/>
    <n v="3.4"/>
    <n v="3"/>
    <n v="1"/>
    <n v="30.55"/>
    <x v="0"/>
  </r>
  <r>
    <n v="777"/>
    <x v="1"/>
    <n v="51"/>
    <s v="Male"/>
    <n v="59"/>
    <n v="1.65"/>
    <n v="198"/>
    <n v="153"/>
    <n v="53"/>
    <n v="1.22"/>
    <n v="924"/>
    <s v="HIIT"/>
    <n v="20.7"/>
    <n v="2.2999999999999998"/>
    <n v="3"/>
    <n v="2"/>
    <n v="21.67"/>
    <x v="1"/>
  </r>
  <r>
    <n v="778"/>
    <x v="2"/>
    <n v="31"/>
    <s v="Female"/>
    <n v="60.5"/>
    <n v="1.77"/>
    <n v="187"/>
    <n v="127"/>
    <n v="56"/>
    <n v="1.72"/>
    <n v="1092"/>
    <s v="HIIT"/>
    <n v="15"/>
    <n v="2.7"/>
    <n v="4"/>
    <n v="3"/>
    <n v="19.309999999999999"/>
    <x v="1"/>
  </r>
  <r>
    <n v="779"/>
    <x v="6"/>
    <n v="43"/>
    <s v="Female"/>
    <n v="53.8"/>
    <n v="1.72"/>
    <n v="173"/>
    <n v="160"/>
    <n v="71"/>
    <n v="1.03"/>
    <n v="742"/>
    <s v="Strength"/>
    <n v="30.2"/>
    <n v="2.2999999999999998"/>
    <n v="4"/>
    <n v="2"/>
    <n v="18.190000000000001"/>
    <x v="2"/>
  </r>
  <r>
    <n v="780"/>
    <x v="4"/>
    <n v="44"/>
    <s v="Male"/>
    <n v="86.6"/>
    <n v="1.97"/>
    <n v="197"/>
    <n v="167"/>
    <n v="50"/>
    <n v="1.66"/>
    <n v="1372"/>
    <s v="Yoga"/>
    <n v="11.7"/>
    <n v="3.5"/>
    <n v="5"/>
    <n v="3"/>
    <n v="22.31"/>
    <x v="1"/>
  </r>
  <r>
    <n v="781"/>
    <x v="0"/>
    <n v="26"/>
    <s v="Female"/>
    <n v="72.8"/>
    <n v="1.67"/>
    <n v="163"/>
    <n v="121"/>
    <n v="50"/>
    <n v="1.37"/>
    <n v="829"/>
    <s v="Strength"/>
    <n v="35"/>
    <n v="1.9"/>
    <n v="2"/>
    <n v="1"/>
    <n v="26.1"/>
    <x v="3"/>
  </r>
  <r>
    <n v="782"/>
    <x v="2"/>
    <n v="43"/>
    <s v="Female"/>
    <n v="66.3"/>
    <n v="1.77"/>
    <n v="177"/>
    <n v="157"/>
    <n v="57"/>
    <n v="1.48"/>
    <n v="1046"/>
    <s v="HIIT"/>
    <n v="32.700000000000003"/>
    <n v="1.7"/>
    <n v="4"/>
    <n v="2"/>
    <n v="21.16"/>
    <x v="1"/>
  </r>
  <r>
    <n v="783"/>
    <x v="7"/>
    <n v="39"/>
    <s v="Female"/>
    <n v="56"/>
    <n v="1.6"/>
    <n v="184"/>
    <n v="151"/>
    <n v="69"/>
    <n v="0.89"/>
    <n v="672"/>
    <s v="Yoga"/>
    <n v="32.6"/>
    <n v="2"/>
    <n v="2"/>
    <n v="1"/>
    <n v="21.87"/>
    <x v="1"/>
  </r>
  <r>
    <n v="784"/>
    <x v="4"/>
    <n v="47"/>
    <s v="Male"/>
    <n v="45.9"/>
    <n v="1.93"/>
    <n v="166"/>
    <n v="159"/>
    <n v="65"/>
    <n v="1.29"/>
    <n v="1015"/>
    <s v="Cardio"/>
    <n v="29.6"/>
    <n v="2"/>
    <n v="3"/>
    <n v="2"/>
    <n v="12.32"/>
    <x v="2"/>
  </r>
  <r>
    <n v="785"/>
    <x v="2"/>
    <n v="34"/>
    <s v="Male"/>
    <n v="88"/>
    <n v="1.64"/>
    <n v="197"/>
    <n v="147"/>
    <n v="70"/>
    <n v="1.9"/>
    <n v="1536"/>
    <s v="Yoga"/>
    <n v="14.4"/>
    <n v="3.5"/>
    <n v="4"/>
    <n v="3"/>
    <n v="32.72"/>
    <x v="0"/>
  </r>
  <r>
    <n v="786"/>
    <x v="5"/>
    <n v="43"/>
    <s v="Male"/>
    <n v="94"/>
    <n v="1.79"/>
    <n v="187"/>
    <n v="156"/>
    <n v="62"/>
    <n v="1.31"/>
    <n v="1012"/>
    <s v="HIIT"/>
    <n v="23.2"/>
    <n v="3.4"/>
    <n v="2"/>
    <n v="1"/>
    <n v="29.34"/>
    <x v="3"/>
  </r>
  <r>
    <n v="787"/>
    <x v="0"/>
    <n v="53"/>
    <s v="Female"/>
    <n v="44.7"/>
    <n v="1.79"/>
    <n v="164"/>
    <n v="160"/>
    <n v="72"/>
    <n v="1.34"/>
    <n v="965"/>
    <s v="Yoga"/>
    <n v="26.7"/>
    <n v="2.1"/>
    <n v="3"/>
    <n v="2"/>
    <n v="13.95"/>
    <x v="2"/>
  </r>
  <r>
    <n v="788"/>
    <x v="5"/>
    <n v="18"/>
    <s v="Male"/>
    <n v="63.2"/>
    <n v="1.63"/>
    <n v="162"/>
    <n v="120"/>
    <n v="73"/>
    <n v="0.66"/>
    <n v="436"/>
    <s v="Cardio"/>
    <n v="27.5"/>
    <n v="2.2000000000000002"/>
    <n v="3"/>
    <n v="1"/>
    <n v="23.79"/>
    <x v="1"/>
  </r>
  <r>
    <n v="789"/>
    <x v="0"/>
    <n v="25"/>
    <s v="Male"/>
    <n v="95.6"/>
    <n v="1.9"/>
    <n v="190"/>
    <n v="160"/>
    <n v="72"/>
    <n v="1.47"/>
    <n v="1294"/>
    <s v="Cardio"/>
    <n v="23.8"/>
    <n v="2.4"/>
    <n v="4"/>
    <n v="2"/>
    <n v="26.48"/>
    <x v="3"/>
  </r>
  <r>
    <n v="790"/>
    <x v="7"/>
    <n v="52"/>
    <s v="Male"/>
    <n v="47.8"/>
    <n v="1.86"/>
    <n v="179"/>
    <n v="129"/>
    <n v="67"/>
    <n v="1.01"/>
    <n v="645"/>
    <s v="Yoga"/>
    <n v="24.7"/>
    <n v="2.8"/>
    <n v="3"/>
    <n v="2"/>
    <n v="13.82"/>
    <x v="2"/>
  </r>
  <r>
    <n v="791"/>
    <x v="4"/>
    <n v="32"/>
    <s v="Male"/>
    <n v="85.3"/>
    <n v="1.64"/>
    <n v="178"/>
    <n v="123"/>
    <n v="69"/>
    <n v="1.77"/>
    <n v="1197"/>
    <s v="Cardio"/>
    <n v="13.2"/>
    <n v="3.5"/>
    <n v="4"/>
    <n v="3"/>
    <n v="31.71"/>
    <x v="0"/>
  </r>
  <r>
    <n v="792"/>
    <x v="6"/>
    <n v="39"/>
    <s v="Male"/>
    <n v="59.7"/>
    <n v="1.83"/>
    <n v="170"/>
    <n v="154"/>
    <n v="59"/>
    <n v="1.35"/>
    <n v="1143"/>
    <s v="Strength"/>
    <n v="29.1"/>
    <n v="2.2999999999999998"/>
    <n v="4"/>
    <n v="2"/>
    <n v="17.829999999999998"/>
    <x v="2"/>
  </r>
  <r>
    <n v="793"/>
    <x v="5"/>
    <n v="31"/>
    <s v="Male"/>
    <n v="70.2"/>
    <n v="1.98"/>
    <n v="199"/>
    <n v="129"/>
    <n v="61"/>
    <n v="0.71"/>
    <n v="504"/>
    <s v="Yoga"/>
    <n v="24.2"/>
    <n v="2.5"/>
    <n v="2"/>
    <n v="1"/>
    <n v="17.91"/>
    <x v="2"/>
  </r>
  <r>
    <n v="794"/>
    <x v="5"/>
    <n v="43"/>
    <s v="Female"/>
    <n v="72.7"/>
    <n v="1.8"/>
    <n v="162"/>
    <n v="166"/>
    <n v="50"/>
    <n v="0.79"/>
    <n v="590"/>
    <s v="Cardio"/>
    <n v="32.799999999999997"/>
    <n v="2.1"/>
    <n v="3"/>
    <n v="1"/>
    <n v="22.44"/>
    <x v="1"/>
  </r>
  <r>
    <n v="795"/>
    <x v="9"/>
    <n v="45"/>
    <s v="Female"/>
    <n v="50.4"/>
    <n v="1.79"/>
    <n v="182"/>
    <n v="130"/>
    <n v="59"/>
    <n v="0.74"/>
    <n v="433"/>
    <s v="Cardio"/>
    <n v="27.7"/>
    <n v="2.5"/>
    <n v="2"/>
    <n v="1"/>
    <n v="15.73"/>
    <x v="2"/>
  </r>
  <r>
    <n v="796"/>
    <x v="0"/>
    <n v="40"/>
    <s v="Male"/>
    <n v="81.7"/>
    <n v="1.74"/>
    <n v="166"/>
    <n v="133"/>
    <n v="58"/>
    <n v="0.91"/>
    <n v="666"/>
    <s v="Yoga"/>
    <n v="27"/>
    <n v="2.7"/>
    <n v="2"/>
    <n v="1"/>
    <n v="26.99"/>
    <x v="3"/>
  </r>
  <r>
    <n v="797"/>
    <x v="3"/>
    <n v="31"/>
    <s v="Male"/>
    <n v="49.3"/>
    <n v="1.62"/>
    <n v="182"/>
    <n v="157"/>
    <n v="52"/>
    <n v="0.56000000000000005"/>
    <n v="484"/>
    <s v="Strength"/>
    <n v="20"/>
    <n v="3.2"/>
    <n v="2"/>
    <n v="1"/>
    <n v="18.79"/>
    <x v="1"/>
  </r>
  <r>
    <n v="798"/>
    <x v="4"/>
    <n v="41"/>
    <s v="Female"/>
    <n v="61.9"/>
    <n v="1.64"/>
    <n v="166"/>
    <n v="131"/>
    <n v="68"/>
    <n v="1.93"/>
    <n v="1138"/>
    <s v="Yoga"/>
    <n v="19.399999999999999"/>
    <n v="2.7"/>
    <n v="4"/>
    <n v="3"/>
    <n v="23.01"/>
    <x v="1"/>
  </r>
  <r>
    <n v="799"/>
    <x v="0"/>
    <n v="19"/>
    <s v="Female"/>
    <n v="49.1"/>
    <n v="1.68"/>
    <n v="193"/>
    <n v="164"/>
    <n v="58"/>
    <n v="1.42"/>
    <n v="1164"/>
    <s v="Cardio"/>
    <n v="25.3"/>
    <n v="2.6"/>
    <n v="4"/>
    <n v="2"/>
    <n v="17.399999999999999"/>
    <x v="2"/>
  </r>
  <r>
    <n v="800"/>
    <x v="9"/>
    <n v="43"/>
    <s v="Male"/>
    <n v="66.5"/>
    <n v="1.83"/>
    <n v="178"/>
    <n v="136"/>
    <n v="59"/>
    <n v="1.1100000000000001"/>
    <n v="747"/>
    <s v="Yoga"/>
    <n v="27.1"/>
    <n v="2.4"/>
    <n v="3"/>
    <n v="2"/>
    <n v="19.86"/>
    <x v="1"/>
  </r>
  <r>
    <n v="801"/>
    <x v="8"/>
    <n v="31"/>
    <s v="Male"/>
    <n v="75.5"/>
    <n v="1.93"/>
    <n v="168"/>
    <n v="135"/>
    <n v="68"/>
    <n v="0.6"/>
    <n v="446"/>
    <s v="Cardio"/>
    <n v="20.5"/>
    <n v="3.4"/>
    <n v="2"/>
    <n v="1"/>
    <n v="20.27"/>
    <x v="1"/>
  </r>
  <r>
    <n v="802"/>
    <x v="0"/>
    <n v="24"/>
    <s v="Male"/>
    <n v="88.2"/>
    <n v="1.79"/>
    <n v="177"/>
    <n v="154"/>
    <n v="65"/>
    <n v="1.76"/>
    <n v="1491"/>
    <s v="HIIT"/>
    <n v="11.3"/>
    <n v="3.5"/>
    <n v="4"/>
    <n v="3"/>
    <n v="27.53"/>
    <x v="3"/>
  </r>
  <r>
    <n v="803"/>
    <x v="6"/>
    <n v="20"/>
    <s v="Male"/>
    <n v="74.8"/>
    <n v="1.75"/>
    <n v="184"/>
    <n v="121"/>
    <n v="73"/>
    <n v="1.33"/>
    <n v="885"/>
    <s v="Yoga"/>
    <n v="25"/>
    <n v="3.3"/>
    <n v="3"/>
    <n v="2"/>
    <n v="24.42"/>
    <x v="1"/>
  </r>
  <r>
    <n v="804"/>
    <x v="4"/>
    <n v="40"/>
    <s v="Female"/>
    <n v="72.2"/>
    <n v="1.6"/>
    <n v="173"/>
    <n v="130"/>
    <n v="67"/>
    <n v="0.87"/>
    <n v="566"/>
    <s v="Yoga"/>
    <n v="29.2"/>
    <n v="1.9"/>
    <n v="3"/>
    <n v="1"/>
    <n v="28.2"/>
    <x v="3"/>
  </r>
  <r>
    <n v="805"/>
    <x v="9"/>
    <n v="35"/>
    <s v="Male"/>
    <n v="62.8"/>
    <n v="1.63"/>
    <n v="184"/>
    <n v="160"/>
    <n v="63"/>
    <n v="1.41"/>
    <n v="1241"/>
    <s v="Cardio"/>
    <n v="21.9"/>
    <n v="3.7"/>
    <n v="4"/>
    <n v="2"/>
    <n v="23.64"/>
    <x v="1"/>
  </r>
  <r>
    <n v="806"/>
    <x v="8"/>
    <n v="55"/>
    <s v="Male"/>
    <n v="84.7"/>
    <n v="1.79"/>
    <n v="178"/>
    <n v="122"/>
    <n v="52"/>
    <n v="1.19"/>
    <n v="719"/>
    <s v="Cardio"/>
    <n v="23.3"/>
    <n v="2.4"/>
    <n v="3"/>
    <n v="2"/>
    <n v="26.43"/>
    <x v="3"/>
  </r>
  <r>
    <n v="807"/>
    <x v="1"/>
    <n v="52"/>
    <s v="Male"/>
    <n v="116.5"/>
    <n v="1.69"/>
    <n v="198"/>
    <n v="148"/>
    <n v="51"/>
    <n v="0.53"/>
    <n v="388"/>
    <s v="Cardio"/>
    <n v="27.3"/>
    <n v="2.4"/>
    <n v="2"/>
    <n v="1"/>
    <n v="40.79"/>
    <x v="0"/>
  </r>
  <r>
    <n v="808"/>
    <x v="9"/>
    <n v="32"/>
    <s v="Male"/>
    <n v="77.400000000000006"/>
    <n v="1.92"/>
    <n v="174"/>
    <n v="137"/>
    <n v="50"/>
    <n v="1.39"/>
    <n v="1047"/>
    <s v="Cardio"/>
    <n v="26.7"/>
    <n v="3.3"/>
    <n v="3"/>
    <n v="2"/>
    <n v="21"/>
    <x v="1"/>
  </r>
  <r>
    <n v="809"/>
    <x v="1"/>
    <n v="42"/>
    <s v="Female"/>
    <n v="72.900000000000006"/>
    <n v="1.62"/>
    <n v="175"/>
    <n v="139"/>
    <n v="67"/>
    <n v="1.17"/>
    <n v="732"/>
    <s v="Yoga"/>
    <n v="25.7"/>
    <n v="2"/>
    <n v="4"/>
    <n v="2"/>
    <n v="27.78"/>
    <x v="3"/>
  </r>
  <r>
    <n v="810"/>
    <x v="4"/>
    <n v="54"/>
    <s v="Female"/>
    <n v="58.4"/>
    <n v="1.59"/>
    <n v="186"/>
    <n v="166"/>
    <n v="73"/>
    <n v="1.08"/>
    <n v="807"/>
    <s v="Cardio"/>
    <n v="32.5"/>
    <n v="1.9"/>
    <n v="2"/>
    <n v="1"/>
    <n v="23.1"/>
    <x v="1"/>
  </r>
  <r>
    <n v="811"/>
    <x v="5"/>
    <n v="45"/>
    <s v="Female"/>
    <n v="64.3"/>
    <n v="1.54"/>
    <n v="199"/>
    <n v="133"/>
    <n v="58"/>
    <n v="1.67"/>
    <n v="999"/>
    <s v="Yoga"/>
    <n v="15.3"/>
    <n v="2.7"/>
    <n v="4"/>
    <n v="3"/>
    <n v="27.11"/>
    <x v="3"/>
  </r>
  <r>
    <n v="812"/>
    <x v="9"/>
    <n v="27"/>
    <s v="Male"/>
    <n v="89.3"/>
    <n v="1.87"/>
    <n v="169"/>
    <n v="153"/>
    <n v="62"/>
    <n v="1.62"/>
    <n v="1363"/>
    <s v="Strength"/>
    <n v="12.7"/>
    <n v="3.5"/>
    <n v="5"/>
    <n v="3"/>
    <n v="25.54"/>
    <x v="3"/>
  </r>
  <r>
    <n v="813"/>
    <x v="7"/>
    <n v="56"/>
    <s v="Male"/>
    <n v="90.2"/>
    <n v="1.61"/>
    <n v="163"/>
    <n v="168"/>
    <n v="51"/>
    <n v="1.38"/>
    <n v="1148"/>
    <s v="Yoga"/>
    <n v="22.6"/>
    <n v="2.2999999999999998"/>
    <n v="3"/>
    <n v="2"/>
    <n v="34.799999999999997"/>
    <x v="0"/>
  </r>
  <r>
    <n v="814"/>
    <x v="1"/>
    <n v="34"/>
    <s v="Female"/>
    <n v="59"/>
    <n v="1.62"/>
    <n v="178"/>
    <n v="150"/>
    <n v="56"/>
    <n v="1.1299999999999999"/>
    <n v="847"/>
    <s v="Cardio"/>
    <n v="30.9"/>
    <n v="2.4"/>
    <n v="4"/>
    <n v="2"/>
    <n v="22.48"/>
    <x v="1"/>
  </r>
  <r>
    <n v="815"/>
    <x v="6"/>
    <n v="56"/>
    <s v="Male"/>
    <n v="58.7"/>
    <n v="1.86"/>
    <n v="187"/>
    <n v="159"/>
    <n v="65"/>
    <n v="1.0900000000000001"/>
    <n v="858"/>
    <s v="Cardio"/>
    <n v="22.6"/>
    <n v="3.3"/>
    <n v="3"/>
    <n v="2"/>
    <n v="16.97"/>
    <x v="2"/>
  </r>
  <r>
    <n v="816"/>
    <x v="7"/>
    <n v="39"/>
    <s v="Male"/>
    <n v="127.5"/>
    <n v="1.82"/>
    <n v="180"/>
    <n v="161"/>
    <n v="70"/>
    <n v="1.26"/>
    <n v="1116"/>
    <s v="Strength"/>
    <n v="29.8"/>
    <n v="3"/>
    <n v="3"/>
    <n v="2"/>
    <n v="38.49"/>
    <x v="0"/>
  </r>
  <r>
    <n v="817"/>
    <x v="2"/>
    <n v="43"/>
    <s v="Female"/>
    <n v="68.599999999999994"/>
    <n v="1.52"/>
    <n v="173"/>
    <n v="137"/>
    <n v="68"/>
    <n v="1.42"/>
    <n v="875"/>
    <s v="Yoga"/>
    <n v="28.1"/>
    <n v="2.6"/>
    <n v="4"/>
    <n v="2"/>
    <n v="29.69"/>
    <x v="3"/>
  </r>
  <r>
    <n v="818"/>
    <x v="2"/>
    <n v="42"/>
    <s v="Female"/>
    <n v="56.7"/>
    <n v="1.53"/>
    <n v="192"/>
    <n v="149"/>
    <n v="74"/>
    <n v="1.07"/>
    <n v="717"/>
    <s v="Strength"/>
    <n v="27.4"/>
    <n v="1.9"/>
    <n v="3"/>
    <n v="1"/>
    <n v="24.22"/>
    <x v="1"/>
  </r>
  <r>
    <n v="819"/>
    <x v="8"/>
    <n v="34"/>
    <s v="Female"/>
    <n v="64.5"/>
    <n v="1.78"/>
    <n v="169"/>
    <n v="144"/>
    <n v="64"/>
    <n v="1.33"/>
    <n v="958"/>
    <s v="Yoga"/>
    <n v="27.8"/>
    <n v="1.8"/>
    <n v="4"/>
    <n v="2"/>
    <n v="20.36"/>
    <x v="1"/>
  </r>
  <r>
    <n v="820"/>
    <x v="5"/>
    <n v="30"/>
    <s v="Female"/>
    <n v="61.6"/>
    <n v="1.52"/>
    <n v="178"/>
    <n v="138"/>
    <n v="71"/>
    <n v="1.78"/>
    <n v="1228"/>
    <s v="Cardio"/>
    <n v="19.5"/>
    <n v="2.7"/>
    <n v="4"/>
    <n v="3"/>
    <n v="26.66"/>
    <x v="3"/>
  </r>
  <r>
    <n v="821"/>
    <x v="4"/>
    <n v="37"/>
    <s v="Male"/>
    <n v="75.099999999999994"/>
    <n v="1.82"/>
    <n v="189"/>
    <n v="127"/>
    <n v="60"/>
    <n v="1.23"/>
    <n v="859"/>
    <s v="Yoga"/>
    <n v="26.4"/>
    <n v="3.2"/>
    <n v="4"/>
    <n v="2"/>
    <n v="22.67"/>
    <x v="1"/>
  </r>
  <r>
    <n v="822"/>
    <x v="9"/>
    <n v="42"/>
    <s v="Male"/>
    <n v="79.3"/>
    <n v="1.93"/>
    <n v="181"/>
    <n v="147"/>
    <n v="50"/>
    <n v="1.22"/>
    <n v="888"/>
    <s v="Cardio"/>
    <n v="27.3"/>
    <n v="3.3"/>
    <n v="2"/>
    <n v="1"/>
    <n v="21.29"/>
    <x v="1"/>
  </r>
  <r>
    <n v="823"/>
    <x v="3"/>
    <n v="21"/>
    <s v="Female"/>
    <n v="72.599999999999994"/>
    <n v="1.68"/>
    <n v="162"/>
    <n v="127"/>
    <n v="70"/>
    <n v="1.19"/>
    <n v="756"/>
    <s v="Cardio"/>
    <n v="34.200000000000003"/>
    <n v="1.8"/>
    <n v="3"/>
    <n v="2"/>
    <n v="25.72"/>
    <x v="3"/>
  </r>
  <r>
    <n v="824"/>
    <x v="6"/>
    <n v="27"/>
    <s v="Male"/>
    <n v="76.7"/>
    <n v="1.7"/>
    <n v="196"/>
    <n v="150"/>
    <n v="56"/>
    <n v="0.96"/>
    <n v="792"/>
    <s v="HIIT"/>
    <n v="29.1"/>
    <n v="2.1"/>
    <n v="3"/>
    <n v="1"/>
    <n v="26.54"/>
    <x v="3"/>
  </r>
  <r>
    <n v="825"/>
    <x v="1"/>
    <n v="20"/>
    <s v="Female"/>
    <n v="44.2"/>
    <n v="1.61"/>
    <n v="177"/>
    <n v="122"/>
    <n v="69"/>
    <n v="1.08"/>
    <n v="659"/>
    <s v="HIIT"/>
    <n v="32.4"/>
    <n v="2.5"/>
    <n v="2"/>
    <n v="1"/>
    <n v="17.05"/>
    <x v="2"/>
  </r>
  <r>
    <n v="826"/>
    <x v="4"/>
    <n v="58"/>
    <s v="Female"/>
    <n v="56.5"/>
    <n v="1.7"/>
    <n v="170"/>
    <n v="122"/>
    <n v="57"/>
    <n v="0.74"/>
    <n v="406"/>
    <s v="Yoga"/>
    <n v="27"/>
    <n v="2.7"/>
    <n v="2"/>
    <n v="1"/>
    <n v="19.55"/>
    <x v="1"/>
  </r>
  <r>
    <n v="827"/>
    <x v="7"/>
    <n v="35"/>
    <s v="Male"/>
    <n v="100.9"/>
    <n v="1.63"/>
    <n v="161"/>
    <n v="163"/>
    <n v="59"/>
    <n v="1.1000000000000001"/>
    <n v="986"/>
    <s v="Cardio"/>
    <n v="28.4"/>
    <n v="3.1"/>
    <n v="2"/>
    <n v="1"/>
    <n v="37.979999999999997"/>
    <x v="0"/>
  </r>
  <r>
    <n v="828"/>
    <x v="2"/>
    <n v="53"/>
    <s v="Female"/>
    <n v="55.8"/>
    <n v="1.55"/>
    <n v="171"/>
    <n v="141"/>
    <n v="54"/>
    <n v="1.1200000000000001"/>
    <n v="711"/>
    <s v="Strength"/>
    <n v="27"/>
    <n v="1.8"/>
    <n v="4"/>
    <n v="2"/>
    <n v="23.23"/>
    <x v="1"/>
  </r>
  <r>
    <n v="829"/>
    <x v="6"/>
    <n v="39"/>
    <s v="Male"/>
    <n v="58.3"/>
    <n v="1.93"/>
    <n v="165"/>
    <n v="136"/>
    <n v="58"/>
    <n v="1.35"/>
    <n v="1010"/>
    <s v="Cardio"/>
    <n v="27.4"/>
    <n v="3.7"/>
    <n v="4"/>
    <n v="2"/>
    <n v="15.65"/>
    <x v="2"/>
  </r>
  <r>
    <n v="830"/>
    <x v="3"/>
    <n v="51"/>
    <s v="Male"/>
    <n v="48.6"/>
    <n v="1.77"/>
    <n v="199"/>
    <n v="155"/>
    <n v="74"/>
    <n v="1.47"/>
    <n v="1128"/>
    <s v="Strength"/>
    <n v="26.9"/>
    <n v="3.5"/>
    <n v="2"/>
    <n v="1"/>
    <n v="15.51"/>
    <x v="2"/>
  </r>
  <r>
    <n v="831"/>
    <x v="9"/>
    <n v="25"/>
    <s v="Male"/>
    <n v="81.7"/>
    <n v="1.95"/>
    <n v="188"/>
    <n v="136"/>
    <n v="74"/>
    <n v="1.94"/>
    <n v="1451"/>
    <s v="Yoga"/>
    <n v="13.8"/>
    <n v="3.5"/>
    <n v="4"/>
    <n v="3"/>
    <n v="21.49"/>
    <x v="1"/>
  </r>
  <r>
    <n v="832"/>
    <x v="8"/>
    <n v="57"/>
    <s v="Male"/>
    <n v="85.6"/>
    <n v="1.69"/>
    <n v="189"/>
    <n v="133"/>
    <n v="50"/>
    <n v="1.76"/>
    <n v="1159"/>
    <s v="Yoga"/>
    <n v="12.7"/>
    <n v="3.5"/>
    <n v="5"/>
    <n v="3"/>
    <n v="29.97"/>
    <x v="3"/>
  </r>
  <r>
    <n v="833"/>
    <x v="3"/>
    <n v="36"/>
    <s v="Female"/>
    <n v="60"/>
    <n v="1.72"/>
    <n v="161"/>
    <n v="128"/>
    <n v="51"/>
    <n v="1.63"/>
    <n v="1043"/>
    <s v="Strength"/>
    <n v="18.2"/>
    <n v="2.7"/>
    <n v="5"/>
    <n v="3"/>
    <n v="20.28"/>
    <x v="1"/>
  </r>
  <r>
    <n v="834"/>
    <x v="6"/>
    <n v="59"/>
    <s v="Male"/>
    <n v="126.4"/>
    <n v="1.69"/>
    <n v="168"/>
    <n v="149"/>
    <n v="68"/>
    <n v="1.24"/>
    <n v="915"/>
    <s v="Strength"/>
    <n v="29.5"/>
    <n v="2.9"/>
    <n v="3"/>
    <n v="1"/>
    <n v="44.26"/>
    <x v="0"/>
  </r>
  <r>
    <n v="835"/>
    <x v="3"/>
    <n v="58"/>
    <s v="Female"/>
    <n v="75.400000000000006"/>
    <n v="1.78"/>
    <n v="161"/>
    <n v="140"/>
    <n v="63"/>
    <n v="1.05"/>
    <n v="662"/>
    <s v="Cardio"/>
    <n v="26"/>
    <n v="2.5"/>
    <n v="4"/>
    <n v="2"/>
    <n v="23.8"/>
    <x v="1"/>
  </r>
  <r>
    <n v="836"/>
    <x v="6"/>
    <n v="54"/>
    <s v="Female"/>
    <n v="64.2"/>
    <n v="1.69"/>
    <n v="188"/>
    <n v="131"/>
    <n v="69"/>
    <n v="1.69"/>
    <n v="996"/>
    <s v="Yoga"/>
    <n v="16.5"/>
    <n v="2.7"/>
    <n v="4"/>
    <n v="3"/>
    <n v="22.48"/>
    <x v="1"/>
  </r>
  <r>
    <n v="837"/>
    <x v="6"/>
    <n v="23"/>
    <s v="Female"/>
    <n v="65.2"/>
    <n v="1.62"/>
    <n v="192"/>
    <n v="156"/>
    <n v="59"/>
    <n v="1.37"/>
    <n v="1069"/>
    <s v="Cardio"/>
    <n v="31.1"/>
    <n v="2.5"/>
    <n v="3"/>
    <n v="2"/>
    <n v="24.84"/>
    <x v="1"/>
  </r>
  <r>
    <n v="838"/>
    <x v="0"/>
    <n v="43"/>
    <s v="Female"/>
    <n v="70.099999999999994"/>
    <n v="1.66"/>
    <n v="169"/>
    <n v="151"/>
    <n v="58"/>
    <n v="0.99"/>
    <n v="673"/>
    <s v="Strength"/>
    <n v="34.6"/>
    <n v="2.6"/>
    <n v="2"/>
    <n v="1"/>
    <n v="25.44"/>
    <x v="3"/>
  </r>
  <r>
    <n v="839"/>
    <x v="1"/>
    <n v="51"/>
    <s v="Male"/>
    <n v="102.6"/>
    <n v="1.77"/>
    <n v="193"/>
    <n v="130"/>
    <n v="59"/>
    <n v="1.21"/>
    <n v="779"/>
    <s v="HIIT"/>
    <n v="21"/>
    <n v="3.4"/>
    <n v="2"/>
    <n v="1"/>
    <n v="32.75"/>
    <x v="0"/>
  </r>
  <r>
    <n v="840"/>
    <x v="2"/>
    <n v="23"/>
    <s v="Male"/>
    <n v="107.2"/>
    <n v="1.93"/>
    <n v="167"/>
    <n v="139"/>
    <n v="55"/>
    <n v="1.1499999999999999"/>
    <n v="879"/>
    <s v="HIIT"/>
    <n v="20.2"/>
    <n v="3.1"/>
    <n v="4"/>
    <n v="2"/>
    <n v="28.78"/>
    <x v="3"/>
  </r>
  <r>
    <n v="841"/>
    <x v="0"/>
    <n v="54"/>
    <s v="Female"/>
    <n v="56.5"/>
    <n v="1.75"/>
    <n v="196"/>
    <n v="154"/>
    <n v="66"/>
    <n v="1.76"/>
    <n v="1220"/>
    <s v="HIIT"/>
    <n v="15.3"/>
    <n v="2.7"/>
    <n v="5"/>
    <n v="3"/>
    <n v="18.45"/>
    <x v="2"/>
  </r>
  <r>
    <n v="842"/>
    <x v="9"/>
    <n v="50"/>
    <s v="Female"/>
    <n v="61.6"/>
    <n v="1.75"/>
    <n v="192"/>
    <n v="166"/>
    <n v="74"/>
    <n v="1.22"/>
    <n v="911"/>
    <s v="Strength"/>
    <n v="25.5"/>
    <n v="2.2000000000000002"/>
    <n v="4"/>
    <n v="2"/>
    <n v="20.11"/>
    <x v="1"/>
  </r>
  <r>
    <n v="843"/>
    <x v="0"/>
    <n v="39"/>
    <s v="Male"/>
    <n v="81.7"/>
    <n v="1.75"/>
    <n v="165"/>
    <n v="165"/>
    <n v="55"/>
    <n v="1.32"/>
    <n v="1198"/>
    <s v="Cardio"/>
    <n v="29.1"/>
    <n v="2.8"/>
    <n v="4"/>
    <n v="2"/>
    <n v="26.68"/>
    <x v="3"/>
  </r>
  <r>
    <n v="844"/>
    <x v="5"/>
    <n v="38"/>
    <s v="Female"/>
    <n v="76.599999999999994"/>
    <n v="1.58"/>
    <n v="199"/>
    <n v="130"/>
    <n v="53"/>
    <n v="0.74"/>
    <n v="481"/>
    <s v="Yoga"/>
    <n v="32.200000000000003"/>
    <n v="2.2999999999999998"/>
    <n v="2"/>
    <n v="1"/>
    <n v="30.68"/>
    <x v="0"/>
  </r>
  <r>
    <n v="845"/>
    <x v="5"/>
    <n v="23"/>
    <s v="Male"/>
    <n v="116.8"/>
    <n v="1.79"/>
    <n v="178"/>
    <n v="127"/>
    <n v="69"/>
    <n v="1"/>
    <n v="698"/>
    <s v="Strength"/>
    <n v="26.8"/>
    <n v="3.4"/>
    <n v="4"/>
    <n v="2"/>
    <n v="36.450000000000003"/>
    <x v="0"/>
  </r>
  <r>
    <n v="846"/>
    <x v="2"/>
    <n v="23"/>
    <s v="Female"/>
    <n v="60.1"/>
    <n v="1.59"/>
    <n v="191"/>
    <n v="123"/>
    <n v="52"/>
    <n v="1.8"/>
    <n v="1107"/>
    <s v="HIIT"/>
    <n v="17.600000000000001"/>
    <n v="2.7"/>
    <n v="4"/>
    <n v="3"/>
    <n v="23.77"/>
    <x v="1"/>
  </r>
  <r>
    <n v="847"/>
    <x v="3"/>
    <n v="21"/>
    <s v="Male"/>
    <n v="93.7"/>
    <n v="1.73"/>
    <n v="186"/>
    <n v="146"/>
    <n v="72"/>
    <n v="1"/>
    <n v="803"/>
    <s v="Cardio"/>
    <n v="27.8"/>
    <n v="3.6"/>
    <n v="2"/>
    <n v="1"/>
    <n v="31.31"/>
    <x v="0"/>
  </r>
  <r>
    <n v="848"/>
    <x v="1"/>
    <n v="47"/>
    <s v="Female"/>
    <n v="41.6"/>
    <n v="1.58"/>
    <n v="160"/>
    <n v="163"/>
    <n v="68"/>
    <n v="1.03"/>
    <n v="756"/>
    <s v="Yoga"/>
    <n v="26.6"/>
    <n v="2.1"/>
    <n v="4"/>
    <n v="2"/>
    <n v="16.66"/>
    <x v="2"/>
  </r>
  <r>
    <n v="849"/>
    <x v="2"/>
    <n v="28"/>
    <s v="Female"/>
    <n v="55.1"/>
    <n v="1.79"/>
    <n v="192"/>
    <n v="159"/>
    <n v="67"/>
    <n v="1.99"/>
    <n v="1582"/>
    <s v="Yoga"/>
    <n v="17"/>
    <n v="2.7"/>
    <n v="5"/>
    <n v="3"/>
    <n v="17.2"/>
    <x v="2"/>
  </r>
  <r>
    <n v="850"/>
    <x v="6"/>
    <n v="47"/>
    <s v="Male"/>
    <n v="127.1"/>
    <n v="1.76"/>
    <n v="199"/>
    <n v="157"/>
    <n v="73"/>
    <n v="0.71"/>
    <n v="552"/>
    <s v="Strength"/>
    <n v="24.9"/>
    <n v="3"/>
    <n v="2"/>
    <n v="1"/>
    <n v="41.03"/>
    <x v="0"/>
  </r>
  <r>
    <n v="851"/>
    <x v="7"/>
    <n v="48"/>
    <s v="Female"/>
    <n v="69.099999999999994"/>
    <n v="1.6"/>
    <n v="191"/>
    <n v="166"/>
    <n v="53"/>
    <n v="1.34"/>
    <n v="1001"/>
    <s v="Strength"/>
    <n v="26.1"/>
    <n v="2"/>
    <n v="4"/>
    <n v="2"/>
    <n v="26.99"/>
    <x v="3"/>
  </r>
  <r>
    <n v="852"/>
    <x v="1"/>
    <n v="41"/>
    <s v="Female"/>
    <n v="66.8"/>
    <n v="1.74"/>
    <n v="164"/>
    <n v="149"/>
    <n v="57"/>
    <n v="1.34"/>
    <n v="898"/>
    <s v="Yoga"/>
    <n v="29.2"/>
    <n v="2.2999999999999998"/>
    <n v="3"/>
    <n v="1"/>
    <n v="22.06"/>
    <x v="1"/>
  </r>
  <r>
    <n v="853"/>
    <x v="1"/>
    <n v="26"/>
    <s v="Male"/>
    <n v="125.5"/>
    <n v="1.76"/>
    <n v="176"/>
    <n v="163"/>
    <n v="66"/>
    <n v="1.1499999999999999"/>
    <n v="1031"/>
    <s v="Yoga"/>
    <n v="23.2"/>
    <n v="3.1"/>
    <n v="4"/>
    <n v="2"/>
    <n v="40.520000000000003"/>
    <x v="0"/>
  </r>
  <r>
    <n v="854"/>
    <x v="6"/>
    <n v="20"/>
    <s v="Female"/>
    <n v="71.3"/>
    <n v="1.58"/>
    <n v="167"/>
    <n v="167"/>
    <n v="54"/>
    <n v="1.07"/>
    <n v="893"/>
    <s v="HIIT"/>
    <n v="25.4"/>
    <n v="1.5"/>
    <n v="3"/>
    <n v="2"/>
    <n v="28.56"/>
    <x v="3"/>
  </r>
  <r>
    <n v="855"/>
    <x v="6"/>
    <n v="48"/>
    <s v="Male"/>
    <n v="129.19999999999999"/>
    <n v="1.61"/>
    <n v="193"/>
    <n v="167"/>
    <n v="62"/>
    <n v="1.06"/>
    <n v="876"/>
    <s v="Yoga"/>
    <n v="21.4"/>
    <n v="2.9"/>
    <n v="4"/>
    <n v="2"/>
    <n v="49.84"/>
    <x v="0"/>
  </r>
  <r>
    <n v="856"/>
    <x v="8"/>
    <n v="57"/>
    <s v="Male"/>
    <n v="96.3"/>
    <n v="1.86"/>
    <n v="168"/>
    <n v="146"/>
    <n v="74"/>
    <n v="1.1000000000000001"/>
    <n v="795"/>
    <s v="Strength"/>
    <n v="27.6"/>
    <n v="2.2000000000000002"/>
    <n v="3"/>
    <n v="2"/>
    <n v="27.84"/>
    <x v="3"/>
  </r>
  <r>
    <n v="857"/>
    <x v="2"/>
    <n v="54"/>
    <s v="Female"/>
    <n v="67.5"/>
    <n v="1.54"/>
    <n v="182"/>
    <n v="140"/>
    <n v="50"/>
    <n v="0.72"/>
    <n v="454"/>
    <s v="Cardio"/>
    <n v="25.2"/>
    <n v="1.5"/>
    <n v="3"/>
    <n v="1"/>
    <n v="28.46"/>
    <x v="3"/>
  </r>
  <r>
    <n v="858"/>
    <x v="6"/>
    <n v="53"/>
    <s v="Female"/>
    <n v="64.400000000000006"/>
    <n v="1.55"/>
    <n v="194"/>
    <n v="139"/>
    <n v="62"/>
    <n v="1.77"/>
    <n v="1107"/>
    <s v="HIIT"/>
    <n v="19.7"/>
    <n v="2.7"/>
    <n v="4"/>
    <n v="3"/>
    <n v="26.81"/>
    <x v="3"/>
  </r>
  <r>
    <n v="859"/>
    <x v="5"/>
    <n v="41"/>
    <s v="Female"/>
    <n v="64.900000000000006"/>
    <n v="1.57"/>
    <n v="166"/>
    <n v="123"/>
    <n v="53"/>
    <n v="1.04"/>
    <n v="576"/>
    <s v="HIIT"/>
    <n v="25.9"/>
    <n v="2.4"/>
    <n v="4"/>
    <n v="2"/>
    <n v="26.33"/>
    <x v="3"/>
  </r>
  <r>
    <n v="860"/>
    <x v="9"/>
    <n v="48"/>
    <s v="Female"/>
    <n v="52.3"/>
    <n v="1.66"/>
    <n v="174"/>
    <n v="130"/>
    <n v="71"/>
    <n v="0.74"/>
    <n v="433"/>
    <s v="Yoga"/>
    <n v="33"/>
    <n v="1.8"/>
    <n v="3"/>
    <n v="1"/>
    <n v="18.98"/>
    <x v="1"/>
  </r>
  <r>
    <n v="861"/>
    <x v="7"/>
    <n v="23"/>
    <s v="Female"/>
    <n v="56.7"/>
    <n v="1.55"/>
    <n v="179"/>
    <n v="132"/>
    <n v="73"/>
    <n v="1.38"/>
    <n v="911"/>
    <s v="Cardio"/>
    <n v="34"/>
    <n v="1.9"/>
    <n v="4"/>
    <n v="2"/>
    <n v="23.6"/>
    <x v="1"/>
  </r>
  <r>
    <n v="862"/>
    <x v="2"/>
    <n v="19"/>
    <s v="Female"/>
    <n v="46.8"/>
    <n v="1.63"/>
    <n v="184"/>
    <n v="128"/>
    <n v="63"/>
    <n v="1.35"/>
    <n v="864"/>
    <s v="HIIT"/>
    <n v="34.4"/>
    <n v="1.6"/>
    <n v="4"/>
    <n v="2"/>
    <n v="17.61"/>
    <x v="2"/>
  </r>
  <r>
    <n v="863"/>
    <x v="4"/>
    <n v="37"/>
    <s v="Female"/>
    <n v="70.3"/>
    <n v="1.77"/>
    <n v="162"/>
    <n v="123"/>
    <n v="52"/>
    <n v="1.01"/>
    <n v="621"/>
    <s v="Strength"/>
    <n v="33.700000000000003"/>
    <n v="1.7"/>
    <n v="2"/>
    <n v="1"/>
    <n v="22.44"/>
    <x v="1"/>
  </r>
  <r>
    <n v="864"/>
    <x v="5"/>
    <n v="45"/>
    <s v="Male"/>
    <n v="80.8"/>
    <n v="1.76"/>
    <n v="183"/>
    <n v="131"/>
    <n v="54"/>
    <n v="1.7"/>
    <n v="1102"/>
    <s v="Yoga"/>
    <n v="11.4"/>
    <n v="3.5"/>
    <n v="4"/>
    <n v="3"/>
    <n v="26.08"/>
    <x v="3"/>
  </r>
  <r>
    <n v="865"/>
    <x v="3"/>
    <n v="28"/>
    <s v="Female"/>
    <n v="56"/>
    <n v="1.5"/>
    <n v="193"/>
    <n v="128"/>
    <n v="56"/>
    <n v="1.94"/>
    <n v="1242"/>
    <s v="Strength"/>
    <n v="16.7"/>
    <n v="2.7"/>
    <n v="5"/>
    <n v="3"/>
    <n v="24.89"/>
    <x v="1"/>
  </r>
  <r>
    <n v="866"/>
    <x v="6"/>
    <n v="21"/>
    <s v="Male"/>
    <n v="101.2"/>
    <n v="1.84"/>
    <n v="181"/>
    <n v="132"/>
    <n v="50"/>
    <n v="1.3"/>
    <n v="944"/>
    <s v="Yoga"/>
    <n v="24.3"/>
    <n v="3.3"/>
    <n v="2"/>
    <n v="1"/>
    <n v="29.89"/>
    <x v="3"/>
  </r>
  <r>
    <n v="867"/>
    <x v="4"/>
    <n v="32"/>
    <s v="Female"/>
    <n v="56.6"/>
    <n v="1.57"/>
    <n v="170"/>
    <n v="167"/>
    <n v="72"/>
    <n v="1.65"/>
    <n v="1378"/>
    <s v="HIIT"/>
    <n v="15.7"/>
    <n v="2.7"/>
    <n v="4"/>
    <n v="3"/>
    <n v="22.96"/>
    <x v="1"/>
  </r>
  <r>
    <n v="868"/>
    <x v="6"/>
    <n v="23"/>
    <s v="Female"/>
    <n v="40.9"/>
    <n v="1.75"/>
    <n v="167"/>
    <n v="145"/>
    <n v="61"/>
    <n v="0.82"/>
    <n v="594"/>
    <s v="Yoga"/>
    <n v="25.2"/>
    <n v="2.1"/>
    <n v="3"/>
    <n v="1"/>
    <n v="13.36"/>
    <x v="2"/>
  </r>
  <r>
    <n v="869"/>
    <x v="1"/>
    <n v="47"/>
    <s v="Male"/>
    <n v="127.8"/>
    <n v="1.65"/>
    <n v="198"/>
    <n v="157"/>
    <n v="60"/>
    <n v="0.77"/>
    <n v="598"/>
    <s v="Cardio"/>
    <n v="28.7"/>
    <n v="3.5"/>
    <n v="2"/>
    <n v="1"/>
    <n v="46.94"/>
    <x v="0"/>
  </r>
  <r>
    <n v="870"/>
    <x v="5"/>
    <n v="55"/>
    <s v="Female"/>
    <n v="49.3"/>
    <n v="1.76"/>
    <n v="194"/>
    <n v="161"/>
    <n v="73"/>
    <n v="1.28"/>
    <n v="927"/>
    <s v="Strength"/>
    <n v="30.5"/>
    <n v="2"/>
    <n v="2"/>
    <n v="1"/>
    <n v="15.92"/>
    <x v="2"/>
  </r>
  <r>
    <n v="871"/>
    <x v="1"/>
    <n v="19"/>
    <s v="Female"/>
    <n v="64.3"/>
    <n v="1.63"/>
    <n v="197"/>
    <n v="132"/>
    <n v="57"/>
    <n v="1.87"/>
    <n v="1234"/>
    <s v="Cardio"/>
    <n v="18"/>
    <n v="2.7"/>
    <n v="5"/>
    <n v="3"/>
    <n v="24.2"/>
    <x v="1"/>
  </r>
  <r>
    <n v="872"/>
    <x v="8"/>
    <n v="32"/>
    <s v="Male"/>
    <n v="49.3"/>
    <n v="1.62"/>
    <n v="167"/>
    <n v="158"/>
    <n v="74"/>
    <n v="1.18"/>
    <n v="1025"/>
    <s v="Strength"/>
    <n v="29.3"/>
    <n v="2.5"/>
    <n v="3"/>
    <n v="2"/>
    <n v="18.79"/>
    <x v="1"/>
  </r>
  <r>
    <n v="873"/>
    <x v="1"/>
    <n v="28"/>
    <s v="Female"/>
    <n v="63"/>
    <n v="1.62"/>
    <n v="196"/>
    <n v="147"/>
    <n v="55"/>
    <n v="0.68"/>
    <n v="500"/>
    <s v="Strength"/>
    <n v="31.7"/>
    <n v="1.9"/>
    <n v="2"/>
    <n v="1"/>
    <n v="24.01"/>
    <x v="1"/>
  </r>
  <r>
    <n v="874"/>
    <x v="8"/>
    <n v="25"/>
    <s v="Female"/>
    <n v="41.1"/>
    <n v="1.67"/>
    <n v="186"/>
    <n v="138"/>
    <n v="71"/>
    <n v="1.03"/>
    <n v="711"/>
    <s v="Yoga"/>
    <n v="31.9"/>
    <n v="2.4"/>
    <n v="3"/>
    <n v="2"/>
    <n v="14.74"/>
    <x v="2"/>
  </r>
  <r>
    <n v="875"/>
    <x v="8"/>
    <n v="43"/>
    <s v="Female"/>
    <n v="40.5"/>
    <n v="1.74"/>
    <n v="187"/>
    <n v="143"/>
    <n v="51"/>
    <n v="1.5"/>
    <n v="965"/>
    <s v="HIIT"/>
    <n v="32.9"/>
    <n v="2.2000000000000002"/>
    <n v="3"/>
    <n v="2"/>
    <n v="13.38"/>
    <x v="2"/>
  </r>
  <r>
    <n v="876"/>
    <x v="4"/>
    <n v="22"/>
    <s v="Male"/>
    <n v="71"/>
    <n v="1.62"/>
    <n v="199"/>
    <n v="138"/>
    <n v="68"/>
    <n v="0.91"/>
    <n v="691"/>
    <s v="HIIT"/>
    <n v="21.2"/>
    <n v="3.5"/>
    <n v="2"/>
    <n v="1"/>
    <n v="27.05"/>
    <x v="3"/>
  </r>
  <r>
    <n v="877"/>
    <x v="6"/>
    <n v="23"/>
    <s v="Female"/>
    <n v="60.9"/>
    <n v="1.62"/>
    <n v="193"/>
    <n v="168"/>
    <n v="69"/>
    <n v="1.59"/>
    <n v="1336"/>
    <s v="Cardio"/>
    <n v="16.8"/>
    <n v="2.7"/>
    <n v="5"/>
    <n v="3"/>
    <n v="23.21"/>
    <x v="1"/>
  </r>
  <r>
    <n v="878"/>
    <x v="3"/>
    <n v="43"/>
    <s v="Female"/>
    <n v="64.7"/>
    <n v="1.66"/>
    <n v="191"/>
    <n v="132"/>
    <n v="69"/>
    <n v="1.88"/>
    <n v="1117"/>
    <s v="Yoga"/>
    <n v="19.8"/>
    <n v="2.7"/>
    <n v="4"/>
    <n v="3"/>
    <n v="23.48"/>
    <x v="1"/>
  </r>
  <r>
    <n v="879"/>
    <x v="1"/>
    <n v="21"/>
    <s v="Female"/>
    <n v="51"/>
    <n v="1.71"/>
    <n v="174"/>
    <n v="132"/>
    <n v="73"/>
    <n v="1.07"/>
    <n v="706"/>
    <s v="HIIT"/>
    <n v="34.200000000000003"/>
    <n v="2.2000000000000002"/>
    <n v="3"/>
    <n v="2"/>
    <n v="17.440000000000001"/>
    <x v="2"/>
  </r>
  <r>
    <n v="880"/>
    <x v="5"/>
    <n v="36"/>
    <s v="Female"/>
    <n v="57.7"/>
    <n v="1.77"/>
    <n v="176"/>
    <n v="147"/>
    <n v="63"/>
    <n v="1.65"/>
    <n v="1213"/>
    <s v="Strength"/>
    <n v="19.399999999999999"/>
    <n v="2.7"/>
    <n v="4"/>
    <n v="3"/>
    <n v="18.420000000000002"/>
    <x v="2"/>
  </r>
  <r>
    <n v="881"/>
    <x v="8"/>
    <n v="37"/>
    <s v="Male"/>
    <n v="76.900000000000006"/>
    <n v="1.82"/>
    <n v="192"/>
    <n v="121"/>
    <n v="50"/>
    <n v="1.49"/>
    <n v="992"/>
    <s v="Strength"/>
    <n v="24.5"/>
    <n v="2.8"/>
    <n v="4"/>
    <n v="2"/>
    <n v="23.22"/>
    <x v="1"/>
  </r>
  <r>
    <n v="882"/>
    <x v="6"/>
    <n v="50"/>
    <s v="Male"/>
    <n v="80.5"/>
    <n v="1.77"/>
    <n v="175"/>
    <n v="129"/>
    <n v="59"/>
    <n v="1.85"/>
    <n v="1181"/>
    <s v="Yoga"/>
    <n v="14.3"/>
    <n v="3.5"/>
    <n v="4"/>
    <n v="3"/>
    <n v="25.7"/>
    <x v="3"/>
  </r>
  <r>
    <n v="883"/>
    <x v="7"/>
    <n v="37"/>
    <s v="Female"/>
    <n v="73.3"/>
    <n v="1.74"/>
    <n v="188"/>
    <n v="141"/>
    <n v="65"/>
    <n v="1.03"/>
    <n v="726"/>
    <s v="Cardio"/>
    <n v="25.5"/>
    <n v="2.4"/>
    <n v="3"/>
    <n v="2"/>
    <n v="24.21"/>
    <x v="1"/>
  </r>
  <r>
    <n v="884"/>
    <x v="2"/>
    <n v="29"/>
    <s v="Female"/>
    <n v="49"/>
    <n v="1.57"/>
    <n v="168"/>
    <n v="132"/>
    <n v="53"/>
    <n v="1.33"/>
    <n v="878"/>
    <s v="Yoga"/>
    <n v="26.5"/>
    <n v="2.6"/>
    <n v="3"/>
    <n v="2"/>
    <n v="19.88"/>
    <x v="1"/>
  </r>
  <r>
    <n v="885"/>
    <x v="4"/>
    <n v="18"/>
    <s v="Male"/>
    <n v="114.5"/>
    <n v="1.97"/>
    <n v="192"/>
    <n v="128"/>
    <n v="60"/>
    <n v="1.03"/>
    <n v="725"/>
    <s v="Cardio"/>
    <n v="24.1"/>
    <n v="2.6"/>
    <n v="3"/>
    <n v="1"/>
    <n v="29.5"/>
    <x v="3"/>
  </r>
  <r>
    <n v="886"/>
    <x v="3"/>
    <n v="43"/>
    <s v="Male"/>
    <n v="81"/>
    <n v="1.78"/>
    <n v="188"/>
    <n v="152"/>
    <n v="65"/>
    <n v="1.58"/>
    <n v="1189"/>
    <s v="Yoga"/>
    <n v="12.4"/>
    <n v="3.5"/>
    <n v="5"/>
    <n v="3"/>
    <n v="25.56"/>
    <x v="3"/>
  </r>
  <r>
    <n v="887"/>
    <x v="0"/>
    <n v="31"/>
    <s v="Female"/>
    <n v="53.5"/>
    <n v="1.76"/>
    <n v="172"/>
    <n v="133"/>
    <n v="69"/>
    <n v="1.22"/>
    <n v="811"/>
    <s v="Strength"/>
    <n v="27.6"/>
    <n v="1.8"/>
    <n v="4"/>
    <n v="2"/>
    <n v="17.27"/>
    <x v="2"/>
  </r>
  <r>
    <n v="888"/>
    <x v="4"/>
    <n v="55"/>
    <s v="Male"/>
    <n v="52.1"/>
    <n v="1.68"/>
    <n v="180"/>
    <n v="167"/>
    <n v="50"/>
    <n v="0.77"/>
    <n v="637"/>
    <s v="Yoga"/>
    <n v="23.6"/>
    <n v="3"/>
    <n v="3"/>
    <n v="1"/>
    <n v="18.46"/>
    <x v="2"/>
  </r>
  <r>
    <n v="889"/>
    <x v="7"/>
    <n v="54"/>
    <s v="Female"/>
    <n v="70.099999999999994"/>
    <n v="1.52"/>
    <n v="180"/>
    <n v="139"/>
    <n v="65"/>
    <n v="0.76"/>
    <n v="475"/>
    <s v="HIIT"/>
    <n v="26.6"/>
    <n v="2.1"/>
    <n v="2"/>
    <n v="1"/>
    <n v="30.34"/>
    <x v="0"/>
  </r>
  <r>
    <n v="890"/>
    <x v="2"/>
    <n v="28"/>
    <s v="Male"/>
    <n v="86.9"/>
    <n v="1.78"/>
    <n v="164"/>
    <n v="134"/>
    <n v="68"/>
    <n v="1.29"/>
    <n v="951"/>
    <s v="HIIT"/>
    <n v="24.9"/>
    <n v="3.7"/>
    <n v="4"/>
    <n v="2"/>
    <n v="27.43"/>
    <x v="3"/>
  </r>
  <r>
    <n v="891"/>
    <x v="7"/>
    <n v="53"/>
    <s v="Male"/>
    <n v="73.400000000000006"/>
    <n v="1.76"/>
    <n v="169"/>
    <n v="151"/>
    <n v="70"/>
    <n v="1.0900000000000001"/>
    <n v="815"/>
    <s v="Yoga"/>
    <n v="27.9"/>
    <n v="2.8"/>
    <n v="3"/>
    <n v="2"/>
    <n v="23.7"/>
    <x v="1"/>
  </r>
  <r>
    <n v="892"/>
    <x v="1"/>
    <n v="30"/>
    <s v="Male"/>
    <n v="90"/>
    <n v="1.66"/>
    <n v="165"/>
    <n v="152"/>
    <n v="71"/>
    <n v="1.32"/>
    <n v="1104"/>
    <s v="Cardio"/>
    <n v="26.6"/>
    <n v="2.1"/>
    <n v="4"/>
    <n v="2"/>
    <n v="32.659999999999997"/>
    <x v="0"/>
  </r>
  <r>
    <n v="893"/>
    <x v="8"/>
    <n v="20"/>
    <s v="Male"/>
    <n v="85.7"/>
    <n v="1.92"/>
    <n v="172"/>
    <n v="136"/>
    <n v="58"/>
    <n v="1.72"/>
    <n v="1287"/>
    <s v="Cardio"/>
    <n v="10.5"/>
    <n v="3.5"/>
    <n v="5"/>
    <n v="3"/>
    <n v="23.25"/>
    <x v="1"/>
  </r>
  <r>
    <n v="894"/>
    <x v="3"/>
    <n v="50"/>
    <s v="Female"/>
    <n v="70.400000000000006"/>
    <n v="1.55"/>
    <n v="160"/>
    <n v="143"/>
    <n v="58"/>
    <n v="0.73"/>
    <n v="470"/>
    <s v="Strength"/>
    <n v="29.9"/>
    <n v="2.7"/>
    <n v="2"/>
    <n v="1"/>
    <n v="29.3"/>
    <x v="3"/>
  </r>
  <r>
    <n v="895"/>
    <x v="9"/>
    <n v="23"/>
    <s v="Male"/>
    <n v="57.7"/>
    <n v="1.71"/>
    <n v="179"/>
    <n v="149"/>
    <n v="58"/>
    <n v="1.1499999999999999"/>
    <n v="942"/>
    <s v="Strength"/>
    <n v="27"/>
    <n v="3.4"/>
    <n v="3"/>
    <n v="2"/>
    <n v="19.73"/>
    <x v="1"/>
  </r>
  <r>
    <n v="896"/>
    <x v="8"/>
    <n v="27"/>
    <s v="Male"/>
    <n v="75.7"/>
    <n v="1.76"/>
    <n v="167"/>
    <n v="132"/>
    <n v="66"/>
    <n v="0.68"/>
    <n v="494"/>
    <s v="Cardio"/>
    <n v="25.3"/>
    <n v="2.2999999999999998"/>
    <n v="3"/>
    <n v="1"/>
    <n v="24.44"/>
    <x v="1"/>
  </r>
  <r>
    <n v="897"/>
    <x v="9"/>
    <n v="22"/>
    <s v="Female"/>
    <n v="61.8"/>
    <n v="1.52"/>
    <n v="169"/>
    <n v="166"/>
    <n v="61"/>
    <n v="1.83"/>
    <n v="1519"/>
    <s v="Yoga"/>
    <n v="17"/>
    <n v="2.7"/>
    <n v="5"/>
    <n v="3"/>
    <n v="26.75"/>
    <x v="3"/>
  </r>
  <r>
    <n v="898"/>
    <x v="2"/>
    <n v="40"/>
    <s v="Male"/>
    <n v="80.3"/>
    <n v="1.76"/>
    <n v="168"/>
    <n v="167"/>
    <n v="74"/>
    <n v="1.63"/>
    <n v="1497"/>
    <s v="Strength"/>
    <n v="13.1"/>
    <n v="3.5"/>
    <n v="5"/>
    <n v="3"/>
    <n v="25.92"/>
    <x v="3"/>
  </r>
  <r>
    <n v="899"/>
    <x v="6"/>
    <n v="27"/>
    <s v="Male"/>
    <n v="104.3"/>
    <n v="1.68"/>
    <n v="162"/>
    <n v="135"/>
    <n v="62"/>
    <n v="1.28"/>
    <n v="950"/>
    <s v="Cardio"/>
    <n v="29.7"/>
    <n v="3.5"/>
    <n v="3"/>
    <n v="2"/>
    <n v="36.950000000000003"/>
    <x v="0"/>
  </r>
  <r>
    <n v="900"/>
    <x v="0"/>
    <n v="19"/>
    <s v="Female"/>
    <n v="65.7"/>
    <n v="1.58"/>
    <n v="170"/>
    <n v="121"/>
    <n v="57"/>
    <n v="1.46"/>
    <n v="883"/>
    <s v="Cardio"/>
    <n v="25.9"/>
    <n v="1.9"/>
    <n v="3"/>
    <n v="2"/>
    <n v="26.32"/>
    <x v="3"/>
  </r>
  <r>
    <n v="901"/>
    <x v="5"/>
    <n v="30"/>
    <s v="Male"/>
    <n v="120.3"/>
    <n v="1.96"/>
    <n v="171"/>
    <n v="136"/>
    <n v="65"/>
    <n v="0.66"/>
    <n v="494"/>
    <s v="Yoga"/>
    <n v="23.9"/>
    <n v="2.6"/>
    <n v="2"/>
    <n v="1"/>
    <n v="31.32"/>
    <x v="0"/>
  </r>
  <r>
    <n v="902"/>
    <x v="8"/>
    <n v="57"/>
    <s v="Female"/>
    <n v="51.9"/>
    <n v="1.57"/>
    <n v="169"/>
    <n v="151"/>
    <n v="67"/>
    <n v="1.05"/>
    <n v="713"/>
    <s v="HIIT"/>
    <n v="29.1"/>
    <n v="2.6"/>
    <n v="3"/>
    <n v="2"/>
    <n v="21.06"/>
    <x v="1"/>
  </r>
  <r>
    <n v="903"/>
    <x v="3"/>
    <n v="19"/>
    <s v="Female"/>
    <n v="59.1"/>
    <n v="1.57"/>
    <n v="184"/>
    <n v="162"/>
    <n v="50"/>
    <n v="1.65"/>
    <n v="1336"/>
    <s v="Cardio"/>
    <n v="17.899999999999999"/>
    <n v="2.7"/>
    <n v="5"/>
    <n v="3"/>
    <n v="23.98"/>
    <x v="1"/>
  </r>
  <r>
    <n v="904"/>
    <x v="7"/>
    <n v="37"/>
    <s v="Female"/>
    <n v="66.900000000000006"/>
    <n v="1.75"/>
    <n v="184"/>
    <n v="127"/>
    <n v="50"/>
    <n v="1.38"/>
    <n v="876"/>
    <s v="Strength"/>
    <n v="26.5"/>
    <n v="2.1"/>
    <n v="4"/>
    <n v="2"/>
    <n v="21.84"/>
    <x v="1"/>
  </r>
  <r>
    <n v="905"/>
    <x v="3"/>
    <n v="18"/>
    <s v="Female"/>
    <n v="66.900000000000006"/>
    <n v="1.75"/>
    <n v="170"/>
    <n v="122"/>
    <n v="61"/>
    <n v="0.94"/>
    <n v="573"/>
    <s v="Yoga"/>
    <n v="26.8"/>
    <n v="1.7"/>
    <n v="2"/>
    <n v="1"/>
    <n v="21.84"/>
    <x v="1"/>
  </r>
  <r>
    <n v="906"/>
    <x v="2"/>
    <n v="54"/>
    <s v="Male"/>
    <n v="78.7"/>
    <n v="1.66"/>
    <n v="195"/>
    <n v="131"/>
    <n v="55"/>
    <n v="1.42"/>
    <n v="921"/>
    <s v="Yoga"/>
    <n v="22.9"/>
    <n v="2.6"/>
    <n v="3"/>
    <n v="2"/>
    <n v="28.56"/>
    <x v="3"/>
  </r>
  <r>
    <n v="907"/>
    <x v="9"/>
    <n v="26"/>
    <s v="Female"/>
    <n v="62.4"/>
    <n v="1.61"/>
    <n v="198"/>
    <n v="139"/>
    <n v="58"/>
    <n v="1.88"/>
    <n v="1307"/>
    <s v="Yoga"/>
    <n v="19.8"/>
    <n v="2.7"/>
    <n v="4"/>
    <n v="3"/>
    <n v="24.07"/>
    <x v="1"/>
  </r>
  <r>
    <n v="908"/>
    <x v="7"/>
    <n v="34"/>
    <s v="Male"/>
    <n v="102.1"/>
    <n v="1.71"/>
    <n v="185"/>
    <n v="135"/>
    <n v="72"/>
    <n v="0.96"/>
    <n v="713"/>
    <s v="HIIT"/>
    <n v="27.3"/>
    <n v="3.2"/>
    <n v="2"/>
    <n v="1"/>
    <n v="34.92"/>
    <x v="0"/>
  </r>
  <r>
    <n v="909"/>
    <x v="5"/>
    <n v="26"/>
    <s v="Male"/>
    <n v="51.9"/>
    <n v="2"/>
    <n v="173"/>
    <n v="133"/>
    <n v="54"/>
    <n v="0.75"/>
    <n v="549"/>
    <s v="HIIT"/>
    <n v="26.6"/>
    <n v="2.2999999999999998"/>
    <n v="2"/>
    <n v="1"/>
    <n v="12.97"/>
    <x v="2"/>
  </r>
  <r>
    <n v="910"/>
    <x v="5"/>
    <n v="28"/>
    <s v="Male"/>
    <n v="58.3"/>
    <n v="2"/>
    <n v="198"/>
    <n v="135"/>
    <n v="65"/>
    <n v="1.32"/>
    <n v="980"/>
    <s v="Strength"/>
    <n v="28.2"/>
    <n v="3"/>
    <n v="4"/>
    <n v="2"/>
    <n v="14.57"/>
    <x v="2"/>
  </r>
  <r>
    <n v="911"/>
    <x v="8"/>
    <n v="32"/>
    <s v="Male"/>
    <n v="89.8"/>
    <n v="1.92"/>
    <n v="199"/>
    <n v="168"/>
    <n v="67"/>
    <n v="1.93"/>
    <n v="1783"/>
    <s v="Strength"/>
    <n v="10.6"/>
    <n v="3.5"/>
    <n v="4"/>
    <n v="3"/>
    <n v="24.36"/>
    <x v="1"/>
  </r>
  <r>
    <n v="912"/>
    <x v="2"/>
    <n v="41"/>
    <s v="Male"/>
    <n v="101.1"/>
    <n v="1.83"/>
    <n v="160"/>
    <n v="162"/>
    <n v="66"/>
    <n v="0.79"/>
    <n v="634"/>
    <s v="Yoga"/>
    <n v="28.6"/>
    <n v="3.2"/>
    <n v="2"/>
    <n v="1"/>
    <n v="30.19"/>
    <x v="0"/>
  </r>
  <r>
    <n v="913"/>
    <x v="6"/>
    <n v="55"/>
    <s v="Male"/>
    <n v="118.6"/>
    <n v="1.72"/>
    <n v="163"/>
    <n v="168"/>
    <n v="67"/>
    <n v="0.77"/>
    <n v="640"/>
    <s v="Strength"/>
    <n v="25.9"/>
    <n v="2.6"/>
    <n v="3"/>
    <n v="1"/>
    <n v="40.090000000000003"/>
    <x v="0"/>
  </r>
  <r>
    <n v="914"/>
    <x v="2"/>
    <n v="52"/>
    <s v="Male"/>
    <n v="84.8"/>
    <n v="1.85"/>
    <n v="189"/>
    <n v="152"/>
    <n v="50"/>
    <n v="1.19"/>
    <n v="895"/>
    <s v="Cardio"/>
    <n v="23.4"/>
    <n v="3.2"/>
    <n v="2"/>
    <n v="1"/>
    <n v="24.78"/>
    <x v="1"/>
  </r>
  <r>
    <n v="915"/>
    <x v="9"/>
    <n v="47"/>
    <s v="Male"/>
    <n v="80"/>
    <n v="1.77"/>
    <n v="171"/>
    <n v="149"/>
    <n v="68"/>
    <n v="0.72"/>
    <n v="531"/>
    <s v="HIIT"/>
    <n v="28.2"/>
    <n v="3.5"/>
    <n v="3"/>
    <n v="1"/>
    <n v="25.54"/>
    <x v="3"/>
  </r>
  <r>
    <n v="916"/>
    <x v="3"/>
    <n v="48"/>
    <s v="Male"/>
    <n v="73.099999999999994"/>
    <n v="1.83"/>
    <n v="194"/>
    <n v="131"/>
    <n v="71"/>
    <n v="1.05"/>
    <n v="681"/>
    <s v="Yoga"/>
    <n v="28"/>
    <n v="2.8"/>
    <n v="4"/>
    <n v="2"/>
    <n v="21.83"/>
    <x v="1"/>
  </r>
  <r>
    <n v="917"/>
    <x v="5"/>
    <n v="22"/>
    <s v="Male"/>
    <n v="117.3"/>
    <n v="1.68"/>
    <n v="172"/>
    <n v="134"/>
    <n v="57"/>
    <n v="1.24"/>
    <n v="914"/>
    <s v="Yoga"/>
    <n v="28.5"/>
    <n v="2.7"/>
    <n v="3"/>
    <n v="2"/>
    <n v="41.56"/>
    <x v="0"/>
  </r>
  <r>
    <n v="918"/>
    <x v="3"/>
    <n v="31"/>
    <s v="Female"/>
    <n v="77.400000000000006"/>
    <n v="1.71"/>
    <n v="190"/>
    <n v="137"/>
    <n v="52"/>
    <n v="1.26"/>
    <n v="863"/>
    <s v="Cardio"/>
    <n v="26.2"/>
    <n v="1.8"/>
    <n v="4"/>
    <n v="2"/>
    <n v="26.47"/>
    <x v="3"/>
  </r>
  <r>
    <n v="919"/>
    <x v="3"/>
    <n v="28"/>
    <s v="Female"/>
    <n v="72.900000000000006"/>
    <n v="1.67"/>
    <n v="197"/>
    <n v="147"/>
    <n v="74"/>
    <n v="1.1299999999999999"/>
    <n v="831"/>
    <s v="Cardio"/>
    <n v="34.700000000000003"/>
    <n v="2.2000000000000002"/>
    <n v="3"/>
    <n v="2"/>
    <n v="26.14"/>
    <x v="3"/>
  </r>
  <r>
    <n v="920"/>
    <x v="3"/>
    <n v="26"/>
    <s v="Female"/>
    <n v="71.2"/>
    <n v="1.5"/>
    <n v="182"/>
    <n v="142"/>
    <n v="54"/>
    <n v="1.1499999999999999"/>
    <n v="816"/>
    <s v="Cardio"/>
    <n v="34.6"/>
    <n v="2.6"/>
    <n v="2"/>
    <n v="1"/>
    <n v="31.64"/>
    <x v="0"/>
  </r>
  <r>
    <n v="921"/>
    <x v="5"/>
    <n v="51"/>
    <s v="Male"/>
    <n v="88.2"/>
    <n v="1.62"/>
    <n v="163"/>
    <n v="133"/>
    <n v="72"/>
    <n v="1.56"/>
    <n v="1027"/>
    <s v="Cardio"/>
    <n v="11.8"/>
    <n v="3.5"/>
    <n v="4"/>
    <n v="3"/>
    <n v="33.61"/>
    <x v="0"/>
  </r>
  <r>
    <n v="922"/>
    <x v="4"/>
    <n v="29"/>
    <s v="Female"/>
    <n v="75.599999999999994"/>
    <n v="1.8"/>
    <n v="175"/>
    <n v="149"/>
    <n v="57"/>
    <n v="1.31"/>
    <n v="976"/>
    <s v="Yoga"/>
    <n v="25.7"/>
    <n v="1.9"/>
    <n v="4"/>
    <n v="2"/>
    <n v="23.33"/>
    <x v="1"/>
  </r>
  <r>
    <n v="923"/>
    <x v="1"/>
    <n v="52"/>
    <s v="Female"/>
    <n v="57.9"/>
    <n v="1.56"/>
    <n v="166"/>
    <n v="152"/>
    <n v="68"/>
    <n v="1.66"/>
    <n v="1135"/>
    <s v="HIIT"/>
    <n v="15.8"/>
    <n v="2.7"/>
    <n v="4"/>
    <n v="3"/>
    <n v="23.79"/>
    <x v="1"/>
  </r>
  <r>
    <n v="924"/>
    <x v="9"/>
    <n v="52"/>
    <s v="Female"/>
    <n v="70.599999999999994"/>
    <n v="1.58"/>
    <n v="181"/>
    <n v="164"/>
    <n v="67"/>
    <n v="1.02"/>
    <n v="753"/>
    <s v="HIIT"/>
    <n v="34.9"/>
    <n v="2"/>
    <n v="3"/>
    <n v="2"/>
    <n v="28.28"/>
    <x v="3"/>
  </r>
  <r>
    <n v="925"/>
    <x v="4"/>
    <n v="18"/>
    <s v="Male"/>
    <n v="118.6"/>
    <n v="1.64"/>
    <n v="188"/>
    <n v="134"/>
    <n v="67"/>
    <n v="0.94"/>
    <n v="693"/>
    <s v="Cardio"/>
    <n v="25.6"/>
    <n v="2.7"/>
    <n v="3"/>
    <n v="1"/>
    <n v="44.1"/>
    <x v="0"/>
  </r>
  <r>
    <n v="926"/>
    <x v="9"/>
    <n v="57"/>
    <s v="Male"/>
    <n v="55.7"/>
    <n v="1.99"/>
    <n v="170"/>
    <n v="126"/>
    <n v="70"/>
    <n v="1.1299999999999999"/>
    <n v="705"/>
    <s v="Strength"/>
    <n v="23.6"/>
    <n v="3"/>
    <n v="3"/>
    <n v="2"/>
    <n v="14.07"/>
    <x v="2"/>
  </r>
  <r>
    <n v="927"/>
    <x v="7"/>
    <n v="39"/>
    <s v="Male"/>
    <n v="102.3"/>
    <n v="1.94"/>
    <n v="192"/>
    <n v="134"/>
    <n v="50"/>
    <n v="0.89"/>
    <n v="656"/>
    <s v="Yoga"/>
    <n v="22.9"/>
    <n v="2.4"/>
    <n v="3"/>
    <n v="1"/>
    <n v="27.18"/>
    <x v="3"/>
  </r>
  <r>
    <n v="928"/>
    <x v="2"/>
    <n v="46"/>
    <s v="Male"/>
    <n v="72.599999999999994"/>
    <n v="1.87"/>
    <n v="188"/>
    <n v="161"/>
    <n v="64"/>
    <n v="1.31"/>
    <n v="1044"/>
    <s v="HIIT"/>
    <n v="22.6"/>
    <n v="3.4"/>
    <n v="4"/>
    <n v="2"/>
    <n v="20.76"/>
    <x v="1"/>
  </r>
  <r>
    <n v="929"/>
    <x v="2"/>
    <n v="25"/>
    <s v="Female"/>
    <n v="63.8"/>
    <n v="1.68"/>
    <n v="198"/>
    <n v="165"/>
    <n v="67"/>
    <n v="0.95"/>
    <n v="784"/>
    <s v="Cardio"/>
    <n v="31.6"/>
    <n v="1.9"/>
    <n v="2"/>
    <n v="1"/>
    <n v="22.6"/>
    <x v="1"/>
  </r>
  <r>
    <n v="930"/>
    <x v="0"/>
    <n v="28"/>
    <s v="Female"/>
    <n v="67.3"/>
    <n v="1.67"/>
    <n v="171"/>
    <n v="157"/>
    <n v="74"/>
    <n v="0.61"/>
    <n v="479"/>
    <s v="Strength"/>
    <n v="29.2"/>
    <n v="2.2999999999999998"/>
    <n v="3"/>
    <n v="1"/>
    <n v="24.13"/>
    <x v="1"/>
  </r>
  <r>
    <n v="931"/>
    <x v="2"/>
    <n v="58"/>
    <s v="Female"/>
    <n v="59.3"/>
    <n v="1.58"/>
    <n v="166"/>
    <n v="165"/>
    <n v="56"/>
    <n v="1.97"/>
    <n v="1463"/>
    <s v="Strength"/>
    <n v="19.8"/>
    <n v="2.7"/>
    <n v="4"/>
    <n v="3"/>
    <n v="23.75"/>
    <x v="1"/>
  </r>
  <r>
    <n v="932"/>
    <x v="5"/>
    <n v="54"/>
    <s v="Female"/>
    <n v="70.7"/>
    <n v="1.57"/>
    <n v="198"/>
    <n v="163"/>
    <n v="65"/>
    <n v="1.1399999999999999"/>
    <n v="836"/>
    <s v="Cardio"/>
    <n v="31.8"/>
    <n v="2.1"/>
    <n v="3"/>
    <n v="1"/>
    <n v="28.68"/>
    <x v="3"/>
  </r>
  <r>
    <n v="933"/>
    <x v="6"/>
    <n v="31"/>
    <s v="Male"/>
    <n v="86.9"/>
    <n v="1.69"/>
    <n v="185"/>
    <n v="130"/>
    <n v="65"/>
    <n v="1.72"/>
    <n v="1230"/>
    <s v="Yoga"/>
    <n v="14"/>
    <n v="3.5"/>
    <n v="4"/>
    <n v="3"/>
    <n v="30.43"/>
    <x v="0"/>
  </r>
  <r>
    <n v="934"/>
    <x v="8"/>
    <n v="47"/>
    <s v="Male"/>
    <n v="98.2"/>
    <n v="1.9"/>
    <n v="199"/>
    <n v="148"/>
    <n v="64"/>
    <n v="0.76"/>
    <n v="557"/>
    <s v="HIIT"/>
    <n v="22.9"/>
    <n v="3"/>
    <n v="3"/>
    <n v="1"/>
    <n v="27.2"/>
    <x v="3"/>
  </r>
  <r>
    <n v="935"/>
    <x v="0"/>
    <n v="52"/>
    <s v="Male"/>
    <n v="63.6"/>
    <n v="1.62"/>
    <n v="168"/>
    <n v="150"/>
    <n v="55"/>
    <n v="1.3"/>
    <n v="965"/>
    <s v="Strength"/>
    <n v="20.8"/>
    <n v="2.2999999999999998"/>
    <n v="4"/>
    <n v="2"/>
    <n v="24.23"/>
    <x v="1"/>
  </r>
  <r>
    <n v="936"/>
    <x v="8"/>
    <n v="38"/>
    <s v="Female"/>
    <n v="45.2"/>
    <n v="1.68"/>
    <n v="193"/>
    <n v="144"/>
    <n v="58"/>
    <n v="1.01"/>
    <n v="727"/>
    <s v="HIIT"/>
    <n v="29.9"/>
    <n v="2.4"/>
    <n v="3"/>
    <n v="2"/>
    <n v="16.010000000000002"/>
    <x v="2"/>
  </r>
  <r>
    <n v="937"/>
    <x v="9"/>
    <n v="54"/>
    <s v="Male"/>
    <n v="117.2"/>
    <n v="1.62"/>
    <n v="172"/>
    <n v="143"/>
    <n v="56"/>
    <n v="1.04"/>
    <n v="736"/>
    <s v="HIIT"/>
    <n v="23.1"/>
    <n v="2.2999999999999998"/>
    <n v="4"/>
    <n v="2"/>
    <n v="44.66"/>
    <x v="0"/>
  </r>
  <r>
    <n v="938"/>
    <x v="8"/>
    <n v="22"/>
    <s v="Male"/>
    <n v="107.4"/>
    <n v="1.74"/>
    <n v="195"/>
    <n v="138"/>
    <n v="63"/>
    <n v="1.34"/>
    <n v="1017"/>
    <s v="Strength"/>
    <n v="22"/>
    <n v="2.2000000000000002"/>
    <n v="2"/>
    <n v="1"/>
    <n v="35.47"/>
    <x v="0"/>
  </r>
  <r>
    <n v="939"/>
    <x v="8"/>
    <n v="36"/>
    <s v="Female"/>
    <n v="59.1"/>
    <n v="1.78"/>
    <n v="184"/>
    <n v="121"/>
    <n v="60"/>
    <n v="0.85"/>
    <n v="514"/>
    <s v="Cardio"/>
    <n v="34.5"/>
    <n v="2.2000000000000002"/>
    <n v="2"/>
    <n v="1"/>
    <n v="18.649999999999999"/>
    <x v="1"/>
  </r>
  <r>
    <n v="940"/>
    <x v="0"/>
    <n v="31"/>
    <s v="Female"/>
    <n v="53.3"/>
    <n v="1.64"/>
    <n v="183"/>
    <n v="141"/>
    <n v="70"/>
    <n v="0.56999999999999995"/>
    <n v="402"/>
    <s v="Strength"/>
    <n v="29.4"/>
    <n v="2.4"/>
    <n v="3"/>
    <n v="1"/>
    <n v="19.82"/>
    <x v="1"/>
  </r>
  <r>
    <n v="941"/>
    <x v="7"/>
    <n v="43"/>
    <s v="Male"/>
    <n v="46.2"/>
    <n v="1.63"/>
    <n v="176"/>
    <n v="139"/>
    <n v="65"/>
    <n v="1.18"/>
    <n v="812"/>
    <s v="Strength"/>
    <n v="21.7"/>
    <n v="2.1"/>
    <n v="2"/>
    <n v="1"/>
    <n v="17.39"/>
    <x v="2"/>
  </r>
  <r>
    <n v="942"/>
    <x v="3"/>
    <n v="21"/>
    <s v="Male"/>
    <n v="67"/>
    <n v="1.61"/>
    <n v="161"/>
    <n v="152"/>
    <n v="74"/>
    <n v="1.32"/>
    <n v="1104"/>
    <s v="Yoga"/>
    <n v="22"/>
    <n v="2.1"/>
    <n v="3"/>
    <n v="2"/>
    <n v="25.85"/>
    <x v="3"/>
  </r>
  <r>
    <n v="943"/>
    <x v="2"/>
    <n v="42"/>
    <s v="Male"/>
    <n v="86.3"/>
    <n v="1.77"/>
    <n v="172"/>
    <n v="127"/>
    <n v="55"/>
    <n v="1.77"/>
    <n v="1113"/>
    <s v="HIIT"/>
    <n v="11.4"/>
    <n v="3.5"/>
    <n v="4"/>
    <n v="3"/>
    <n v="27.55"/>
    <x v="3"/>
  </r>
  <r>
    <n v="944"/>
    <x v="2"/>
    <n v="59"/>
    <s v="Male"/>
    <n v="85.5"/>
    <n v="1.67"/>
    <n v="190"/>
    <n v="144"/>
    <n v="71"/>
    <n v="1.99"/>
    <n v="1418"/>
    <s v="Cardio"/>
    <n v="15"/>
    <n v="3.5"/>
    <n v="5"/>
    <n v="3"/>
    <n v="30.66"/>
    <x v="0"/>
  </r>
  <r>
    <n v="945"/>
    <x v="5"/>
    <n v="42"/>
    <s v="Male"/>
    <n v="70.2"/>
    <n v="1.87"/>
    <n v="188"/>
    <n v="165"/>
    <n v="65"/>
    <n v="1.38"/>
    <n v="1127"/>
    <s v="HIIT"/>
    <n v="22.7"/>
    <n v="3.4"/>
    <n v="3"/>
    <n v="2"/>
    <n v="20.07"/>
    <x v="1"/>
  </r>
  <r>
    <n v="946"/>
    <x v="0"/>
    <n v="35"/>
    <s v="Male"/>
    <n v="127.1"/>
    <n v="1.62"/>
    <n v="187"/>
    <n v="128"/>
    <n v="69"/>
    <n v="1.02"/>
    <n v="718"/>
    <s v="Strength"/>
    <n v="23.3"/>
    <n v="3.4"/>
    <n v="4"/>
    <n v="2"/>
    <n v="48.43"/>
    <x v="0"/>
  </r>
  <r>
    <n v="947"/>
    <x v="5"/>
    <n v="57"/>
    <s v="Female"/>
    <n v="75.599999999999994"/>
    <n v="1.67"/>
    <n v="186"/>
    <n v="153"/>
    <n v="65"/>
    <n v="1.05"/>
    <n v="723"/>
    <s v="Cardio"/>
    <n v="31.6"/>
    <n v="1.8"/>
    <n v="3"/>
    <n v="2"/>
    <n v="27.11"/>
    <x v="3"/>
  </r>
  <r>
    <n v="948"/>
    <x v="6"/>
    <n v="25"/>
    <s v="Female"/>
    <n v="62.6"/>
    <n v="1.65"/>
    <n v="174"/>
    <n v="142"/>
    <n v="61"/>
    <n v="1.2"/>
    <n v="852"/>
    <s v="Cardio"/>
    <n v="27.9"/>
    <n v="2.2000000000000002"/>
    <n v="3"/>
    <n v="1"/>
    <n v="22.99"/>
    <x v="1"/>
  </r>
  <r>
    <n v="949"/>
    <x v="6"/>
    <n v="56"/>
    <s v="Female"/>
    <n v="55.7"/>
    <n v="1.53"/>
    <n v="190"/>
    <n v="124"/>
    <n v="66"/>
    <n v="1.91"/>
    <n v="1066"/>
    <s v="Cardio"/>
    <n v="16.100000000000001"/>
    <n v="2.7"/>
    <n v="5"/>
    <n v="3"/>
    <n v="23.79"/>
    <x v="1"/>
  </r>
  <r>
    <n v="950"/>
    <x v="5"/>
    <n v="57"/>
    <s v="Male"/>
    <n v="96.1"/>
    <n v="1.74"/>
    <n v="199"/>
    <n v="144"/>
    <n v="54"/>
    <n v="1.21"/>
    <n v="862"/>
    <s v="Cardio"/>
    <n v="21.6"/>
    <n v="2.8"/>
    <n v="3"/>
    <n v="2"/>
    <n v="31.74"/>
    <x v="0"/>
  </r>
  <r>
    <n v="951"/>
    <x v="0"/>
    <n v="31"/>
    <s v="Female"/>
    <n v="76.7"/>
    <n v="1.62"/>
    <n v="174"/>
    <n v="127"/>
    <n v="74"/>
    <n v="1.39"/>
    <n v="883"/>
    <s v="Yoga"/>
    <n v="28.1"/>
    <n v="2.2999999999999998"/>
    <n v="4"/>
    <n v="2"/>
    <n v="29.23"/>
    <x v="3"/>
  </r>
  <r>
    <n v="952"/>
    <x v="5"/>
    <n v="49"/>
    <s v="Male"/>
    <n v="57.2"/>
    <n v="1.89"/>
    <n v="192"/>
    <n v="135"/>
    <n v="62"/>
    <n v="1.1399999999999999"/>
    <n v="762"/>
    <s v="Cardio"/>
    <n v="21.1"/>
    <n v="3.5"/>
    <n v="2"/>
    <n v="1"/>
    <n v="16.010000000000002"/>
    <x v="2"/>
  </r>
  <r>
    <n v="953"/>
    <x v="2"/>
    <n v="55"/>
    <s v="Male"/>
    <n v="69.900000000000006"/>
    <n v="1.81"/>
    <n v="179"/>
    <n v="167"/>
    <n v="57"/>
    <n v="1.2"/>
    <n v="992"/>
    <s v="Strength"/>
    <n v="20.2"/>
    <n v="2.1"/>
    <n v="4"/>
    <n v="2"/>
    <n v="21.34"/>
    <x v="1"/>
  </r>
  <r>
    <n v="954"/>
    <x v="4"/>
    <n v="50"/>
    <s v="Female"/>
    <n v="67.900000000000006"/>
    <n v="1.77"/>
    <n v="171"/>
    <n v="164"/>
    <n v="73"/>
    <n v="1.03"/>
    <n v="760"/>
    <s v="Yoga"/>
    <n v="33"/>
    <n v="2.4"/>
    <n v="3"/>
    <n v="2"/>
    <n v="21.67"/>
    <x v="1"/>
  </r>
  <r>
    <n v="955"/>
    <x v="1"/>
    <n v="40"/>
    <s v="Male"/>
    <n v="87.9"/>
    <n v="1.87"/>
    <n v="196"/>
    <n v="134"/>
    <n v="54"/>
    <n v="1.96"/>
    <n v="1445"/>
    <s v="Strength"/>
    <n v="10.7"/>
    <n v="3.5"/>
    <n v="5"/>
    <n v="3"/>
    <n v="25.14"/>
    <x v="3"/>
  </r>
  <r>
    <n v="956"/>
    <x v="8"/>
    <n v="32"/>
    <s v="Male"/>
    <n v="102.8"/>
    <n v="1.98"/>
    <n v="168"/>
    <n v="120"/>
    <n v="61"/>
    <n v="1.24"/>
    <n v="818"/>
    <s v="Strength"/>
    <n v="27.8"/>
    <n v="2.8"/>
    <n v="3"/>
    <n v="2"/>
    <n v="26.22"/>
    <x v="3"/>
  </r>
  <r>
    <n v="957"/>
    <x v="1"/>
    <n v="50"/>
    <s v="Female"/>
    <n v="51.8"/>
    <n v="1.5"/>
    <n v="182"/>
    <n v="141"/>
    <n v="58"/>
    <n v="1.32"/>
    <n v="838"/>
    <s v="HIIT"/>
    <n v="33"/>
    <n v="2.2000000000000002"/>
    <n v="3"/>
    <n v="1"/>
    <n v="23.02"/>
    <x v="1"/>
  </r>
  <r>
    <n v="958"/>
    <x v="0"/>
    <n v="42"/>
    <s v="Female"/>
    <n v="57.7"/>
    <n v="1.57"/>
    <n v="167"/>
    <n v="122"/>
    <n v="52"/>
    <n v="1.83"/>
    <n v="1005"/>
    <s v="Cardio"/>
    <n v="17.7"/>
    <n v="2.7"/>
    <n v="4"/>
    <n v="3"/>
    <n v="23.41"/>
    <x v="1"/>
  </r>
  <r>
    <n v="959"/>
    <x v="1"/>
    <n v="34"/>
    <s v="Female"/>
    <n v="66.5"/>
    <n v="1.69"/>
    <n v="191"/>
    <n v="157"/>
    <n v="52"/>
    <n v="0.81"/>
    <n v="636"/>
    <s v="Cardio"/>
    <n v="28.1"/>
    <n v="2.2999999999999998"/>
    <n v="3"/>
    <n v="1"/>
    <n v="23.28"/>
    <x v="1"/>
  </r>
  <r>
    <n v="960"/>
    <x v="6"/>
    <n v="50"/>
    <s v="Male"/>
    <n v="95.4"/>
    <n v="1.61"/>
    <n v="173"/>
    <n v="133"/>
    <n v="50"/>
    <n v="1.1599999999999999"/>
    <n v="764"/>
    <s v="Strength"/>
    <n v="21.5"/>
    <n v="3.6"/>
    <n v="4"/>
    <n v="2"/>
    <n v="36.799999999999997"/>
    <x v="0"/>
  </r>
  <r>
    <n v="961"/>
    <x v="9"/>
    <n v="19"/>
    <s v="Female"/>
    <n v="69.2"/>
    <n v="1.6"/>
    <n v="186"/>
    <n v="155"/>
    <n v="74"/>
    <n v="1.17"/>
    <n v="907"/>
    <s v="Cardio"/>
    <n v="32.4"/>
    <n v="1.6"/>
    <n v="3"/>
    <n v="1"/>
    <n v="27.03"/>
    <x v="3"/>
  </r>
  <r>
    <n v="962"/>
    <x v="8"/>
    <n v="31"/>
    <s v="Female"/>
    <n v="66.599999999999994"/>
    <n v="1.67"/>
    <n v="184"/>
    <n v="137"/>
    <n v="71"/>
    <n v="1.02"/>
    <n v="699"/>
    <s v="Yoga"/>
    <n v="31"/>
    <n v="1.5"/>
    <n v="4"/>
    <n v="2"/>
    <n v="23.88"/>
    <x v="1"/>
  </r>
  <r>
    <n v="963"/>
    <x v="3"/>
    <n v="57"/>
    <s v="Male"/>
    <n v="83.4"/>
    <n v="1.65"/>
    <n v="172"/>
    <n v="166"/>
    <n v="67"/>
    <n v="1.57"/>
    <n v="1290"/>
    <s v="HIIT"/>
    <n v="13.3"/>
    <n v="3.5"/>
    <n v="4"/>
    <n v="3"/>
    <n v="30.63"/>
    <x v="0"/>
  </r>
  <r>
    <n v="964"/>
    <x v="0"/>
    <n v="57"/>
    <s v="Female"/>
    <n v="43.8"/>
    <n v="1.75"/>
    <n v="180"/>
    <n v="160"/>
    <n v="73"/>
    <n v="1.39"/>
    <n v="1001"/>
    <s v="Cardio"/>
    <n v="25.1"/>
    <n v="1.7"/>
    <n v="2"/>
    <n v="1"/>
    <n v="14.3"/>
    <x v="2"/>
  </r>
  <r>
    <n v="965"/>
    <x v="8"/>
    <n v="56"/>
    <s v="Female"/>
    <n v="64.2"/>
    <n v="1.69"/>
    <n v="190"/>
    <n v="137"/>
    <n v="61"/>
    <n v="1.99"/>
    <n v="1227"/>
    <s v="Cardio"/>
    <n v="19.600000000000001"/>
    <n v="2.7"/>
    <n v="5"/>
    <n v="3"/>
    <n v="22.48"/>
    <x v="1"/>
  </r>
  <r>
    <n v="966"/>
    <x v="1"/>
    <n v="23"/>
    <s v="Female"/>
    <n v="44.1"/>
    <n v="1.62"/>
    <n v="196"/>
    <n v="122"/>
    <n v="58"/>
    <n v="0.57999999999999996"/>
    <n v="354"/>
    <s v="Yoga"/>
    <n v="25.7"/>
    <n v="2.7"/>
    <n v="2"/>
    <n v="1"/>
    <n v="16.8"/>
    <x v="2"/>
  </r>
  <r>
    <n v="967"/>
    <x v="6"/>
    <n v="23"/>
    <s v="Male"/>
    <n v="87.3"/>
    <n v="1.91"/>
    <n v="164"/>
    <n v="129"/>
    <n v="58"/>
    <n v="1.87"/>
    <n v="1327"/>
    <s v="HIIT"/>
    <n v="11.8"/>
    <n v="3.5"/>
    <n v="5"/>
    <n v="3"/>
    <n v="23.93"/>
    <x v="1"/>
  </r>
  <r>
    <n v="968"/>
    <x v="7"/>
    <n v="20"/>
    <s v="Male"/>
    <n v="55"/>
    <n v="1.6"/>
    <n v="172"/>
    <n v="168"/>
    <n v="67"/>
    <n v="1.1200000000000001"/>
    <n v="1035"/>
    <s v="Yoga"/>
    <n v="24"/>
    <n v="3.2"/>
    <n v="4"/>
    <n v="2"/>
    <n v="21.48"/>
    <x v="1"/>
  </r>
  <r>
    <n v="969"/>
    <x v="4"/>
    <n v="24"/>
    <s v="Male"/>
    <n v="87.1"/>
    <n v="1.74"/>
    <n v="187"/>
    <n v="158"/>
    <n v="67"/>
    <n v="1.57"/>
    <n v="1364"/>
    <s v="Strength"/>
    <n v="10"/>
    <n v="3.5"/>
    <n v="4"/>
    <n v="3"/>
    <n v="28.77"/>
    <x v="3"/>
  </r>
  <r>
    <n v="970"/>
    <x v="3"/>
    <n v="25"/>
    <s v="Male"/>
    <n v="66.599999999999994"/>
    <n v="1.61"/>
    <n v="184"/>
    <n v="166"/>
    <n v="56"/>
    <n v="1.38"/>
    <n v="1260"/>
    <s v="Strength"/>
    <n v="25"/>
    <n v="3"/>
    <n v="2"/>
    <n v="1"/>
    <n v="25.69"/>
    <x v="3"/>
  </r>
  <r>
    <n v="971"/>
    <x v="4"/>
    <n v="59"/>
    <s v="Female"/>
    <n v="60.4"/>
    <n v="1.76"/>
    <n v="194"/>
    <n v="120"/>
    <n v="53"/>
    <n v="1.72"/>
    <n v="929"/>
    <s v="Cardio"/>
    <n v="18.8"/>
    <n v="2.7"/>
    <n v="5"/>
    <n v="3"/>
    <n v="19.5"/>
    <x v="1"/>
  </r>
  <r>
    <n v="972"/>
    <x v="8"/>
    <n v="32"/>
    <s v="Male"/>
    <n v="126.4"/>
    <n v="1.83"/>
    <n v="198"/>
    <n v="146"/>
    <n v="62"/>
    <n v="1.1000000000000001"/>
    <n v="883"/>
    <s v="HIIT"/>
    <n v="28.2"/>
    <n v="2.1"/>
    <n v="3"/>
    <n v="2"/>
    <n v="37.74"/>
    <x v="0"/>
  </r>
  <r>
    <n v="973"/>
    <x v="6"/>
    <n v="46"/>
    <s v="Male"/>
    <n v="88.7"/>
    <n v="1.63"/>
    <n v="166"/>
    <n v="146"/>
    <n v="66"/>
    <n v="0.75"/>
    <n v="542"/>
    <s v="Strength"/>
    <n v="28.8"/>
    <n v="3.5"/>
    <n v="2"/>
    <n v="1"/>
    <n v="33.38000000000000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3">
  <r>
    <n v="56"/>
    <x v="0"/>
    <n v="88.3"/>
    <n v="1.71"/>
    <n v="180"/>
    <n v="157"/>
    <n v="60"/>
    <x v="0"/>
    <x v="0"/>
    <x v="0"/>
    <n v="12.6"/>
    <n v="3.5"/>
    <n v="4"/>
    <x v="0"/>
    <n v="30.2"/>
    <s v="Obesity"/>
  </r>
  <r>
    <n v="46"/>
    <x v="1"/>
    <n v="74.900000000000006"/>
    <n v="1.53"/>
    <n v="179"/>
    <n v="151"/>
    <n v="66"/>
    <x v="1"/>
    <x v="1"/>
    <x v="1"/>
    <n v="33.9"/>
    <n v="2.1"/>
    <n v="4"/>
    <x v="1"/>
    <n v="32"/>
    <s v="Obesity"/>
  </r>
  <r>
    <n v="32"/>
    <x v="1"/>
    <n v="68.099999999999994"/>
    <n v="1.66"/>
    <n v="167"/>
    <n v="122"/>
    <n v="54"/>
    <x v="2"/>
    <x v="2"/>
    <x v="2"/>
    <n v="33.4"/>
    <n v="2.2999999999999998"/>
    <n v="4"/>
    <x v="1"/>
    <n v="24.71"/>
    <s v="Normal Weight"/>
  </r>
  <r>
    <n v="25"/>
    <x v="0"/>
    <n v="53.2"/>
    <n v="1.7"/>
    <n v="190"/>
    <n v="164"/>
    <n v="56"/>
    <x v="3"/>
    <x v="3"/>
    <x v="3"/>
    <n v="28.8"/>
    <n v="2.1"/>
    <n v="3"/>
    <x v="2"/>
    <n v="18.41"/>
    <s v="Underweight"/>
  </r>
  <r>
    <n v="38"/>
    <x v="0"/>
    <n v="46.1"/>
    <n v="1.79"/>
    <n v="188"/>
    <n v="158"/>
    <n v="68"/>
    <x v="4"/>
    <x v="4"/>
    <x v="3"/>
    <n v="29.2"/>
    <n v="2.8"/>
    <n v="3"/>
    <x v="2"/>
    <n v="14.39"/>
    <s v="Underweight"/>
  </r>
  <r>
    <n v="56"/>
    <x v="1"/>
    <n v="58"/>
    <n v="1.68"/>
    <n v="168"/>
    <n v="156"/>
    <n v="74"/>
    <x v="5"/>
    <x v="5"/>
    <x v="1"/>
    <n v="15.5"/>
    <n v="2.7"/>
    <n v="5"/>
    <x v="0"/>
    <n v="20.55"/>
    <s v="Normal Weight"/>
  </r>
  <r>
    <n v="36"/>
    <x v="0"/>
    <n v="70.3"/>
    <n v="1.72"/>
    <n v="174"/>
    <n v="169"/>
    <n v="73"/>
    <x v="6"/>
    <x v="6"/>
    <x v="2"/>
    <n v="21.3"/>
    <n v="2.2999999999999998"/>
    <n v="3"/>
    <x v="1"/>
    <n v="23.76"/>
    <s v="Normal Weight"/>
  </r>
  <r>
    <n v="40"/>
    <x v="1"/>
    <n v="69.7"/>
    <n v="1.51"/>
    <n v="189"/>
    <n v="141"/>
    <n v="64"/>
    <x v="7"/>
    <x v="7"/>
    <x v="2"/>
    <n v="30.6"/>
    <n v="1.9"/>
    <n v="3"/>
    <x v="1"/>
    <n v="30.57"/>
    <s v="Obesity"/>
  </r>
  <r>
    <n v="28"/>
    <x v="0"/>
    <n v="121.7"/>
    <n v="1.94"/>
    <n v="185"/>
    <n v="127"/>
    <n v="52"/>
    <x v="8"/>
    <x v="8"/>
    <x v="3"/>
    <n v="28.9"/>
    <n v="2.6"/>
    <n v="4"/>
    <x v="1"/>
    <n v="32.340000000000003"/>
    <s v="Obesity"/>
  </r>
  <r>
    <n v="28"/>
    <x v="0"/>
    <n v="101.8"/>
    <n v="1.84"/>
    <n v="169"/>
    <n v="136"/>
    <n v="64"/>
    <x v="9"/>
    <x v="9"/>
    <x v="2"/>
    <n v="29.7"/>
    <n v="2.7"/>
    <n v="3"/>
    <x v="2"/>
    <n v="30.07"/>
    <s v="Obesity"/>
  </r>
  <r>
    <n v="41"/>
    <x v="0"/>
    <n v="120.8"/>
    <n v="1.67"/>
    <n v="188"/>
    <n v="146"/>
    <n v="54"/>
    <x v="10"/>
    <x v="10"/>
    <x v="1"/>
    <n v="20.5"/>
    <n v="3"/>
    <n v="2"/>
    <x v="2"/>
    <n v="43.31"/>
    <s v="Obesity"/>
  </r>
  <r>
    <n v="53"/>
    <x v="0"/>
    <n v="51.7"/>
    <n v="1.7"/>
    <n v="175"/>
    <n v="152"/>
    <n v="72"/>
    <x v="11"/>
    <x v="11"/>
    <x v="1"/>
    <n v="23.6"/>
    <n v="3.5"/>
    <n v="3"/>
    <x v="1"/>
    <n v="17.89"/>
    <s v="Underweight"/>
  </r>
  <r>
    <n v="57"/>
    <x v="0"/>
    <n v="112.5"/>
    <n v="1.61"/>
    <n v="195"/>
    <n v="165"/>
    <n v="61"/>
    <x v="12"/>
    <x v="12"/>
    <x v="2"/>
    <n v="22.1"/>
    <n v="2.7"/>
    <n v="3"/>
    <x v="1"/>
    <n v="43.4"/>
    <s v="Obesity"/>
  </r>
  <r>
    <n v="41"/>
    <x v="0"/>
    <n v="94.5"/>
    <n v="2"/>
    <n v="179"/>
    <n v="136"/>
    <n v="69"/>
    <x v="13"/>
    <x v="13"/>
    <x v="1"/>
    <n v="27.6"/>
    <n v="3.7"/>
    <n v="3"/>
    <x v="2"/>
    <n v="23.62"/>
    <s v="Normal Weight"/>
  </r>
  <r>
    <n v="20"/>
    <x v="0"/>
    <n v="117.7"/>
    <n v="1.81"/>
    <n v="196"/>
    <n v="161"/>
    <n v="54"/>
    <x v="14"/>
    <x v="14"/>
    <x v="0"/>
    <n v="26.4"/>
    <n v="3.3"/>
    <n v="3"/>
    <x v="1"/>
    <n v="35.93"/>
    <s v="Obesity"/>
  </r>
  <r>
    <n v="39"/>
    <x v="1"/>
    <n v="42.5"/>
    <n v="1.75"/>
    <n v="181"/>
    <n v="131"/>
    <n v="52"/>
    <x v="15"/>
    <x v="15"/>
    <x v="3"/>
    <n v="26.2"/>
    <n v="2.1"/>
    <n v="2"/>
    <x v="2"/>
    <n v="13.88"/>
    <s v="Underweight"/>
  </r>
  <r>
    <n v="19"/>
    <x v="1"/>
    <n v="64"/>
    <n v="1.53"/>
    <n v="166"/>
    <n v="167"/>
    <n v="58"/>
    <x v="16"/>
    <x v="16"/>
    <x v="1"/>
    <n v="29.8"/>
    <n v="2.2999999999999998"/>
    <n v="3"/>
    <x v="1"/>
    <n v="27.34"/>
    <s v="Overweight"/>
  </r>
  <r>
    <n v="41"/>
    <x v="1"/>
    <n v="43.8"/>
    <n v="1.77"/>
    <n v="182"/>
    <n v="165"/>
    <n v="58"/>
    <x v="17"/>
    <x v="17"/>
    <x v="2"/>
    <n v="31.9"/>
    <n v="1.6"/>
    <n v="3"/>
    <x v="2"/>
    <n v="13.98"/>
    <s v="Underweight"/>
  </r>
  <r>
    <n v="47"/>
    <x v="1"/>
    <n v="66.8"/>
    <n v="1.75"/>
    <n v="199"/>
    <n v="146"/>
    <n v="56"/>
    <x v="15"/>
    <x v="18"/>
    <x v="3"/>
    <n v="32.799999999999997"/>
    <n v="2.5"/>
    <n v="3"/>
    <x v="1"/>
    <n v="21.81"/>
    <s v="Normal Weight"/>
  </r>
  <r>
    <n v="55"/>
    <x v="1"/>
    <n v="75.2"/>
    <n v="1.67"/>
    <n v="188"/>
    <n v="167"/>
    <n v="51"/>
    <x v="18"/>
    <x v="19"/>
    <x v="1"/>
    <n v="25.2"/>
    <n v="2.2000000000000002"/>
    <n v="2"/>
    <x v="2"/>
    <n v="26.96"/>
    <s v="Overweight"/>
  </r>
  <r>
    <n v="19"/>
    <x v="0"/>
    <n v="89"/>
    <n v="1.77"/>
    <n v="175"/>
    <n v="127"/>
    <n v="72"/>
    <x v="19"/>
    <x v="20"/>
    <x v="3"/>
    <n v="28.9"/>
    <n v="3.7"/>
    <n v="4"/>
    <x v="1"/>
    <n v="28.41"/>
    <s v="Overweight"/>
  </r>
  <r>
    <n v="38"/>
    <x v="0"/>
    <n v="71.900000000000006"/>
    <n v="1.77"/>
    <n v="197"/>
    <n v="142"/>
    <n v="72"/>
    <x v="20"/>
    <x v="21"/>
    <x v="2"/>
    <n v="25.7"/>
    <n v="3.1"/>
    <n v="2"/>
    <x v="2"/>
    <n v="22.95"/>
    <s v="Normal Weight"/>
  </r>
  <r>
    <n v="50"/>
    <x v="1"/>
    <n v="71"/>
    <n v="1.68"/>
    <n v="187"/>
    <n v="161"/>
    <n v="70"/>
    <x v="21"/>
    <x v="22"/>
    <x v="0"/>
    <n v="33.1"/>
    <n v="2.5"/>
    <n v="2"/>
    <x v="2"/>
    <n v="25.16"/>
    <s v="Overweight"/>
  </r>
  <r>
    <n v="29"/>
    <x v="0"/>
    <n v="120.9"/>
    <n v="1.78"/>
    <n v="197"/>
    <n v="168"/>
    <n v="65"/>
    <x v="22"/>
    <x v="23"/>
    <x v="0"/>
    <n v="28.1"/>
    <n v="3.4"/>
    <n v="2"/>
    <x v="2"/>
    <n v="38.159999999999997"/>
    <s v="Obesity"/>
  </r>
  <r>
    <n v="39"/>
    <x v="1"/>
    <n v="64.3"/>
    <n v="1.69"/>
    <n v="190"/>
    <n v="148"/>
    <n v="58"/>
    <x v="23"/>
    <x v="24"/>
    <x v="1"/>
    <n v="26.9"/>
    <n v="1.9"/>
    <n v="4"/>
    <x v="1"/>
    <n v="22.51"/>
    <s v="Normal Weight"/>
  </r>
  <r>
    <n v="42"/>
    <x v="1"/>
    <n v="63.7"/>
    <n v="1.71"/>
    <n v="173"/>
    <n v="169"/>
    <n v="62"/>
    <x v="24"/>
    <x v="25"/>
    <x v="0"/>
    <n v="26.1"/>
    <n v="1.8"/>
    <n v="3"/>
    <x v="1"/>
    <n v="21.78"/>
    <s v="Normal Weight"/>
  </r>
  <r>
    <n v="44"/>
    <x v="0"/>
    <n v="65.2"/>
    <n v="1.8"/>
    <n v="192"/>
    <n v="139"/>
    <n v="68"/>
    <x v="25"/>
    <x v="26"/>
    <x v="1"/>
    <n v="27.2"/>
    <n v="2.7"/>
    <n v="2"/>
    <x v="2"/>
    <n v="20.12"/>
    <s v="Normal Weight"/>
  </r>
  <r>
    <n v="59"/>
    <x v="0"/>
    <n v="53.9"/>
    <n v="1.75"/>
    <n v="168"/>
    <n v="135"/>
    <n v="69"/>
    <x v="26"/>
    <x v="27"/>
    <x v="3"/>
    <n v="21.6"/>
    <n v="2.8"/>
    <n v="4"/>
    <x v="1"/>
    <n v="17.600000000000001"/>
    <s v="Underweight"/>
  </r>
  <r>
    <n v="45"/>
    <x v="0"/>
    <n v="84.9"/>
    <n v="1.86"/>
    <n v="186"/>
    <n v="136"/>
    <n v="66"/>
    <x v="27"/>
    <x v="28"/>
    <x v="1"/>
    <n v="14.2"/>
    <n v="3.5"/>
    <n v="5"/>
    <x v="0"/>
    <n v="24.54"/>
    <s v="Normal Weight"/>
  </r>
  <r>
    <n v="33"/>
    <x v="1"/>
    <n v="78"/>
    <n v="1.68"/>
    <n v="183"/>
    <n v="135"/>
    <n v="55"/>
    <x v="28"/>
    <x v="29"/>
    <x v="1"/>
    <n v="32.299999999999997"/>
    <n v="1.8"/>
    <n v="3"/>
    <x v="1"/>
    <n v="27.64"/>
    <s v="Overweight"/>
  </r>
  <r>
    <n v="32"/>
    <x v="0"/>
    <n v="108.2"/>
    <n v="1.8"/>
    <n v="172"/>
    <n v="138"/>
    <n v="53"/>
    <x v="7"/>
    <x v="30"/>
    <x v="1"/>
    <n v="28.4"/>
    <n v="3.5"/>
    <n v="3"/>
    <x v="2"/>
    <n v="33.4"/>
    <s v="Obesity"/>
  </r>
  <r>
    <n v="20"/>
    <x v="1"/>
    <n v="65.400000000000006"/>
    <n v="1.52"/>
    <n v="185"/>
    <n v="127"/>
    <n v="50"/>
    <x v="8"/>
    <x v="31"/>
    <x v="0"/>
    <n v="28"/>
    <n v="2.2000000000000002"/>
    <n v="4"/>
    <x v="1"/>
    <n v="28.31"/>
    <s v="Overweight"/>
  </r>
  <r>
    <n v="54"/>
    <x v="1"/>
    <n v="50.2"/>
    <n v="1.61"/>
    <n v="188"/>
    <n v="157"/>
    <n v="67"/>
    <x v="26"/>
    <x v="32"/>
    <x v="1"/>
    <n v="28.2"/>
    <n v="2.7"/>
    <n v="2"/>
    <x v="2"/>
    <n v="19.37"/>
    <s v="Normal Weight"/>
  </r>
  <r>
    <n v="24"/>
    <x v="1"/>
    <n v="58.9"/>
    <n v="1.51"/>
    <n v="187"/>
    <n v="157"/>
    <n v="68"/>
    <x v="29"/>
    <x v="33"/>
    <x v="2"/>
    <n v="31.7"/>
    <n v="2.5"/>
    <n v="2"/>
    <x v="2"/>
    <n v="25.83"/>
    <s v="Overweight"/>
  </r>
  <r>
    <n v="38"/>
    <x v="0"/>
    <n v="81.400000000000006"/>
    <n v="1.71"/>
    <n v="187"/>
    <n v="148"/>
    <n v="58"/>
    <x v="30"/>
    <x v="34"/>
    <x v="1"/>
    <n v="10.199999999999999"/>
    <n v="3.5"/>
    <n v="5"/>
    <x v="0"/>
    <n v="27.84"/>
    <s v="Overweight"/>
  </r>
  <r>
    <n v="26"/>
    <x v="0"/>
    <n v="127.6"/>
    <n v="1.73"/>
    <n v="167"/>
    <n v="160"/>
    <n v="62"/>
    <x v="31"/>
    <x v="35"/>
    <x v="3"/>
    <n v="27.3"/>
    <n v="2.9"/>
    <n v="3"/>
    <x v="2"/>
    <n v="42.63"/>
    <s v="Obesity"/>
  </r>
  <r>
    <n v="56"/>
    <x v="1"/>
    <n v="59.3"/>
    <n v="1.56"/>
    <n v="182"/>
    <n v="155"/>
    <n v="57"/>
    <x v="32"/>
    <x v="36"/>
    <x v="2"/>
    <n v="33.4"/>
    <n v="2.6"/>
    <n v="4"/>
    <x v="1"/>
    <n v="24.37"/>
    <s v="Normal Weight"/>
  </r>
  <r>
    <n v="35"/>
    <x v="0"/>
    <n v="96.9"/>
    <n v="1.71"/>
    <n v="188"/>
    <n v="145"/>
    <n v="72"/>
    <x v="33"/>
    <x v="37"/>
    <x v="3"/>
    <n v="24.2"/>
    <n v="2.9"/>
    <n v="3"/>
    <x v="1"/>
    <n v="33.14"/>
    <s v="Obesity"/>
  </r>
  <r>
    <n v="21"/>
    <x v="0"/>
    <n v="62.6"/>
    <n v="1.81"/>
    <n v="164"/>
    <n v="150"/>
    <n v="62"/>
    <x v="1"/>
    <x v="38"/>
    <x v="3"/>
    <n v="27.6"/>
    <n v="3.5"/>
    <n v="4"/>
    <x v="1"/>
    <n v="19.11"/>
    <s v="Normal Weight"/>
  </r>
  <r>
    <n v="42"/>
    <x v="0"/>
    <n v="45.5"/>
    <n v="1.6"/>
    <n v="166"/>
    <n v="163"/>
    <n v="64"/>
    <x v="34"/>
    <x v="39"/>
    <x v="3"/>
    <n v="21.7"/>
    <n v="2.6"/>
    <n v="3"/>
    <x v="1"/>
    <n v="17.77"/>
    <s v="Underweight"/>
  </r>
  <r>
    <n v="31"/>
    <x v="1"/>
    <n v="48.8"/>
    <n v="1.51"/>
    <n v="195"/>
    <n v="131"/>
    <n v="60"/>
    <x v="26"/>
    <x v="40"/>
    <x v="2"/>
    <n v="28.2"/>
    <n v="2"/>
    <n v="2"/>
    <x v="2"/>
    <n v="21.4"/>
    <s v="Normal Weight"/>
  </r>
  <r>
    <n v="26"/>
    <x v="1"/>
    <n v="44.3"/>
    <n v="1.6"/>
    <n v="186"/>
    <n v="136"/>
    <n v="61"/>
    <x v="9"/>
    <x v="41"/>
    <x v="2"/>
    <n v="34.700000000000003"/>
    <n v="2"/>
    <n v="3"/>
    <x v="2"/>
    <n v="17.3"/>
    <s v="Underweight"/>
  </r>
  <r>
    <n v="43"/>
    <x v="0"/>
    <n v="113.2"/>
    <n v="1.83"/>
    <n v="161"/>
    <n v="134"/>
    <n v="63"/>
    <x v="35"/>
    <x v="42"/>
    <x v="0"/>
    <n v="29.9"/>
    <n v="2.9"/>
    <n v="4"/>
    <x v="1"/>
    <n v="33.799999999999997"/>
    <s v="Obesity"/>
  </r>
  <r>
    <n v="19"/>
    <x v="1"/>
    <n v="60.5"/>
    <n v="1.59"/>
    <n v="184"/>
    <n v="128"/>
    <n v="53"/>
    <x v="36"/>
    <x v="43"/>
    <x v="2"/>
    <n v="30.1"/>
    <n v="2.2000000000000002"/>
    <n v="2"/>
    <x v="2"/>
    <n v="23.93"/>
    <s v="Normal Weight"/>
  </r>
  <r>
    <n v="37"/>
    <x v="0"/>
    <n v="124.2"/>
    <n v="1.76"/>
    <n v="168"/>
    <n v="158"/>
    <n v="50"/>
    <x v="19"/>
    <x v="44"/>
    <x v="1"/>
    <n v="29.3"/>
    <n v="2.8"/>
    <n v="2"/>
    <x v="2"/>
    <n v="40.1"/>
    <s v="Obesity"/>
  </r>
  <r>
    <n v="45"/>
    <x v="0"/>
    <n v="52.4"/>
    <n v="1.85"/>
    <n v="186"/>
    <n v="161"/>
    <n v="73"/>
    <x v="37"/>
    <x v="45"/>
    <x v="3"/>
    <n v="25.2"/>
    <n v="2.5"/>
    <n v="3"/>
    <x v="2"/>
    <n v="15.31"/>
    <s v="Underweight"/>
  </r>
  <r>
    <n v="24"/>
    <x v="0"/>
    <n v="54.7"/>
    <n v="1.74"/>
    <n v="160"/>
    <n v="167"/>
    <n v="53"/>
    <x v="38"/>
    <x v="46"/>
    <x v="0"/>
    <n v="22.9"/>
    <n v="3.6"/>
    <n v="3"/>
    <x v="2"/>
    <n v="18.07"/>
    <s v="Underweight"/>
  </r>
  <r>
    <n v="25"/>
    <x v="0"/>
    <n v="88.1"/>
    <n v="1.95"/>
    <n v="182"/>
    <n v="131"/>
    <n v="68"/>
    <x v="39"/>
    <x v="47"/>
    <x v="2"/>
    <n v="22.7"/>
    <n v="3"/>
    <n v="2"/>
    <x v="2"/>
    <n v="23.17"/>
    <s v="Normal Weight"/>
  </r>
  <r>
    <n v="52"/>
    <x v="1"/>
    <n v="59.7"/>
    <n v="1.71"/>
    <n v="169"/>
    <n v="151"/>
    <n v="58"/>
    <x v="40"/>
    <x v="48"/>
    <x v="3"/>
    <n v="34.299999999999997"/>
    <n v="2"/>
    <n v="3"/>
    <x v="2"/>
    <n v="20.420000000000002"/>
    <s v="Normal Weight"/>
  </r>
  <r>
    <n v="31"/>
    <x v="1"/>
    <n v="79.7"/>
    <n v="1.54"/>
    <n v="184"/>
    <n v="144"/>
    <n v="59"/>
    <x v="8"/>
    <x v="18"/>
    <x v="2"/>
    <n v="26.7"/>
    <n v="2.2999999999999998"/>
    <n v="4"/>
    <x v="1"/>
    <n v="33.61"/>
    <s v="Obesity"/>
  </r>
  <r>
    <n v="34"/>
    <x v="1"/>
    <n v="51"/>
    <n v="1.62"/>
    <n v="162"/>
    <n v="158"/>
    <n v="53"/>
    <x v="24"/>
    <x v="49"/>
    <x v="0"/>
    <n v="30.8"/>
    <n v="2.4"/>
    <n v="3"/>
    <x v="1"/>
    <n v="19.43"/>
    <s v="Normal Weight"/>
  </r>
  <r>
    <n v="53"/>
    <x v="0"/>
    <n v="84.2"/>
    <n v="1.76"/>
    <n v="165"/>
    <n v="137"/>
    <n v="69"/>
    <x v="41"/>
    <x v="50"/>
    <x v="2"/>
    <n v="12.8"/>
    <n v="3.5"/>
    <n v="5"/>
    <x v="0"/>
    <n v="27.18"/>
    <s v="Overweight"/>
  </r>
  <r>
    <n v="57"/>
    <x v="0"/>
    <n v="122.1"/>
    <n v="1.89"/>
    <n v="165"/>
    <n v="134"/>
    <n v="58"/>
    <x v="15"/>
    <x v="51"/>
    <x v="2"/>
    <n v="27.4"/>
    <n v="3.6"/>
    <n v="3"/>
    <x v="2"/>
    <n v="34.18"/>
    <s v="Obesity"/>
  </r>
  <r>
    <n v="21"/>
    <x v="0"/>
    <n v="96.7"/>
    <n v="1.72"/>
    <n v="161"/>
    <n v="151"/>
    <n v="62"/>
    <x v="32"/>
    <x v="32"/>
    <x v="3"/>
    <n v="25"/>
    <n v="2.8"/>
    <n v="3"/>
    <x v="2"/>
    <n v="32.69"/>
    <s v="Obesity"/>
  </r>
  <r>
    <n v="19"/>
    <x v="1"/>
    <n v="73"/>
    <n v="1.79"/>
    <n v="177"/>
    <n v="125"/>
    <n v="61"/>
    <x v="42"/>
    <x v="52"/>
    <x v="1"/>
    <n v="27.7"/>
    <n v="1.6"/>
    <n v="3"/>
    <x v="2"/>
    <n v="22.78"/>
    <s v="Normal Weight"/>
  </r>
  <r>
    <n v="23"/>
    <x v="0"/>
    <n v="114.8"/>
    <n v="1.6"/>
    <n v="182"/>
    <n v="163"/>
    <n v="60"/>
    <x v="43"/>
    <x v="53"/>
    <x v="2"/>
    <n v="21.7"/>
    <n v="2.7"/>
    <n v="4"/>
    <x v="1"/>
    <n v="44.84"/>
    <s v="Obesity"/>
  </r>
  <r>
    <n v="59"/>
    <x v="1"/>
    <n v="65.5"/>
    <n v="1.52"/>
    <n v="161"/>
    <n v="162"/>
    <n v="61"/>
    <x v="44"/>
    <x v="54"/>
    <x v="0"/>
    <n v="31.2"/>
    <n v="2.1"/>
    <n v="3"/>
    <x v="1"/>
    <n v="28.35"/>
    <s v="Overweight"/>
  </r>
  <r>
    <n v="21"/>
    <x v="1"/>
    <n v="50.3"/>
    <n v="1.52"/>
    <n v="171"/>
    <n v="154"/>
    <n v="67"/>
    <x v="9"/>
    <x v="55"/>
    <x v="2"/>
    <n v="32.200000000000003"/>
    <n v="2.6"/>
    <n v="3"/>
    <x v="2"/>
    <n v="21.77"/>
    <s v="Normal Weight"/>
  </r>
  <r>
    <n v="46"/>
    <x v="1"/>
    <n v="61"/>
    <n v="1.71"/>
    <n v="181"/>
    <n v="153"/>
    <n v="61"/>
    <x v="41"/>
    <x v="56"/>
    <x v="2"/>
    <n v="17.8"/>
    <n v="2.7"/>
    <n v="4"/>
    <x v="0"/>
    <n v="20.86"/>
    <s v="Normal Weight"/>
  </r>
  <r>
    <n v="35"/>
    <x v="1"/>
    <n v="44.6"/>
    <n v="1.62"/>
    <n v="196"/>
    <n v="157"/>
    <n v="65"/>
    <x v="45"/>
    <x v="57"/>
    <x v="1"/>
    <n v="32.4"/>
    <n v="2"/>
    <n v="2"/>
    <x v="2"/>
    <n v="16.989999999999998"/>
    <s v="Underweight"/>
  </r>
  <r>
    <n v="43"/>
    <x v="1"/>
    <n v="58.2"/>
    <n v="1.61"/>
    <n v="179"/>
    <n v="124"/>
    <n v="54"/>
    <x v="29"/>
    <x v="58"/>
    <x v="3"/>
    <n v="26.4"/>
    <n v="2.6"/>
    <n v="3"/>
    <x v="1"/>
    <n v="22.45"/>
    <s v="Normal Weight"/>
  </r>
  <r>
    <n v="51"/>
    <x v="1"/>
    <n v="44.8"/>
    <n v="1.63"/>
    <n v="198"/>
    <n v="137"/>
    <n v="69"/>
    <x v="9"/>
    <x v="59"/>
    <x v="0"/>
    <n v="33.799999999999997"/>
    <n v="2.1"/>
    <n v="4"/>
    <x v="1"/>
    <n v="16.86"/>
    <s v="Underweight"/>
  </r>
  <r>
    <n v="27"/>
    <x v="0"/>
    <n v="87.5"/>
    <n v="1.63"/>
    <n v="183"/>
    <n v="135"/>
    <n v="74"/>
    <x v="46"/>
    <x v="60"/>
    <x v="3"/>
    <n v="12.9"/>
    <n v="3.5"/>
    <n v="5"/>
    <x v="0"/>
    <n v="32.93"/>
    <s v="Obesity"/>
  </r>
  <r>
    <n v="53"/>
    <x v="0"/>
    <n v="51.8"/>
    <n v="1.74"/>
    <n v="179"/>
    <n v="127"/>
    <n v="61"/>
    <x v="40"/>
    <x v="61"/>
    <x v="3"/>
    <n v="21.3"/>
    <n v="3.7"/>
    <n v="3"/>
    <x v="1"/>
    <n v="17.11"/>
    <s v="Underweight"/>
  </r>
  <r>
    <n v="31"/>
    <x v="1"/>
    <n v="64.400000000000006"/>
    <n v="1.7"/>
    <n v="160"/>
    <n v="144"/>
    <n v="70"/>
    <x v="47"/>
    <x v="62"/>
    <x v="3"/>
    <n v="17.3"/>
    <n v="2.7"/>
    <n v="5"/>
    <x v="0"/>
    <n v="22.28"/>
    <s v="Normal Weight"/>
  </r>
  <r>
    <n v="48"/>
    <x v="1"/>
    <n v="67.099999999999994"/>
    <n v="1.61"/>
    <n v="160"/>
    <n v="151"/>
    <n v="74"/>
    <x v="48"/>
    <x v="63"/>
    <x v="2"/>
    <n v="33.4"/>
    <n v="1.5"/>
    <n v="2"/>
    <x v="2"/>
    <n v="25.89"/>
    <s v="Overweight"/>
  </r>
  <r>
    <n v="32"/>
    <x v="0"/>
    <n v="85.9"/>
    <n v="1.6"/>
    <n v="176"/>
    <n v="145"/>
    <n v="60"/>
    <x v="49"/>
    <x v="64"/>
    <x v="1"/>
    <n v="14.5"/>
    <n v="3.5"/>
    <n v="5"/>
    <x v="0"/>
    <n v="33.549999999999997"/>
    <s v="Obesity"/>
  </r>
  <r>
    <n v="25"/>
    <x v="1"/>
    <n v="65.400000000000006"/>
    <n v="1.77"/>
    <n v="160"/>
    <n v="141"/>
    <n v="58"/>
    <x v="50"/>
    <x v="65"/>
    <x v="2"/>
    <n v="27.6"/>
    <n v="2.6"/>
    <n v="3"/>
    <x v="2"/>
    <n v="20.88"/>
    <s v="Normal Weight"/>
  </r>
  <r>
    <n v="31"/>
    <x v="1"/>
    <n v="61.1"/>
    <n v="1.76"/>
    <n v="189"/>
    <n v="150"/>
    <n v="67"/>
    <x v="51"/>
    <x v="66"/>
    <x v="0"/>
    <n v="18.600000000000001"/>
    <n v="2.7"/>
    <n v="4"/>
    <x v="0"/>
    <n v="19.72"/>
    <s v="Normal Weight"/>
  </r>
  <r>
    <n v="40"/>
    <x v="0"/>
    <n v="106.5"/>
    <n v="1.65"/>
    <n v="162"/>
    <n v="162"/>
    <n v="74"/>
    <x v="31"/>
    <x v="67"/>
    <x v="1"/>
    <n v="21"/>
    <n v="3.6"/>
    <n v="4"/>
    <x v="1"/>
    <n v="39.119999999999997"/>
    <s v="Obesity"/>
  </r>
  <r>
    <n v="57"/>
    <x v="1"/>
    <n v="64"/>
    <n v="1.52"/>
    <n v="170"/>
    <n v="129"/>
    <n v="52"/>
    <x v="52"/>
    <x v="68"/>
    <x v="3"/>
    <n v="15.2"/>
    <n v="2.7"/>
    <n v="5"/>
    <x v="0"/>
    <n v="27.7"/>
    <s v="Overweight"/>
  </r>
  <r>
    <n v="38"/>
    <x v="1"/>
    <n v="61.4"/>
    <n v="1.54"/>
    <n v="183"/>
    <n v="131"/>
    <n v="69"/>
    <x v="43"/>
    <x v="69"/>
    <x v="1"/>
    <n v="30.6"/>
    <n v="2.7"/>
    <n v="3"/>
    <x v="1"/>
    <n v="25.89"/>
    <s v="Overweight"/>
  </r>
  <r>
    <n v="33"/>
    <x v="1"/>
    <n v="40.5"/>
    <n v="1.63"/>
    <n v="181"/>
    <n v="147"/>
    <n v="66"/>
    <x v="53"/>
    <x v="70"/>
    <x v="0"/>
    <n v="31.9"/>
    <n v="1.5"/>
    <n v="4"/>
    <x v="1"/>
    <n v="15.24"/>
    <s v="Underweight"/>
  </r>
  <r>
    <n v="35"/>
    <x v="0"/>
    <n v="70.099999999999994"/>
    <n v="1.79"/>
    <n v="185"/>
    <n v="125"/>
    <n v="63"/>
    <x v="9"/>
    <x v="71"/>
    <x v="2"/>
    <n v="28"/>
    <n v="2.2999999999999998"/>
    <n v="3"/>
    <x v="1"/>
    <n v="21.88"/>
    <s v="Normal Weight"/>
  </r>
  <r>
    <n v="41"/>
    <x v="0"/>
    <n v="94.1"/>
    <n v="1.62"/>
    <n v="172"/>
    <n v="139"/>
    <n v="50"/>
    <x v="15"/>
    <x v="72"/>
    <x v="2"/>
    <n v="23.4"/>
    <n v="3.1"/>
    <n v="4"/>
    <x v="1"/>
    <n v="35.86"/>
    <s v="Obesity"/>
  </r>
  <r>
    <n v="43"/>
    <x v="0"/>
    <n v="55.5"/>
    <n v="1.82"/>
    <n v="160"/>
    <n v="124"/>
    <n v="66"/>
    <x v="9"/>
    <x v="73"/>
    <x v="3"/>
    <n v="20.100000000000001"/>
    <n v="2"/>
    <n v="3"/>
    <x v="2"/>
    <n v="16.760000000000002"/>
    <s v="Underweight"/>
  </r>
  <r>
    <n v="42"/>
    <x v="1"/>
    <n v="53.7"/>
    <n v="1.72"/>
    <n v="183"/>
    <n v="142"/>
    <n v="74"/>
    <x v="18"/>
    <x v="21"/>
    <x v="2"/>
    <n v="29.8"/>
    <n v="1.6"/>
    <n v="3"/>
    <x v="2"/>
    <n v="18.149999999999999"/>
    <s v="Underweight"/>
  </r>
  <r>
    <n v="58"/>
    <x v="1"/>
    <n v="66.099999999999994"/>
    <n v="1.75"/>
    <n v="169"/>
    <n v="128"/>
    <n v="57"/>
    <x v="54"/>
    <x v="74"/>
    <x v="2"/>
    <n v="25.2"/>
    <n v="1.8"/>
    <n v="2"/>
    <x v="2"/>
    <n v="21.58"/>
    <s v="Normal Weight"/>
  </r>
  <r>
    <n v="46"/>
    <x v="0"/>
    <n v="103.9"/>
    <n v="1.77"/>
    <n v="194"/>
    <n v="148"/>
    <n v="54"/>
    <x v="13"/>
    <x v="75"/>
    <x v="0"/>
    <n v="20.9"/>
    <n v="2.9"/>
    <n v="2"/>
    <x v="2"/>
    <n v="33.159999999999997"/>
    <s v="Obesity"/>
  </r>
  <r>
    <n v="32"/>
    <x v="1"/>
    <n v="61.7"/>
    <n v="1.58"/>
    <n v="183"/>
    <n v="135"/>
    <n v="54"/>
    <x v="55"/>
    <x v="76"/>
    <x v="1"/>
    <n v="16.600000000000001"/>
    <n v="2.7"/>
    <n v="5"/>
    <x v="0"/>
    <n v="24.72"/>
    <s v="Normal Weight"/>
  </r>
  <r>
    <n v="18"/>
    <x v="1"/>
    <n v="52.3"/>
    <n v="1.74"/>
    <n v="187"/>
    <n v="165"/>
    <n v="58"/>
    <x v="37"/>
    <x v="77"/>
    <x v="2"/>
    <n v="29.4"/>
    <n v="2.2000000000000002"/>
    <n v="2"/>
    <x v="2"/>
    <n v="17.27"/>
    <s v="Underweight"/>
  </r>
  <r>
    <n v="42"/>
    <x v="1"/>
    <n v="59.5"/>
    <n v="1.74"/>
    <n v="195"/>
    <n v="141"/>
    <n v="52"/>
    <x v="56"/>
    <x v="78"/>
    <x v="0"/>
    <n v="16.399999999999999"/>
    <n v="2.7"/>
    <n v="5"/>
    <x v="0"/>
    <n v="19.649999999999999"/>
    <s v="Normal Weight"/>
  </r>
  <r>
    <n v="24"/>
    <x v="1"/>
    <n v="72.900000000000006"/>
    <n v="1.76"/>
    <n v="175"/>
    <n v="127"/>
    <n v="68"/>
    <x v="57"/>
    <x v="79"/>
    <x v="0"/>
    <n v="30.8"/>
    <n v="1.5"/>
    <n v="3"/>
    <x v="2"/>
    <n v="23.53"/>
    <s v="Normal Weight"/>
  </r>
  <r>
    <n v="26"/>
    <x v="1"/>
    <n v="76.7"/>
    <n v="1.63"/>
    <n v="199"/>
    <n v="139"/>
    <n v="72"/>
    <x v="9"/>
    <x v="80"/>
    <x v="3"/>
    <n v="25.6"/>
    <n v="1.7"/>
    <n v="2"/>
    <x v="2"/>
    <n v="28.87"/>
    <s v="Overweight"/>
  </r>
  <r>
    <n v="41"/>
    <x v="0"/>
    <n v="72.099999999999994"/>
    <n v="1.83"/>
    <n v="175"/>
    <n v="133"/>
    <n v="58"/>
    <x v="15"/>
    <x v="81"/>
    <x v="0"/>
    <n v="21.4"/>
    <n v="2.8"/>
    <n v="3"/>
    <x v="1"/>
    <n v="21.53"/>
    <s v="Normal Weight"/>
  </r>
  <r>
    <n v="18"/>
    <x v="1"/>
    <n v="54.8"/>
    <n v="1.68"/>
    <n v="176"/>
    <n v="158"/>
    <n v="71"/>
    <x v="7"/>
    <x v="82"/>
    <x v="3"/>
    <n v="32"/>
    <n v="2.2000000000000002"/>
    <n v="4"/>
    <x v="1"/>
    <n v="19.420000000000002"/>
    <s v="Normal Weight"/>
  </r>
  <r>
    <n v="25"/>
    <x v="0"/>
    <n v="105"/>
    <n v="1.88"/>
    <n v="174"/>
    <n v="156"/>
    <n v="67"/>
    <x v="33"/>
    <x v="56"/>
    <x v="2"/>
    <n v="21.4"/>
    <n v="2.2999999999999998"/>
    <n v="3"/>
    <x v="1"/>
    <n v="29.71"/>
    <s v="Overweight"/>
  </r>
  <r>
    <n v="41"/>
    <x v="1"/>
    <n v="55"/>
    <n v="1.55"/>
    <n v="175"/>
    <n v="169"/>
    <n v="65"/>
    <x v="35"/>
    <x v="83"/>
    <x v="3"/>
    <n v="31.4"/>
    <n v="2"/>
    <n v="4"/>
    <x v="1"/>
    <n v="22.89"/>
    <s v="Normal Weight"/>
  </r>
  <r>
    <n v="28"/>
    <x v="0"/>
    <n v="81.599999999999994"/>
    <n v="1.66"/>
    <n v="174"/>
    <n v="153"/>
    <n v="50"/>
    <x v="58"/>
    <x v="84"/>
    <x v="0"/>
    <n v="20.5"/>
    <n v="3.5"/>
    <n v="4"/>
    <x v="1"/>
    <n v="29.61"/>
    <s v="Overweight"/>
  </r>
  <r>
    <n v="34"/>
    <x v="1"/>
    <n v="75.599999999999994"/>
    <n v="1.6"/>
    <n v="193"/>
    <n v="130"/>
    <n v="51"/>
    <x v="4"/>
    <x v="85"/>
    <x v="1"/>
    <n v="29.1"/>
    <n v="2.7"/>
    <n v="2"/>
    <x v="2"/>
    <n v="29.53"/>
    <s v="Overweight"/>
  </r>
  <r>
    <n v="25"/>
    <x v="0"/>
    <n v="81.5"/>
    <n v="1.61"/>
    <n v="170"/>
    <n v="159"/>
    <n v="63"/>
    <x v="59"/>
    <x v="86"/>
    <x v="1"/>
    <n v="10.9"/>
    <n v="3.5"/>
    <n v="4"/>
    <x v="0"/>
    <n v="31.44"/>
    <s v="Obesity"/>
  </r>
  <r>
    <n v="52"/>
    <x v="1"/>
    <n v="61.5"/>
    <n v="1.69"/>
    <n v="160"/>
    <n v="152"/>
    <n v="63"/>
    <x v="60"/>
    <x v="87"/>
    <x v="2"/>
    <n v="15.5"/>
    <n v="2.7"/>
    <n v="4"/>
    <x v="0"/>
    <n v="21.53"/>
    <s v="Normal Weight"/>
  </r>
  <r>
    <n v="52"/>
    <x v="0"/>
    <n v="74"/>
    <n v="1.63"/>
    <n v="174"/>
    <n v="150"/>
    <n v="50"/>
    <x v="32"/>
    <x v="88"/>
    <x v="2"/>
    <n v="25.7"/>
    <n v="3.7"/>
    <n v="3"/>
    <x v="1"/>
    <n v="27.85"/>
    <s v="Overweight"/>
  </r>
  <r>
    <n v="50"/>
    <x v="1"/>
    <n v="56.4"/>
    <n v="1.59"/>
    <n v="185"/>
    <n v="163"/>
    <n v="74"/>
    <x v="32"/>
    <x v="89"/>
    <x v="1"/>
    <n v="34.299999999999997"/>
    <n v="2.6"/>
    <n v="3"/>
    <x v="2"/>
    <n v="22.31"/>
    <s v="Normal Weight"/>
  </r>
  <r>
    <n v="22"/>
    <x v="0"/>
    <n v="102.6"/>
    <n v="1.84"/>
    <n v="163"/>
    <n v="153"/>
    <n v="65"/>
    <x v="23"/>
    <x v="90"/>
    <x v="3"/>
    <n v="20.5"/>
    <n v="2.7"/>
    <n v="3"/>
    <x v="1"/>
    <n v="30.3"/>
    <s v="Obesity"/>
  </r>
  <r>
    <n v="59"/>
    <x v="1"/>
    <n v="54.6"/>
    <n v="1.57"/>
    <n v="164"/>
    <n v="169"/>
    <n v="64"/>
    <x v="61"/>
    <x v="91"/>
    <x v="2"/>
    <n v="29.2"/>
    <n v="2.2999999999999998"/>
    <n v="3"/>
    <x v="2"/>
    <n v="22.15"/>
    <s v="Normal Weight"/>
  </r>
  <r>
    <n v="56"/>
    <x v="0"/>
    <n v="129"/>
    <n v="1.78"/>
    <n v="194"/>
    <n v="126"/>
    <n v="64"/>
    <x v="28"/>
    <x v="92"/>
    <x v="0"/>
    <n v="27.1"/>
    <n v="2.7"/>
    <n v="2"/>
    <x v="2"/>
    <n v="40.71"/>
    <s v="Obesity"/>
  </r>
  <r>
    <n v="58"/>
    <x v="0"/>
    <n v="103.5"/>
    <n v="1.66"/>
    <n v="172"/>
    <n v="168"/>
    <n v="61"/>
    <x v="16"/>
    <x v="93"/>
    <x v="2"/>
    <n v="24.6"/>
    <n v="3.1"/>
    <n v="3"/>
    <x v="2"/>
    <n v="37.56"/>
    <s v="Obesity"/>
  </r>
  <r>
    <n v="45"/>
    <x v="1"/>
    <n v="59.4"/>
    <n v="1.51"/>
    <n v="169"/>
    <n v="142"/>
    <n v="65"/>
    <x v="11"/>
    <x v="94"/>
    <x v="3"/>
    <n v="33.1"/>
    <n v="1.9"/>
    <n v="4"/>
    <x v="1"/>
    <n v="26.05"/>
    <s v="Overweight"/>
  </r>
  <r>
    <n v="24"/>
    <x v="1"/>
    <n v="60.1"/>
    <n v="1.79"/>
    <n v="170"/>
    <n v="165"/>
    <n v="63"/>
    <x v="47"/>
    <x v="95"/>
    <x v="2"/>
    <n v="15.9"/>
    <n v="2.7"/>
    <n v="4"/>
    <x v="0"/>
    <n v="18.760000000000002"/>
    <s v="Normal Weight"/>
  </r>
  <r>
    <n v="26"/>
    <x v="0"/>
    <n v="77.7"/>
    <n v="1.62"/>
    <n v="177"/>
    <n v="126"/>
    <n v="73"/>
    <x v="62"/>
    <x v="96"/>
    <x v="0"/>
    <n v="29.6"/>
    <n v="3"/>
    <n v="3"/>
    <x v="1"/>
    <n v="29.61"/>
    <s v="Overweight"/>
  </r>
  <r>
    <n v="25"/>
    <x v="1"/>
    <n v="41.2"/>
    <n v="1.62"/>
    <n v="193"/>
    <n v="144"/>
    <n v="64"/>
    <x v="6"/>
    <x v="97"/>
    <x v="0"/>
    <n v="28.9"/>
    <n v="2.1"/>
    <n v="4"/>
    <x v="1"/>
    <n v="15.7"/>
    <s v="Underweight"/>
  </r>
  <r>
    <n v="29"/>
    <x v="0"/>
    <n v="58.6"/>
    <n v="1.61"/>
    <n v="198"/>
    <n v="122"/>
    <n v="72"/>
    <x v="37"/>
    <x v="92"/>
    <x v="0"/>
    <n v="23.4"/>
    <n v="2"/>
    <n v="3"/>
    <x v="1"/>
    <n v="22.61"/>
    <s v="Normal Weight"/>
  </r>
  <r>
    <n v="51"/>
    <x v="0"/>
    <n v="109.3"/>
    <n v="1.78"/>
    <n v="182"/>
    <n v="157"/>
    <n v="64"/>
    <x v="63"/>
    <x v="98"/>
    <x v="3"/>
    <n v="28.7"/>
    <n v="3.3"/>
    <n v="3"/>
    <x v="2"/>
    <n v="34.5"/>
    <s v="Obesity"/>
  </r>
  <r>
    <n v="50"/>
    <x v="0"/>
    <n v="69.599999999999994"/>
    <n v="1.96"/>
    <n v="166"/>
    <n v="139"/>
    <n v="68"/>
    <x v="64"/>
    <x v="99"/>
    <x v="3"/>
    <n v="25.6"/>
    <n v="2"/>
    <n v="3"/>
    <x v="2"/>
    <n v="18.12"/>
    <s v="Underweight"/>
  </r>
  <r>
    <n v="40"/>
    <x v="1"/>
    <n v="56.2"/>
    <n v="1.79"/>
    <n v="198"/>
    <n v="153"/>
    <n v="57"/>
    <x v="65"/>
    <x v="100"/>
    <x v="0"/>
    <n v="17.600000000000001"/>
    <n v="2.7"/>
    <n v="5"/>
    <x v="0"/>
    <n v="17.54"/>
    <s v="Underweight"/>
  </r>
  <r>
    <n v="41"/>
    <x v="0"/>
    <n v="71.7"/>
    <n v="1.96"/>
    <n v="162"/>
    <n v="168"/>
    <n v="51"/>
    <x v="66"/>
    <x v="101"/>
    <x v="0"/>
    <n v="27.3"/>
    <n v="2.5"/>
    <n v="2"/>
    <x v="2"/>
    <n v="18.66"/>
    <s v="Normal Weight"/>
  </r>
  <r>
    <n v="54"/>
    <x v="0"/>
    <n v="86"/>
    <n v="1.93"/>
    <n v="171"/>
    <n v="163"/>
    <n v="51"/>
    <x v="67"/>
    <x v="102"/>
    <x v="3"/>
    <n v="12.9"/>
    <n v="3.5"/>
    <n v="5"/>
    <x v="0"/>
    <n v="23.09"/>
    <s v="Normal Weight"/>
  </r>
  <r>
    <n v="52"/>
    <x v="1"/>
    <n v="79.400000000000006"/>
    <n v="1.59"/>
    <n v="166"/>
    <n v="163"/>
    <n v="59"/>
    <x v="68"/>
    <x v="103"/>
    <x v="3"/>
    <n v="26.6"/>
    <n v="1.5"/>
    <n v="3"/>
    <x v="1"/>
    <n v="31.41"/>
    <s v="Obesity"/>
  </r>
  <r>
    <n v="57"/>
    <x v="1"/>
    <n v="78.400000000000006"/>
    <n v="1.62"/>
    <n v="185"/>
    <n v="149"/>
    <n v="52"/>
    <x v="69"/>
    <x v="2"/>
    <x v="3"/>
    <n v="31.7"/>
    <n v="2"/>
    <n v="4"/>
    <x v="1"/>
    <n v="29.87"/>
    <s v="Overweight"/>
  </r>
  <r>
    <n v="39"/>
    <x v="1"/>
    <n v="55.4"/>
    <n v="1.6"/>
    <n v="192"/>
    <n v="136"/>
    <n v="72"/>
    <x v="70"/>
    <x v="104"/>
    <x v="1"/>
    <n v="26.3"/>
    <n v="1.6"/>
    <n v="3"/>
    <x v="1"/>
    <n v="21.64"/>
    <s v="Normal Weight"/>
  </r>
  <r>
    <n v="44"/>
    <x v="1"/>
    <n v="61.7"/>
    <n v="1.55"/>
    <n v="196"/>
    <n v="129"/>
    <n v="66"/>
    <x v="39"/>
    <x v="105"/>
    <x v="3"/>
    <n v="33.1"/>
    <n v="2.6"/>
    <n v="4"/>
    <x v="1"/>
    <n v="25.68"/>
    <s v="Overweight"/>
  </r>
  <r>
    <n v="52"/>
    <x v="0"/>
    <n v="85.5"/>
    <n v="1.82"/>
    <n v="174"/>
    <n v="154"/>
    <n v="57"/>
    <x v="56"/>
    <x v="106"/>
    <x v="0"/>
    <n v="14.9"/>
    <n v="3.5"/>
    <n v="4"/>
    <x v="0"/>
    <n v="25.81"/>
    <s v="Overweight"/>
  </r>
  <r>
    <n v="18"/>
    <x v="0"/>
    <n v="87.6"/>
    <n v="1.93"/>
    <n v="161"/>
    <n v="139"/>
    <n v="72"/>
    <x v="71"/>
    <x v="107"/>
    <x v="1"/>
    <n v="11.9"/>
    <n v="3.5"/>
    <n v="4"/>
    <x v="0"/>
    <n v="23.52"/>
    <s v="Normal Weight"/>
  </r>
  <r>
    <n v="52"/>
    <x v="0"/>
    <n v="82.4"/>
    <n v="1.72"/>
    <n v="166"/>
    <n v="137"/>
    <n v="53"/>
    <x v="69"/>
    <x v="108"/>
    <x v="3"/>
    <n v="24.4"/>
    <n v="2.7"/>
    <n v="4"/>
    <x v="1"/>
    <n v="27.85"/>
    <s v="Overweight"/>
  </r>
  <r>
    <n v="54"/>
    <x v="0"/>
    <n v="67"/>
    <n v="1.68"/>
    <n v="191"/>
    <n v="164"/>
    <n v="63"/>
    <x v="72"/>
    <x v="109"/>
    <x v="0"/>
    <n v="20.5"/>
    <n v="2.8"/>
    <n v="3"/>
    <x v="2"/>
    <n v="23.74"/>
    <s v="Normal Weight"/>
  </r>
  <r>
    <n v="31"/>
    <x v="1"/>
    <n v="42.3"/>
    <n v="1.6"/>
    <n v="163"/>
    <n v="163"/>
    <n v="70"/>
    <x v="58"/>
    <x v="110"/>
    <x v="2"/>
    <n v="25.1"/>
    <n v="1.9"/>
    <n v="3"/>
    <x v="1"/>
    <n v="16.52"/>
    <s v="Underweight"/>
  </r>
  <r>
    <n v="20"/>
    <x v="0"/>
    <n v="82.7"/>
    <n v="1.99"/>
    <n v="179"/>
    <n v="146"/>
    <n v="59"/>
    <x v="0"/>
    <x v="106"/>
    <x v="1"/>
    <n v="14.6"/>
    <n v="3.5"/>
    <n v="5"/>
    <x v="0"/>
    <n v="20.88"/>
    <s v="Normal Weight"/>
  </r>
  <r>
    <n v="18"/>
    <x v="0"/>
    <n v="92.4"/>
    <n v="1.74"/>
    <n v="195"/>
    <n v="168"/>
    <n v="50"/>
    <x v="39"/>
    <x v="111"/>
    <x v="0"/>
    <n v="21.3"/>
    <n v="3.1"/>
    <n v="2"/>
    <x v="2"/>
    <n v="30.52"/>
    <s v="Obesity"/>
  </r>
  <r>
    <n v="22"/>
    <x v="1"/>
    <n v="63.2"/>
    <n v="1.54"/>
    <n v="191"/>
    <n v="155"/>
    <n v="53"/>
    <x v="73"/>
    <x v="112"/>
    <x v="2"/>
    <n v="29.5"/>
    <n v="2.4"/>
    <n v="4"/>
    <x v="1"/>
    <n v="26.65"/>
    <s v="Overweight"/>
  </r>
  <r>
    <n v="43"/>
    <x v="0"/>
    <n v="82.7"/>
    <n v="1.85"/>
    <n v="187"/>
    <n v="142"/>
    <n v="50"/>
    <x v="74"/>
    <x v="113"/>
    <x v="0"/>
    <n v="28.2"/>
    <n v="3.1"/>
    <n v="4"/>
    <x v="1"/>
    <n v="24.16"/>
    <s v="Normal Weight"/>
  </r>
  <r>
    <n v="31"/>
    <x v="0"/>
    <n v="86.6"/>
    <n v="1.76"/>
    <n v="172"/>
    <n v="151"/>
    <n v="66"/>
    <x v="28"/>
    <x v="114"/>
    <x v="3"/>
    <n v="28.9"/>
    <n v="3.3"/>
    <n v="3"/>
    <x v="1"/>
    <n v="27.96"/>
    <s v="Overweight"/>
  </r>
  <r>
    <n v="56"/>
    <x v="0"/>
    <n v="129.5"/>
    <n v="1.95"/>
    <n v="160"/>
    <n v="129"/>
    <n v="66"/>
    <x v="75"/>
    <x v="115"/>
    <x v="3"/>
    <n v="25.2"/>
    <n v="3.5"/>
    <n v="2"/>
    <x v="2"/>
    <n v="34.06"/>
    <s v="Obesity"/>
  </r>
  <r>
    <n v="44"/>
    <x v="0"/>
    <n v="98"/>
    <n v="1.83"/>
    <n v="194"/>
    <n v="130"/>
    <n v="56"/>
    <x v="76"/>
    <x v="116"/>
    <x v="2"/>
    <n v="25.7"/>
    <n v="3.5"/>
    <n v="4"/>
    <x v="1"/>
    <n v="29.26"/>
    <s v="Overweight"/>
  </r>
  <r>
    <n v="26"/>
    <x v="0"/>
    <n v="86.2"/>
    <n v="1.68"/>
    <n v="189"/>
    <n v="157"/>
    <n v="72"/>
    <x v="47"/>
    <x v="117"/>
    <x v="3"/>
    <n v="13.3"/>
    <n v="3.5"/>
    <n v="5"/>
    <x v="0"/>
    <n v="30.54"/>
    <s v="Obesity"/>
  </r>
  <r>
    <n v="32"/>
    <x v="0"/>
    <n v="78.599999999999994"/>
    <n v="1.62"/>
    <n v="195"/>
    <n v="125"/>
    <n v="69"/>
    <x v="76"/>
    <x v="118"/>
    <x v="0"/>
    <n v="29.6"/>
    <n v="3.1"/>
    <n v="3"/>
    <x v="2"/>
    <n v="29.95"/>
    <s v="Overweight"/>
  </r>
  <r>
    <n v="32"/>
    <x v="1"/>
    <n v="59"/>
    <n v="1.66"/>
    <n v="184"/>
    <n v="160"/>
    <n v="64"/>
    <x v="66"/>
    <x v="119"/>
    <x v="2"/>
    <n v="31"/>
    <n v="1.8"/>
    <n v="2"/>
    <x v="2"/>
    <n v="21.41"/>
    <s v="Normal Weight"/>
  </r>
  <r>
    <n v="43"/>
    <x v="1"/>
    <n v="57.3"/>
    <n v="1.79"/>
    <n v="175"/>
    <n v="166"/>
    <n v="62"/>
    <x v="77"/>
    <x v="120"/>
    <x v="0"/>
    <n v="17.8"/>
    <n v="2.7"/>
    <n v="4"/>
    <x v="0"/>
    <n v="17.88"/>
    <s v="Underweight"/>
  </r>
  <r>
    <n v="59"/>
    <x v="0"/>
    <n v="122.3"/>
    <n v="1.89"/>
    <n v="178"/>
    <n v="153"/>
    <n v="51"/>
    <x v="78"/>
    <x v="121"/>
    <x v="0"/>
    <n v="20.100000000000001"/>
    <n v="3.1"/>
    <n v="3"/>
    <x v="2"/>
    <n v="34.24"/>
    <s v="Obesity"/>
  </r>
  <r>
    <n v="30"/>
    <x v="0"/>
    <n v="85.3"/>
    <n v="1.95"/>
    <n v="160"/>
    <n v="155"/>
    <n v="68"/>
    <x v="79"/>
    <x v="122"/>
    <x v="0"/>
    <n v="10.4"/>
    <n v="3.5"/>
    <n v="5"/>
    <x v="0"/>
    <n v="22.43"/>
    <s v="Normal Weight"/>
  </r>
  <r>
    <n v="49"/>
    <x v="1"/>
    <n v="45.2"/>
    <n v="1.74"/>
    <n v="164"/>
    <n v="156"/>
    <n v="73"/>
    <x v="12"/>
    <x v="123"/>
    <x v="3"/>
    <n v="30.8"/>
    <n v="2.1"/>
    <n v="3"/>
    <x v="1"/>
    <n v="14.93"/>
    <s v="Underweight"/>
  </r>
  <r>
    <n v="56"/>
    <x v="0"/>
    <n v="55.6"/>
    <n v="1.92"/>
    <n v="181"/>
    <n v="136"/>
    <n v="62"/>
    <x v="80"/>
    <x v="124"/>
    <x v="3"/>
    <n v="29.4"/>
    <n v="3.2"/>
    <n v="3"/>
    <x v="2"/>
    <n v="15.08"/>
    <s v="Underweight"/>
  </r>
  <r>
    <n v="49"/>
    <x v="0"/>
    <n v="82.8"/>
    <n v="1.95"/>
    <n v="183"/>
    <n v="159"/>
    <n v="73"/>
    <x v="81"/>
    <x v="125"/>
    <x v="0"/>
    <n v="14.3"/>
    <n v="3.5"/>
    <n v="5"/>
    <x v="0"/>
    <n v="21.78"/>
    <s v="Normal Weight"/>
  </r>
  <r>
    <n v="21"/>
    <x v="0"/>
    <n v="125.2"/>
    <n v="1.66"/>
    <n v="196"/>
    <n v="159"/>
    <n v="60"/>
    <x v="82"/>
    <x v="126"/>
    <x v="1"/>
    <n v="29.8"/>
    <n v="3.4"/>
    <n v="3"/>
    <x v="1"/>
    <n v="45.43"/>
    <s v="Obesity"/>
  </r>
  <r>
    <n v="47"/>
    <x v="1"/>
    <n v="58.5"/>
    <n v="1.79"/>
    <n v="195"/>
    <n v="131"/>
    <n v="71"/>
    <x v="24"/>
    <x v="127"/>
    <x v="0"/>
    <n v="30.3"/>
    <n v="2.4"/>
    <n v="4"/>
    <x v="1"/>
    <n v="18.260000000000002"/>
    <s v="Underweight"/>
  </r>
  <r>
    <n v="54"/>
    <x v="0"/>
    <n v="86.1"/>
    <n v="1.95"/>
    <n v="195"/>
    <n v="140"/>
    <n v="64"/>
    <x v="21"/>
    <x v="128"/>
    <x v="0"/>
    <n v="27.9"/>
    <n v="3.4"/>
    <n v="2"/>
    <x v="2"/>
    <n v="22.64"/>
    <s v="Normal Weight"/>
  </r>
  <r>
    <n v="40"/>
    <x v="1"/>
    <n v="63.5"/>
    <n v="1.61"/>
    <n v="163"/>
    <n v="159"/>
    <n v="59"/>
    <x v="34"/>
    <x v="129"/>
    <x v="2"/>
    <n v="33.4"/>
    <n v="1.6"/>
    <n v="3"/>
    <x v="1"/>
    <n v="24.5"/>
    <s v="Normal Weight"/>
  </r>
  <r>
    <n v="56"/>
    <x v="0"/>
    <n v="69.3"/>
    <n v="1.68"/>
    <n v="195"/>
    <n v="138"/>
    <n v="58"/>
    <x v="78"/>
    <x v="130"/>
    <x v="0"/>
    <n v="26.5"/>
    <n v="2.1"/>
    <n v="2"/>
    <x v="2"/>
    <n v="24.55"/>
    <s v="Normal Weight"/>
  </r>
  <r>
    <n v="32"/>
    <x v="1"/>
    <n v="70.5"/>
    <n v="1.62"/>
    <n v="177"/>
    <n v="122"/>
    <n v="58"/>
    <x v="12"/>
    <x v="131"/>
    <x v="3"/>
    <n v="28.4"/>
    <n v="1.8"/>
    <n v="2"/>
    <x v="2"/>
    <n v="26.86"/>
    <s v="Overweight"/>
  </r>
  <r>
    <n v="46"/>
    <x v="1"/>
    <n v="60.1"/>
    <n v="1.65"/>
    <n v="175"/>
    <n v="137"/>
    <n v="69"/>
    <x v="0"/>
    <x v="132"/>
    <x v="2"/>
    <n v="17.3"/>
    <n v="2.7"/>
    <n v="4"/>
    <x v="0"/>
    <n v="22.08"/>
    <s v="Normal Weight"/>
  </r>
  <r>
    <n v="53"/>
    <x v="0"/>
    <n v="94.1"/>
    <n v="1.95"/>
    <n v="177"/>
    <n v="138"/>
    <n v="50"/>
    <x v="50"/>
    <x v="133"/>
    <x v="1"/>
    <n v="28.6"/>
    <n v="3.5"/>
    <n v="3"/>
    <x v="2"/>
    <n v="24.75"/>
    <s v="Normal Weight"/>
  </r>
  <r>
    <n v="30"/>
    <x v="1"/>
    <n v="79.2"/>
    <n v="1.62"/>
    <n v="181"/>
    <n v="166"/>
    <n v="66"/>
    <x v="32"/>
    <x v="32"/>
    <x v="2"/>
    <n v="28"/>
    <n v="2.5"/>
    <n v="4"/>
    <x v="1"/>
    <n v="30.18"/>
    <s v="Obesity"/>
  </r>
  <r>
    <n v="49"/>
    <x v="0"/>
    <n v="115.3"/>
    <n v="1.91"/>
    <n v="161"/>
    <n v="125"/>
    <n v="61"/>
    <x v="82"/>
    <x v="134"/>
    <x v="1"/>
    <n v="29.2"/>
    <n v="3.2"/>
    <n v="2"/>
    <x v="2"/>
    <n v="31.61"/>
    <s v="Obesity"/>
  </r>
  <r>
    <n v="24"/>
    <x v="1"/>
    <n v="62.9"/>
    <n v="1.79"/>
    <n v="180"/>
    <n v="135"/>
    <n v="59"/>
    <x v="24"/>
    <x v="135"/>
    <x v="2"/>
    <n v="27.3"/>
    <n v="2.2999999999999998"/>
    <n v="4"/>
    <x v="1"/>
    <n v="19.63"/>
    <s v="Normal Weight"/>
  </r>
  <r>
    <n v="39"/>
    <x v="0"/>
    <n v="62"/>
    <n v="1.64"/>
    <n v="195"/>
    <n v="127"/>
    <n v="54"/>
    <x v="64"/>
    <x v="136"/>
    <x v="2"/>
    <n v="27.5"/>
    <n v="3.2"/>
    <n v="3"/>
    <x v="2"/>
    <n v="23.05"/>
    <s v="Normal Weight"/>
  </r>
  <r>
    <n v="45"/>
    <x v="0"/>
    <n v="88.5"/>
    <n v="1.78"/>
    <n v="198"/>
    <n v="167"/>
    <n v="67"/>
    <x v="83"/>
    <x v="137"/>
    <x v="1"/>
    <n v="13.2"/>
    <n v="3.5"/>
    <n v="4"/>
    <x v="0"/>
    <n v="27.93"/>
    <s v="Overweight"/>
  </r>
  <r>
    <n v="19"/>
    <x v="1"/>
    <n v="73.900000000000006"/>
    <n v="1.77"/>
    <n v="198"/>
    <n v="137"/>
    <n v="64"/>
    <x v="76"/>
    <x v="138"/>
    <x v="3"/>
    <n v="32.5"/>
    <n v="2.6"/>
    <n v="3"/>
    <x v="1"/>
    <n v="23.59"/>
    <s v="Normal Weight"/>
  </r>
  <r>
    <n v="59"/>
    <x v="0"/>
    <n v="50.3"/>
    <n v="1.95"/>
    <n v="188"/>
    <n v="167"/>
    <n v="55"/>
    <x v="53"/>
    <x v="139"/>
    <x v="3"/>
    <n v="24.4"/>
    <n v="3.4"/>
    <n v="3"/>
    <x v="2"/>
    <n v="13.23"/>
    <s v="Underweight"/>
  </r>
  <r>
    <n v="23"/>
    <x v="0"/>
    <n v="83.1"/>
    <n v="1.8"/>
    <n v="185"/>
    <n v="162"/>
    <n v="56"/>
    <x v="84"/>
    <x v="140"/>
    <x v="3"/>
    <n v="29.3"/>
    <n v="3.1"/>
    <n v="3"/>
    <x v="2"/>
    <n v="25.65"/>
    <s v="Overweight"/>
  </r>
  <r>
    <n v="45"/>
    <x v="1"/>
    <n v="65.099999999999994"/>
    <n v="1.78"/>
    <n v="180"/>
    <n v="158"/>
    <n v="66"/>
    <x v="85"/>
    <x v="141"/>
    <x v="2"/>
    <n v="31.3"/>
    <n v="2.2999999999999998"/>
    <n v="3"/>
    <x v="2"/>
    <n v="20.55"/>
    <s v="Normal Weight"/>
  </r>
  <r>
    <n v="45"/>
    <x v="0"/>
    <n v="46.6"/>
    <n v="1.79"/>
    <n v="176"/>
    <n v="168"/>
    <n v="55"/>
    <x v="85"/>
    <x v="142"/>
    <x v="0"/>
    <n v="22.9"/>
    <n v="2.4"/>
    <n v="3"/>
    <x v="1"/>
    <n v="14.54"/>
    <s v="Underweight"/>
  </r>
  <r>
    <n v="37"/>
    <x v="0"/>
    <n v="103.5"/>
    <n v="1.89"/>
    <n v="175"/>
    <n v="168"/>
    <n v="57"/>
    <x v="63"/>
    <x v="143"/>
    <x v="2"/>
    <n v="26.4"/>
    <n v="3.1"/>
    <n v="2"/>
    <x v="2"/>
    <n v="28.97"/>
    <s v="Overweight"/>
  </r>
  <r>
    <n v="47"/>
    <x v="1"/>
    <n v="61.9"/>
    <n v="1.54"/>
    <n v="190"/>
    <n v="131"/>
    <n v="61"/>
    <x v="86"/>
    <x v="56"/>
    <x v="0"/>
    <n v="16.399999999999999"/>
    <n v="2.7"/>
    <n v="4"/>
    <x v="0"/>
    <n v="26.1"/>
    <s v="Overweight"/>
  </r>
  <r>
    <n v="28"/>
    <x v="1"/>
    <n v="52"/>
    <n v="1.61"/>
    <n v="168"/>
    <n v="164"/>
    <n v="70"/>
    <x v="31"/>
    <x v="144"/>
    <x v="0"/>
    <n v="27.9"/>
    <n v="2"/>
    <n v="3"/>
    <x v="1"/>
    <n v="20.059999999999999"/>
    <s v="Normal Weight"/>
  </r>
  <r>
    <n v="45"/>
    <x v="0"/>
    <n v="113.4"/>
    <n v="1.71"/>
    <n v="190"/>
    <n v="129"/>
    <n v="63"/>
    <x v="87"/>
    <x v="145"/>
    <x v="3"/>
    <n v="24"/>
    <n v="2.2999999999999998"/>
    <n v="2"/>
    <x v="2"/>
    <n v="38.78"/>
    <s v="Obesity"/>
  </r>
  <r>
    <n v="42"/>
    <x v="0"/>
    <n v="62.9"/>
    <n v="1.98"/>
    <n v="173"/>
    <n v="126"/>
    <n v="61"/>
    <x v="24"/>
    <x v="146"/>
    <x v="0"/>
    <n v="28.5"/>
    <n v="3.4"/>
    <n v="4"/>
    <x v="1"/>
    <n v="16.04"/>
    <s v="Underweight"/>
  </r>
  <r>
    <n v="56"/>
    <x v="1"/>
    <n v="40.4"/>
    <n v="1.8"/>
    <n v="196"/>
    <n v="165"/>
    <n v="72"/>
    <x v="40"/>
    <x v="147"/>
    <x v="2"/>
    <n v="30"/>
    <n v="2.1"/>
    <n v="4"/>
    <x v="1"/>
    <n v="12.47"/>
    <s v="Underweight"/>
  </r>
  <r>
    <n v="50"/>
    <x v="1"/>
    <n v="67.099999999999994"/>
    <n v="1.75"/>
    <n v="161"/>
    <n v="120"/>
    <n v="59"/>
    <x v="88"/>
    <x v="148"/>
    <x v="2"/>
    <n v="31.8"/>
    <n v="2.7"/>
    <n v="3"/>
    <x v="2"/>
    <n v="21.91"/>
    <s v="Normal Weight"/>
  </r>
  <r>
    <n v="18"/>
    <x v="0"/>
    <n v="70"/>
    <n v="1.61"/>
    <n v="173"/>
    <n v="168"/>
    <n v="71"/>
    <x v="1"/>
    <x v="149"/>
    <x v="3"/>
    <n v="23.9"/>
    <n v="2.5"/>
    <n v="2"/>
    <x v="2"/>
    <n v="27.01"/>
    <s v="Overweight"/>
  </r>
  <r>
    <n v="44"/>
    <x v="1"/>
    <n v="69.5"/>
    <n v="1.75"/>
    <n v="192"/>
    <n v="155"/>
    <n v="69"/>
    <x v="73"/>
    <x v="150"/>
    <x v="1"/>
    <n v="27.6"/>
    <n v="2.1"/>
    <n v="3"/>
    <x v="2"/>
    <n v="22.69"/>
    <s v="Normal Weight"/>
  </r>
  <r>
    <n v="30"/>
    <x v="0"/>
    <n v="107.9"/>
    <n v="1.66"/>
    <n v="194"/>
    <n v="140"/>
    <n v="64"/>
    <x v="9"/>
    <x v="55"/>
    <x v="2"/>
    <n v="29.5"/>
    <n v="2.8"/>
    <n v="3"/>
    <x v="1"/>
    <n v="39.159999999999997"/>
    <s v="Obesity"/>
  </r>
  <r>
    <n v="58"/>
    <x v="0"/>
    <n v="109"/>
    <n v="1.91"/>
    <n v="198"/>
    <n v="156"/>
    <n v="56"/>
    <x v="6"/>
    <x v="151"/>
    <x v="0"/>
    <n v="26"/>
    <n v="2.2000000000000002"/>
    <n v="3"/>
    <x v="1"/>
    <n v="29.88"/>
    <s v="Overweight"/>
  </r>
  <r>
    <n v="20"/>
    <x v="0"/>
    <n v="101"/>
    <n v="1.91"/>
    <n v="179"/>
    <n v="143"/>
    <n v="58"/>
    <x v="89"/>
    <x v="152"/>
    <x v="2"/>
    <n v="29.3"/>
    <n v="2.7"/>
    <n v="3"/>
    <x v="1"/>
    <n v="27.69"/>
    <s v="Overweight"/>
  </r>
  <r>
    <n v="56"/>
    <x v="0"/>
    <n v="88.5"/>
    <n v="1.85"/>
    <n v="161"/>
    <n v="144"/>
    <n v="59"/>
    <x v="90"/>
    <x v="153"/>
    <x v="2"/>
    <n v="11"/>
    <n v="3.5"/>
    <n v="4"/>
    <x v="0"/>
    <n v="25.86"/>
    <s v="Overweight"/>
  </r>
  <r>
    <n v="23"/>
    <x v="0"/>
    <n v="80.900000000000006"/>
    <n v="1.8"/>
    <n v="178"/>
    <n v="126"/>
    <n v="59"/>
    <x v="91"/>
    <x v="154"/>
    <x v="2"/>
    <n v="10.7"/>
    <n v="3.5"/>
    <n v="4"/>
    <x v="0"/>
    <n v="24.97"/>
    <s v="Normal Weight"/>
  </r>
  <r>
    <n v="25"/>
    <x v="1"/>
    <n v="43.1"/>
    <n v="1.62"/>
    <n v="196"/>
    <n v="161"/>
    <n v="65"/>
    <x v="29"/>
    <x v="127"/>
    <x v="1"/>
    <n v="33.6"/>
    <n v="1.8"/>
    <n v="4"/>
    <x v="1"/>
    <n v="16.420000000000002"/>
    <s v="Underweight"/>
  </r>
  <r>
    <n v="44"/>
    <x v="1"/>
    <n v="59.1"/>
    <n v="1.52"/>
    <n v="177"/>
    <n v="136"/>
    <n v="56"/>
    <x v="92"/>
    <x v="155"/>
    <x v="0"/>
    <n v="18.399999999999999"/>
    <n v="2.7"/>
    <n v="5"/>
    <x v="0"/>
    <n v="25.58"/>
    <s v="Overweight"/>
  </r>
  <r>
    <n v="26"/>
    <x v="1"/>
    <n v="54"/>
    <n v="1.53"/>
    <n v="175"/>
    <n v="148"/>
    <n v="54"/>
    <x v="36"/>
    <x v="156"/>
    <x v="3"/>
    <n v="26.9"/>
    <n v="1.7"/>
    <n v="3"/>
    <x v="2"/>
    <n v="23.07"/>
    <s v="Normal Weight"/>
  </r>
  <r>
    <n v="54"/>
    <x v="1"/>
    <n v="72.3"/>
    <n v="1.78"/>
    <n v="163"/>
    <n v="149"/>
    <n v="72"/>
    <x v="7"/>
    <x v="157"/>
    <x v="2"/>
    <n v="27.7"/>
    <n v="1.8"/>
    <n v="2"/>
    <x v="2"/>
    <n v="22.82"/>
    <s v="Normal Weight"/>
  </r>
  <r>
    <n v="50"/>
    <x v="0"/>
    <n v="51.1"/>
    <n v="1.98"/>
    <n v="171"/>
    <n v="126"/>
    <n v="52"/>
    <x v="93"/>
    <x v="158"/>
    <x v="0"/>
    <n v="28"/>
    <n v="2.4"/>
    <n v="2"/>
    <x v="2"/>
    <n v="13.03"/>
    <s v="Underweight"/>
  </r>
  <r>
    <n v="59"/>
    <x v="0"/>
    <n v="89.4"/>
    <n v="1.72"/>
    <n v="188"/>
    <n v="152"/>
    <n v="67"/>
    <x v="9"/>
    <x v="159"/>
    <x v="0"/>
    <n v="24.5"/>
    <n v="3.2"/>
    <n v="3"/>
    <x v="2"/>
    <n v="30.22"/>
    <s v="Obesity"/>
  </r>
  <r>
    <n v="41"/>
    <x v="0"/>
    <n v="51.5"/>
    <n v="1.8"/>
    <n v="166"/>
    <n v="126"/>
    <n v="60"/>
    <x v="58"/>
    <x v="160"/>
    <x v="3"/>
    <n v="26.7"/>
    <n v="2.1"/>
    <n v="4"/>
    <x v="1"/>
    <n v="15.9"/>
    <s v="Underweight"/>
  </r>
  <r>
    <n v="32"/>
    <x v="0"/>
    <n v="87.9"/>
    <n v="1.88"/>
    <n v="173"/>
    <n v="143"/>
    <n v="64"/>
    <x v="30"/>
    <x v="14"/>
    <x v="2"/>
    <n v="11.6"/>
    <n v="3.5"/>
    <n v="5"/>
    <x v="0"/>
    <n v="24.87"/>
    <s v="Normal Weight"/>
  </r>
  <r>
    <n v="49"/>
    <x v="1"/>
    <n v="42"/>
    <n v="1.52"/>
    <n v="171"/>
    <n v="130"/>
    <n v="70"/>
    <x v="94"/>
    <x v="161"/>
    <x v="1"/>
    <n v="28.8"/>
    <n v="2.2000000000000002"/>
    <n v="3"/>
    <x v="2"/>
    <n v="18.18"/>
    <s v="Underweight"/>
  </r>
  <r>
    <n v="49"/>
    <x v="0"/>
    <n v="79.2"/>
    <n v="1.72"/>
    <n v="194"/>
    <n v="128"/>
    <n v="69"/>
    <x v="85"/>
    <x v="24"/>
    <x v="0"/>
    <n v="29.9"/>
    <n v="3.3"/>
    <n v="3"/>
    <x v="2"/>
    <n v="26.77"/>
    <s v="Overweight"/>
  </r>
  <r>
    <n v="41"/>
    <x v="0"/>
    <n v="64.8"/>
    <n v="1.71"/>
    <n v="164"/>
    <n v="131"/>
    <n v="54"/>
    <x v="37"/>
    <x v="162"/>
    <x v="3"/>
    <n v="22.5"/>
    <n v="2.8"/>
    <n v="3"/>
    <x v="1"/>
    <n v="22.16"/>
    <s v="Normal Weight"/>
  </r>
  <r>
    <n v="58"/>
    <x v="1"/>
    <n v="63"/>
    <n v="1.78"/>
    <n v="176"/>
    <n v="154"/>
    <n v="73"/>
    <x v="92"/>
    <x v="163"/>
    <x v="1"/>
    <n v="17.5"/>
    <n v="2.7"/>
    <n v="4"/>
    <x v="0"/>
    <n v="19.88"/>
    <s v="Normal Weight"/>
  </r>
  <r>
    <n v="29"/>
    <x v="1"/>
    <n v="56.2"/>
    <n v="1.77"/>
    <n v="191"/>
    <n v="123"/>
    <n v="61"/>
    <x v="80"/>
    <x v="164"/>
    <x v="0"/>
    <n v="33.4"/>
    <n v="2.6"/>
    <n v="3"/>
    <x v="2"/>
    <n v="17.940000000000001"/>
    <s v="Underweight"/>
  </r>
  <r>
    <n v="56"/>
    <x v="1"/>
    <n v="52.9"/>
    <n v="1.64"/>
    <n v="169"/>
    <n v="155"/>
    <n v="53"/>
    <x v="94"/>
    <x v="165"/>
    <x v="2"/>
    <n v="27.4"/>
    <n v="2.2999999999999998"/>
    <n v="3"/>
    <x v="1"/>
    <n v="19.670000000000002"/>
    <s v="Normal Weight"/>
  </r>
  <r>
    <n v="19"/>
    <x v="1"/>
    <n v="49"/>
    <n v="1.69"/>
    <n v="176"/>
    <n v="147"/>
    <n v="64"/>
    <x v="95"/>
    <x v="46"/>
    <x v="0"/>
    <n v="29.2"/>
    <n v="2.4"/>
    <n v="3"/>
    <x v="2"/>
    <n v="17.16"/>
    <s v="Underweight"/>
  </r>
  <r>
    <n v="20"/>
    <x v="0"/>
    <n v="128.19999999999999"/>
    <n v="1.84"/>
    <n v="164"/>
    <n v="132"/>
    <n v="58"/>
    <x v="87"/>
    <x v="166"/>
    <x v="1"/>
    <n v="26.2"/>
    <n v="2.2999999999999998"/>
    <n v="3"/>
    <x v="2"/>
    <n v="37.869999999999997"/>
    <s v="Obesity"/>
  </r>
  <r>
    <n v="54"/>
    <x v="0"/>
    <n v="83.6"/>
    <n v="1.86"/>
    <n v="168"/>
    <n v="142"/>
    <n v="56"/>
    <x v="96"/>
    <x v="144"/>
    <x v="1"/>
    <n v="12.4"/>
    <n v="3.5"/>
    <n v="5"/>
    <x v="0"/>
    <n v="24.16"/>
    <s v="Normal Weight"/>
  </r>
  <r>
    <n v="34"/>
    <x v="1"/>
    <n v="56.2"/>
    <n v="1.77"/>
    <n v="192"/>
    <n v="138"/>
    <n v="59"/>
    <x v="51"/>
    <x v="167"/>
    <x v="2"/>
    <n v="17.3"/>
    <n v="2.7"/>
    <n v="5"/>
    <x v="0"/>
    <n v="17.940000000000001"/>
    <s v="Underweight"/>
  </r>
  <r>
    <n v="19"/>
    <x v="0"/>
    <n v="87.8"/>
    <n v="1.78"/>
    <n v="195"/>
    <n v="161"/>
    <n v="72"/>
    <x v="76"/>
    <x v="50"/>
    <x v="2"/>
    <n v="23.6"/>
    <n v="3.3"/>
    <n v="2"/>
    <x v="2"/>
    <n v="27.71"/>
    <s v="Overweight"/>
  </r>
  <r>
    <n v="19"/>
    <x v="0"/>
    <n v="85.9"/>
    <n v="1.85"/>
    <n v="195"/>
    <n v="156"/>
    <n v="62"/>
    <x v="97"/>
    <x v="168"/>
    <x v="3"/>
    <n v="12.9"/>
    <n v="3.5"/>
    <n v="4"/>
    <x v="0"/>
    <n v="25.1"/>
    <s v="Overweight"/>
  </r>
  <r>
    <n v="45"/>
    <x v="0"/>
    <n v="51.1"/>
    <n v="1.87"/>
    <n v="177"/>
    <n v="158"/>
    <n v="57"/>
    <x v="70"/>
    <x v="169"/>
    <x v="2"/>
    <n v="26.2"/>
    <n v="3.4"/>
    <n v="4"/>
    <x v="1"/>
    <n v="14.61"/>
    <s v="Underweight"/>
  </r>
  <r>
    <n v="40"/>
    <x v="1"/>
    <n v="57.4"/>
    <n v="1.71"/>
    <n v="168"/>
    <n v="143"/>
    <n v="61"/>
    <x v="55"/>
    <x v="170"/>
    <x v="3"/>
    <n v="18.3"/>
    <n v="2.7"/>
    <n v="5"/>
    <x v="0"/>
    <n v="19.63"/>
    <s v="Normal Weight"/>
  </r>
  <r>
    <n v="54"/>
    <x v="0"/>
    <n v="114.9"/>
    <n v="1.92"/>
    <n v="188"/>
    <n v="135"/>
    <n v="71"/>
    <x v="37"/>
    <x v="171"/>
    <x v="1"/>
    <n v="20.7"/>
    <n v="2.6"/>
    <n v="4"/>
    <x v="1"/>
    <n v="31.17"/>
    <s v="Obesity"/>
  </r>
  <r>
    <n v="49"/>
    <x v="1"/>
    <n v="62.1"/>
    <n v="1.66"/>
    <n v="173"/>
    <n v="152"/>
    <n v="73"/>
    <x v="18"/>
    <x v="172"/>
    <x v="1"/>
    <n v="31.3"/>
    <n v="1.8"/>
    <n v="3"/>
    <x v="1"/>
    <n v="22.54"/>
    <s v="Normal Weight"/>
  </r>
  <r>
    <n v="50"/>
    <x v="0"/>
    <n v="57.1"/>
    <n v="1.91"/>
    <n v="184"/>
    <n v="131"/>
    <n v="68"/>
    <x v="58"/>
    <x v="173"/>
    <x v="0"/>
    <n v="29.5"/>
    <n v="2.7"/>
    <n v="4"/>
    <x v="1"/>
    <n v="15.65"/>
    <s v="Underweight"/>
  </r>
  <r>
    <n v="18"/>
    <x v="0"/>
    <n v="68.099999999999994"/>
    <n v="1.8"/>
    <n v="174"/>
    <n v="153"/>
    <n v="50"/>
    <x v="94"/>
    <x v="174"/>
    <x v="0"/>
    <n v="25.4"/>
    <n v="3.3"/>
    <n v="4"/>
    <x v="1"/>
    <n v="21.02"/>
    <s v="Normal Weight"/>
  </r>
  <r>
    <n v="36"/>
    <x v="0"/>
    <n v="69.2"/>
    <n v="1.65"/>
    <n v="165"/>
    <n v="126"/>
    <n v="65"/>
    <x v="40"/>
    <x v="157"/>
    <x v="3"/>
    <n v="27.2"/>
    <n v="2.7"/>
    <n v="3"/>
    <x v="2"/>
    <n v="25.42"/>
    <s v="Overweight"/>
  </r>
  <r>
    <n v="19"/>
    <x v="1"/>
    <n v="65.2"/>
    <n v="1.52"/>
    <n v="188"/>
    <n v="130"/>
    <n v="71"/>
    <x v="40"/>
    <x v="175"/>
    <x v="2"/>
    <n v="30.6"/>
    <n v="2.4"/>
    <n v="3"/>
    <x v="2"/>
    <n v="28.22"/>
    <s v="Overweight"/>
  </r>
  <r>
    <n v="43"/>
    <x v="0"/>
    <n v="108.6"/>
    <n v="1.73"/>
    <n v="174"/>
    <n v="150"/>
    <n v="66"/>
    <x v="16"/>
    <x v="176"/>
    <x v="2"/>
    <n v="28.5"/>
    <n v="2.2000000000000002"/>
    <n v="2"/>
    <x v="2"/>
    <n v="36.29"/>
    <s v="Obesity"/>
  </r>
  <r>
    <n v="49"/>
    <x v="1"/>
    <n v="40"/>
    <n v="1.65"/>
    <n v="188"/>
    <n v="148"/>
    <n v="74"/>
    <x v="8"/>
    <x v="177"/>
    <x v="0"/>
    <n v="34.299999999999997"/>
    <n v="2.5"/>
    <n v="3"/>
    <x v="1"/>
    <n v="14.69"/>
    <s v="Underweight"/>
  </r>
  <r>
    <n v="23"/>
    <x v="1"/>
    <n v="41.9"/>
    <n v="1.58"/>
    <n v="163"/>
    <n v="132"/>
    <n v="67"/>
    <x v="45"/>
    <x v="178"/>
    <x v="1"/>
    <n v="26.8"/>
    <n v="1.8"/>
    <n v="3"/>
    <x v="2"/>
    <n v="16.78"/>
    <s v="Underweight"/>
  </r>
  <r>
    <n v="49"/>
    <x v="1"/>
    <n v="68.3"/>
    <n v="1.52"/>
    <n v="177"/>
    <n v="150"/>
    <n v="60"/>
    <x v="35"/>
    <x v="104"/>
    <x v="3"/>
    <n v="29.4"/>
    <n v="1.8"/>
    <n v="4"/>
    <x v="1"/>
    <n v="29.56"/>
    <s v="Overweight"/>
  </r>
  <r>
    <n v="21"/>
    <x v="0"/>
    <n v="88.4"/>
    <n v="1.6"/>
    <n v="198"/>
    <n v="121"/>
    <n v="67"/>
    <x v="98"/>
    <x v="179"/>
    <x v="1"/>
    <n v="12"/>
    <n v="3.5"/>
    <n v="4"/>
    <x v="0"/>
    <n v="34.53"/>
    <s v="Obesity"/>
  </r>
  <r>
    <n v="28"/>
    <x v="0"/>
    <n v="66"/>
    <n v="1.9"/>
    <n v="175"/>
    <n v="158"/>
    <n v="56"/>
    <x v="13"/>
    <x v="180"/>
    <x v="1"/>
    <n v="24.1"/>
    <n v="3"/>
    <n v="3"/>
    <x v="2"/>
    <n v="18.28"/>
    <s v="Underweight"/>
  </r>
  <r>
    <n v="34"/>
    <x v="0"/>
    <n v="71.900000000000006"/>
    <n v="1.64"/>
    <n v="170"/>
    <n v="134"/>
    <n v="67"/>
    <x v="32"/>
    <x v="181"/>
    <x v="2"/>
    <n v="21.3"/>
    <n v="2.1"/>
    <n v="4"/>
    <x v="1"/>
    <n v="26.73"/>
    <s v="Overweight"/>
  </r>
  <r>
    <n v="55"/>
    <x v="0"/>
    <n v="75.599999999999994"/>
    <n v="1.71"/>
    <n v="173"/>
    <n v="130"/>
    <n v="57"/>
    <x v="8"/>
    <x v="73"/>
    <x v="3"/>
    <n v="28.1"/>
    <n v="2"/>
    <n v="4"/>
    <x v="1"/>
    <n v="25.85"/>
    <s v="Overweight"/>
  </r>
  <r>
    <n v="41"/>
    <x v="1"/>
    <n v="63.4"/>
    <n v="1.59"/>
    <n v="162"/>
    <n v="153"/>
    <n v="55"/>
    <x v="99"/>
    <x v="182"/>
    <x v="1"/>
    <n v="15.2"/>
    <n v="2.7"/>
    <n v="5"/>
    <x v="0"/>
    <n v="25.08"/>
    <s v="Overweight"/>
  </r>
  <r>
    <n v="22"/>
    <x v="1"/>
    <n v="71.599999999999994"/>
    <n v="1.77"/>
    <n v="197"/>
    <n v="158"/>
    <n v="56"/>
    <x v="6"/>
    <x v="183"/>
    <x v="0"/>
    <n v="30.3"/>
    <n v="1.8"/>
    <n v="3"/>
    <x v="2"/>
    <n v="22.85"/>
    <s v="Normal Weight"/>
  </r>
  <r>
    <n v="51"/>
    <x v="1"/>
    <n v="57.4"/>
    <n v="1.77"/>
    <n v="177"/>
    <n v="123"/>
    <n v="72"/>
    <x v="9"/>
    <x v="184"/>
    <x v="0"/>
    <n v="31.6"/>
    <n v="2.1"/>
    <n v="4"/>
    <x v="1"/>
    <n v="18.32"/>
    <s v="Underweight"/>
  </r>
  <r>
    <n v="23"/>
    <x v="0"/>
    <n v="83.8"/>
    <n v="1.99"/>
    <n v="179"/>
    <n v="130"/>
    <n v="71"/>
    <x v="65"/>
    <x v="185"/>
    <x v="2"/>
    <n v="11"/>
    <n v="3.5"/>
    <n v="4"/>
    <x v="0"/>
    <n v="21.16"/>
    <s v="Normal Weight"/>
  </r>
  <r>
    <n v="39"/>
    <x v="1"/>
    <n v="55.9"/>
    <n v="1.71"/>
    <n v="184"/>
    <n v="148"/>
    <n v="59"/>
    <x v="86"/>
    <x v="186"/>
    <x v="0"/>
    <n v="19.5"/>
    <n v="2.7"/>
    <n v="5"/>
    <x v="0"/>
    <n v="19.12"/>
    <s v="Normal Weight"/>
  </r>
  <r>
    <n v="28"/>
    <x v="0"/>
    <n v="87"/>
    <n v="1.76"/>
    <n v="197"/>
    <n v="121"/>
    <n v="60"/>
    <x v="37"/>
    <x v="187"/>
    <x v="0"/>
    <n v="28.4"/>
    <n v="3.5"/>
    <n v="3"/>
    <x v="1"/>
    <n v="28.09"/>
    <s v="Overweight"/>
  </r>
  <r>
    <n v="33"/>
    <x v="1"/>
    <n v="65.3"/>
    <n v="1.71"/>
    <n v="172"/>
    <n v="135"/>
    <n v="74"/>
    <x v="13"/>
    <x v="188"/>
    <x v="1"/>
    <n v="29.7"/>
    <n v="2.5"/>
    <n v="4"/>
    <x v="1"/>
    <n v="22.33"/>
    <s v="Normal Weight"/>
  </r>
  <r>
    <n v="50"/>
    <x v="0"/>
    <n v="45.4"/>
    <n v="1.67"/>
    <n v="163"/>
    <n v="158"/>
    <n v="62"/>
    <x v="18"/>
    <x v="114"/>
    <x v="0"/>
    <n v="24.1"/>
    <n v="2.8"/>
    <n v="4"/>
    <x v="1"/>
    <n v="16.28"/>
    <s v="Underweight"/>
  </r>
  <r>
    <n v="26"/>
    <x v="0"/>
    <n v="87.1"/>
    <n v="1.87"/>
    <n v="173"/>
    <n v="132"/>
    <n v="58"/>
    <x v="98"/>
    <x v="189"/>
    <x v="0"/>
    <n v="11.2"/>
    <n v="3.5"/>
    <n v="4"/>
    <x v="0"/>
    <n v="24.91"/>
    <s v="Normal Weight"/>
  </r>
  <r>
    <n v="23"/>
    <x v="1"/>
    <n v="78.599999999999994"/>
    <n v="1.73"/>
    <n v="192"/>
    <n v="156"/>
    <n v="56"/>
    <x v="43"/>
    <x v="190"/>
    <x v="1"/>
    <n v="32.299999999999997"/>
    <n v="1.5"/>
    <n v="4"/>
    <x v="1"/>
    <n v="26.26"/>
    <s v="Overweight"/>
  </r>
  <r>
    <n v="33"/>
    <x v="1"/>
    <n v="78"/>
    <n v="1.71"/>
    <n v="187"/>
    <n v="136"/>
    <n v="58"/>
    <x v="9"/>
    <x v="41"/>
    <x v="2"/>
    <n v="26.3"/>
    <n v="2.1"/>
    <n v="3"/>
    <x v="2"/>
    <n v="26.67"/>
    <s v="Overweight"/>
  </r>
  <r>
    <n v="46"/>
    <x v="1"/>
    <n v="58"/>
    <n v="1.53"/>
    <n v="196"/>
    <n v="140"/>
    <n v="62"/>
    <x v="100"/>
    <x v="191"/>
    <x v="2"/>
    <n v="18.399999999999999"/>
    <n v="2.7"/>
    <n v="4"/>
    <x v="0"/>
    <n v="24.78"/>
    <s v="Normal Weight"/>
  </r>
  <r>
    <n v="20"/>
    <x v="1"/>
    <n v="71.3"/>
    <n v="1.69"/>
    <n v="167"/>
    <n v="163"/>
    <n v="52"/>
    <x v="76"/>
    <x v="192"/>
    <x v="3"/>
    <n v="33.4"/>
    <n v="2.2999999999999998"/>
    <n v="3"/>
    <x v="1"/>
    <n v="24.96"/>
    <s v="Normal Weight"/>
  </r>
  <r>
    <n v="37"/>
    <x v="0"/>
    <n v="49.1"/>
    <n v="1.74"/>
    <n v="193"/>
    <n v="138"/>
    <n v="52"/>
    <x v="2"/>
    <x v="193"/>
    <x v="0"/>
    <n v="22.3"/>
    <n v="2.6"/>
    <n v="3"/>
    <x v="1"/>
    <n v="16.22"/>
    <s v="Underweight"/>
  </r>
  <r>
    <n v="53"/>
    <x v="1"/>
    <n v="78.3"/>
    <n v="1.65"/>
    <n v="164"/>
    <n v="126"/>
    <n v="50"/>
    <x v="12"/>
    <x v="194"/>
    <x v="1"/>
    <n v="33.700000000000003"/>
    <n v="1.6"/>
    <n v="3"/>
    <x v="2"/>
    <n v="28.76"/>
    <s v="Overweight"/>
  </r>
  <r>
    <n v="36"/>
    <x v="1"/>
    <n v="57.3"/>
    <n v="1.64"/>
    <n v="164"/>
    <n v="157"/>
    <n v="70"/>
    <x v="15"/>
    <x v="195"/>
    <x v="3"/>
    <n v="25.3"/>
    <n v="1.8"/>
    <n v="4"/>
    <x v="1"/>
    <n v="21.3"/>
    <s v="Normal Weight"/>
  </r>
  <r>
    <n v="43"/>
    <x v="1"/>
    <n v="48.4"/>
    <n v="1.61"/>
    <n v="190"/>
    <n v="127"/>
    <n v="69"/>
    <x v="76"/>
    <x v="196"/>
    <x v="2"/>
    <n v="34.1"/>
    <n v="2.4"/>
    <n v="2"/>
    <x v="2"/>
    <n v="18.670000000000002"/>
    <s v="Normal Weight"/>
  </r>
  <r>
    <n v="20"/>
    <x v="0"/>
    <n v="76.400000000000006"/>
    <n v="1.62"/>
    <n v="168"/>
    <n v="132"/>
    <n v="51"/>
    <x v="14"/>
    <x v="197"/>
    <x v="2"/>
    <n v="21.2"/>
    <n v="2.6"/>
    <n v="4"/>
    <x v="1"/>
    <n v="29.11"/>
    <s v="Overweight"/>
  </r>
  <r>
    <n v="36"/>
    <x v="0"/>
    <n v="110.2"/>
    <n v="1.77"/>
    <n v="191"/>
    <n v="156"/>
    <n v="74"/>
    <x v="17"/>
    <x v="54"/>
    <x v="1"/>
    <n v="26.5"/>
    <n v="3.4"/>
    <n v="2"/>
    <x v="2"/>
    <n v="35.18"/>
    <s v="Obesity"/>
  </r>
  <r>
    <n v="37"/>
    <x v="1"/>
    <n v="72.900000000000006"/>
    <n v="1.76"/>
    <n v="192"/>
    <n v="121"/>
    <n v="52"/>
    <x v="101"/>
    <x v="196"/>
    <x v="3"/>
    <n v="27.5"/>
    <n v="1.9"/>
    <n v="3"/>
    <x v="1"/>
    <n v="23.53"/>
    <s v="Normal Weight"/>
  </r>
  <r>
    <n v="49"/>
    <x v="0"/>
    <n v="82.1"/>
    <n v="1.86"/>
    <n v="162"/>
    <n v="160"/>
    <n v="64"/>
    <x v="55"/>
    <x v="198"/>
    <x v="3"/>
    <n v="14.2"/>
    <n v="3.5"/>
    <n v="4"/>
    <x v="0"/>
    <n v="23.73"/>
    <s v="Normal Weight"/>
  </r>
  <r>
    <n v="24"/>
    <x v="1"/>
    <n v="58.9"/>
    <n v="1.76"/>
    <n v="189"/>
    <n v="130"/>
    <n v="73"/>
    <x v="54"/>
    <x v="199"/>
    <x v="1"/>
    <n v="30.1"/>
    <n v="1.7"/>
    <n v="3"/>
    <x v="2"/>
    <n v="19.010000000000002"/>
    <s v="Normal Weight"/>
  </r>
  <r>
    <n v="58"/>
    <x v="0"/>
    <n v="82.2"/>
    <n v="1.87"/>
    <n v="171"/>
    <n v="143"/>
    <n v="55"/>
    <x v="90"/>
    <x v="16"/>
    <x v="1"/>
    <n v="10.7"/>
    <n v="3.5"/>
    <n v="4"/>
    <x v="0"/>
    <n v="23.51"/>
    <s v="Normal Weight"/>
  </r>
  <r>
    <n v="50"/>
    <x v="0"/>
    <n v="96.7"/>
    <n v="1.72"/>
    <n v="188"/>
    <n v="125"/>
    <n v="62"/>
    <x v="85"/>
    <x v="200"/>
    <x v="3"/>
    <n v="25.7"/>
    <n v="2.7"/>
    <n v="3"/>
    <x v="1"/>
    <n v="32.69"/>
    <s v="Obesity"/>
  </r>
  <r>
    <n v="57"/>
    <x v="0"/>
    <n v="81.400000000000006"/>
    <n v="1.86"/>
    <n v="162"/>
    <n v="145"/>
    <n v="70"/>
    <x v="60"/>
    <x v="201"/>
    <x v="2"/>
    <n v="12"/>
    <n v="3.5"/>
    <n v="5"/>
    <x v="0"/>
    <n v="23.53"/>
    <s v="Normal Weight"/>
  </r>
  <r>
    <n v="56"/>
    <x v="0"/>
    <n v="107.8"/>
    <n v="1.73"/>
    <n v="185"/>
    <n v="126"/>
    <n v="50"/>
    <x v="58"/>
    <x v="160"/>
    <x v="0"/>
    <n v="26.6"/>
    <n v="2.8"/>
    <n v="3"/>
    <x v="1"/>
    <n v="36.020000000000003"/>
    <s v="Obesity"/>
  </r>
  <r>
    <n v="35"/>
    <x v="1"/>
    <n v="65.8"/>
    <n v="1.62"/>
    <n v="189"/>
    <n v="158"/>
    <n v="69"/>
    <x v="75"/>
    <x v="112"/>
    <x v="2"/>
    <n v="33.799999999999997"/>
    <n v="1.5"/>
    <n v="4"/>
    <x v="1"/>
    <n v="25.07"/>
    <s v="Overweight"/>
  </r>
  <r>
    <n v="57"/>
    <x v="1"/>
    <n v="68.5"/>
    <n v="1.56"/>
    <n v="168"/>
    <n v="138"/>
    <n v="68"/>
    <x v="35"/>
    <x v="202"/>
    <x v="1"/>
    <n v="29.1"/>
    <n v="1.6"/>
    <n v="4"/>
    <x v="1"/>
    <n v="28.15"/>
    <s v="Overweight"/>
  </r>
  <r>
    <n v="18"/>
    <x v="1"/>
    <n v="63.9"/>
    <n v="1.59"/>
    <n v="185"/>
    <n v="125"/>
    <n v="50"/>
    <x v="55"/>
    <x v="203"/>
    <x v="3"/>
    <n v="16.399999999999999"/>
    <n v="2.7"/>
    <n v="4"/>
    <x v="0"/>
    <n v="25.28"/>
    <s v="Overweight"/>
  </r>
  <r>
    <n v="28"/>
    <x v="0"/>
    <n v="76.3"/>
    <n v="1.62"/>
    <n v="161"/>
    <n v="162"/>
    <n v="70"/>
    <x v="62"/>
    <x v="204"/>
    <x v="3"/>
    <n v="20.100000000000001"/>
    <n v="2.2999999999999998"/>
    <n v="3"/>
    <x v="1"/>
    <n v="29.07"/>
    <s v="Overweight"/>
  </r>
  <r>
    <n v="45"/>
    <x v="1"/>
    <n v="44.5"/>
    <n v="1.65"/>
    <n v="162"/>
    <n v="148"/>
    <n v="71"/>
    <x v="70"/>
    <x v="205"/>
    <x v="0"/>
    <n v="30.7"/>
    <n v="1.6"/>
    <n v="3"/>
    <x v="2"/>
    <n v="16.350000000000001"/>
    <s v="Underweight"/>
  </r>
  <r>
    <n v="42"/>
    <x v="1"/>
    <n v="50.7"/>
    <n v="1.75"/>
    <n v="163"/>
    <n v="162"/>
    <n v="51"/>
    <x v="28"/>
    <x v="206"/>
    <x v="3"/>
    <n v="29"/>
    <n v="1.9"/>
    <n v="3"/>
    <x v="1"/>
    <n v="16.559999999999999"/>
    <s v="Underweight"/>
  </r>
  <r>
    <n v="40"/>
    <x v="1"/>
    <n v="55.1"/>
    <n v="1.61"/>
    <n v="184"/>
    <n v="158"/>
    <n v="64"/>
    <x v="91"/>
    <x v="207"/>
    <x v="0"/>
    <n v="16.899999999999999"/>
    <n v="2.7"/>
    <n v="4"/>
    <x v="0"/>
    <n v="21.26"/>
    <s v="Normal Weight"/>
  </r>
  <r>
    <n v="48"/>
    <x v="0"/>
    <n v="73.7"/>
    <n v="1.61"/>
    <n v="172"/>
    <n v="121"/>
    <n v="63"/>
    <x v="89"/>
    <x v="208"/>
    <x v="2"/>
    <n v="21.8"/>
    <n v="3.6"/>
    <n v="4"/>
    <x v="1"/>
    <n v="28.43"/>
    <s v="Overweight"/>
  </r>
  <r>
    <n v="47"/>
    <x v="0"/>
    <n v="55.6"/>
    <n v="1.77"/>
    <n v="198"/>
    <n v="138"/>
    <n v="68"/>
    <x v="37"/>
    <x v="209"/>
    <x v="2"/>
    <n v="24.3"/>
    <n v="2.9"/>
    <n v="4"/>
    <x v="1"/>
    <n v="17.75"/>
    <s v="Underweight"/>
  </r>
  <r>
    <n v="59"/>
    <x v="0"/>
    <n v="86.9"/>
    <n v="1.76"/>
    <n v="194"/>
    <n v="123"/>
    <n v="60"/>
    <x v="15"/>
    <x v="210"/>
    <x v="3"/>
    <n v="29.8"/>
    <n v="3.1"/>
    <n v="3"/>
    <x v="1"/>
    <n v="28.05"/>
    <s v="Overweight"/>
  </r>
  <r>
    <n v="52"/>
    <x v="1"/>
    <n v="60.3"/>
    <n v="1.68"/>
    <n v="182"/>
    <n v="125"/>
    <n v="64"/>
    <x v="102"/>
    <x v="202"/>
    <x v="3"/>
    <n v="16.5"/>
    <n v="2.7"/>
    <n v="4"/>
    <x v="0"/>
    <n v="21.36"/>
    <s v="Normal Weight"/>
  </r>
  <r>
    <n v="24"/>
    <x v="1"/>
    <n v="40.4"/>
    <n v="1.64"/>
    <n v="168"/>
    <n v="168"/>
    <n v="55"/>
    <x v="103"/>
    <x v="55"/>
    <x v="1"/>
    <n v="31"/>
    <n v="1.9"/>
    <n v="2"/>
    <x v="2"/>
    <n v="15.02"/>
    <s v="Underweight"/>
  </r>
  <r>
    <n v="33"/>
    <x v="1"/>
    <n v="78.5"/>
    <n v="1.66"/>
    <n v="161"/>
    <n v="156"/>
    <n v="69"/>
    <x v="28"/>
    <x v="211"/>
    <x v="1"/>
    <n v="32.799999999999997"/>
    <n v="1.9"/>
    <n v="4"/>
    <x v="1"/>
    <n v="28.49"/>
    <s v="Overweight"/>
  </r>
  <r>
    <n v="43"/>
    <x v="0"/>
    <n v="102.6"/>
    <n v="1.72"/>
    <n v="190"/>
    <n v="147"/>
    <n v="58"/>
    <x v="10"/>
    <x v="212"/>
    <x v="3"/>
    <n v="27.5"/>
    <n v="2"/>
    <n v="2"/>
    <x v="2"/>
    <n v="34.68"/>
    <s v="Obesity"/>
  </r>
  <r>
    <n v="19"/>
    <x v="0"/>
    <n v="110.8"/>
    <n v="1.91"/>
    <n v="161"/>
    <n v="149"/>
    <n v="54"/>
    <x v="34"/>
    <x v="154"/>
    <x v="3"/>
    <n v="23.3"/>
    <n v="2.9"/>
    <n v="2"/>
    <x v="2"/>
    <n v="30.37"/>
    <s v="Obesity"/>
  </r>
  <r>
    <n v="18"/>
    <x v="1"/>
    <n v="60.9"/>
    <n v="1.79"/>
    <n v="191"/>
    <n v="126"/>
    <n v="69"/>
    <x v="2"/>
    <x v="213"/>
    <x v="2"/>
    <n v="31.1"/>
    <n v="2.1"/>
    <n v="2"/>
    <x v="2"/>
    <n v="19.010000000000002"/>
    <s v="Normal Weight"/>
  </r>
  <r>
    <n v="29"/>
    <x v="0"/>
    <n v="55.7"/>
    <n v="1.61"/>
    <n v="177"/>
    <n v="128"/>
    <n v="51"/>
    <x v="39"/>
    <x v="214"/>
    <x v="3"/>
    <n v="28.7"/>
    <n v="2.2999999999999998"/>
    <n v="3"/>
    <x v="2"/>
    <n v="21.49"/>
    <s v="Normal Weight"/>
  </r>
  <r>
    <n v="22"/>
    <x v="0"/>
    <n v="110.5"/>
    <n v="1.92"/>
    <n v="172"/>
    <n v="144"/>
    <n v="55"/>
    <x v="62"/>
    <x v="215"/>
    <x v="1"/>
    <n v="20.2"/>
    <n v="3.3"/>
    <n v="3"/>
    <x v="1"/>
    <n v="29.98"/>
    <s v="Overweight"/>
  </r>
  <r>
    <n v="54"/>
    <x v="0"/>
    <n v="55.2"/>
    <n v="1.71"/>
    <n v="164"/>
    <n v="152"/>
    <n v="67"/>
    <x v="104"/>
    <x v="216"/>
    <x v="2"/>
    <n v="24.4"/>
    <n v="2.8"/>
    <n v="2"/>
    <x v="2"/>
    <n v="18.88"/>
    <s v="Normal Weight"/>
  </r>
  <r>
    <n v="49"/>
    <x v="0"/>
    <n v="46.5"/>
    <n v="1.72"/>
    <n v="169"/>
    <n v="120"/>
    <n v="72"/>
    <x v="44"/>
    <x v="55"/>
    <x v="0"/>
    <n v="22.2"/>
    <n v="2.6"/>
    <n v="4"/>
    <x v="1"/>
    <n v="15.72"/>
    <s v="Underweight"/>
  </r>
  <r>
    <n v="26"/>
    <x v="1"/>
    <n v="70.900000000000006"/>
    <n v="1.66"/>
    <n v="184"/>
    <n v="125"/>
    <n v="68"/>
    <x v="42"/>
    <x v="52"/>
    <x v="1"/>
    <n v="28.9"/>
    <n v="1.7"/>
    <n v="3"/>
    <x v="2"/>
    <n v="25.73"/>
    <s v="Overweight"/>
  </r>
  <r>
    <n v="58"/>
    <x v="0"/>
    <n v="74.599999999999994"/>
    <n v="1.75"/>
    <n v="193"/>
    <n v="137"/>
    <n v="58"/>
    <x v="58"/>
    <x v="217"/>
    <x v="1"/>
    <n v="24.2"/>
    <n v="2.9"/>
    <n v="2"/>
    <x v="2"/>
    <n v="24.36"/>
    <s v="Normal Weight"/>
  </r>
  <r>
    <n v="52"/>
    <x v="0"/>
    <n v="45.1"/>
    <n v="1.72"/>
    <n v="196"/>
    <n v="129"/>
    <n v="70"/>
    <x v="105"/>
    <x v="218"/>
    <x v="2"/>
    <n v="27.5"/>
    <n v="3.3"/>
    <n v="2"/>
    <x v="2"/>
    <n v="15.24"/>
    <s v="Underweight"/>
  </r>
  <r>
    <n v="36"/>
    <x v="0"/>
    <n v="99.9"/>
    <n v="1.99"/>
    <n v="189"/>
    <n v="147"/>
    <n v="73"/>
    <x v="16"/>
    <x v="219"/>
    <x v="0"/>
    <n v="20.9"/>
    <n v="2.5"/>
    <n v="3"/>
    <x v="2"/>
    <n v="25.23"/>
    <s v="Overweight"/>
  </r>
  <r>
    <n v="33"/>
    <x v="0"/>
    <n v="117"/>
    <n v="1.61"/>
    <n v="166"/>
    <n v="130"/>
    <n v="55"/>
    <x v="29"/>
    <x v="81"/>
    <x v="1"/>
    <n v="25.1"/>
    <n v="2.4"/>
    <n v="3"/>
    <x v="1"/>
    <n v="45.14"/>
    <s v="Obesity"/>
  </r>
  <r>
    <n v="20"/>
    <x v="1"/>
    <n v="75.900000000000006"/>
    <n v="1.73"/>
    <n v="165"/>
    <n v="152"/>
    <n v="63"/>
    <x v="68"/>
    <x v="220"/>
    <x v="3"/>
    <n v="30.6"/>
    <n v="2.1"/>
    <n v="4"/>
    <x v="1"/>
    <n v="25.36"/>
    <s v="Overweight"/>
  </r>
  <r>
    <n v="37"/>
    <x v="1"/>
    <n v="71.2"/>
    <n v="1.64"/>
    <n v="162"/>
    <n v="120"/>
    <n v="73"/>
    <x v="2"/>
    <x v="59"/>
    <x v="1"/>
    <n v="29.9"/>
    <n v="1.7"/>
    <n v="3"/>
    <x v="1"/>
    <n v="26.47"/>
    <s v="Overweight"/>
  </r>
  <r>
    <n v="41"/>
    <x v="0"/>
    <n v="78.8"/>
    <n v="1.72"/>
    <n v="172"/>
    <n v="132"/>
    <n v="62"/>
    <x v="69"/>
    <x v="221"/>
    <x v="2"/>
    <n v="27.3"/>
    <n v="3.1"/>
    <n v="4"/>
    <x v="1"/>
    <n v="26.64"/>
    <s v="Overweight"/>
  </r>
  <r>
    <n v="50"/>
    <x v="0"/>
    <n v="50.6"/>
    <n v="1.69"/>
    <n v="162"/>
    <n v="156"/>
    <n v="60"/>
    <x v="34"/>
    <x v="222"/>
    <x v="2"/>
    <n v="23.8"/>
    <n v="3"/>
    <n v="2"/>
    <x v="2"/>
    <n v="17.72"/>
    <s v="Underweight"/>
  </r>
  <r>
    <n v="41"/>
    <x v="0"/>
    <n v="82.5"/>
    <n v="1.79"/>
    <n v="185"/>
    <n v="139"/>
    <n v="61"/>
    <x v="0"/>
    <x v="223"/>
    <x v="2"/>
    <n v="14.7"/>
    <n v="3.5"/>
    <n v="4"/>
    <x v="0"/>
    <n v="25.75"/>
    <s v="Overweight"/>
  </r>
  <r>
    <n v="28"/>
    <x v="0"/>
    <n v="108.5"/>
    <n v="1.79"/>
    <n v="183"/>
    <n v="120"/>
    <n v="68"/>
    <x v="16"/>
    <x v="224"/>
    <x v="1"/>
    <n v="24.8"/>
    <n v="2.1"/>
    <n v="4"/>
    <x v="1"/>
    <n v="33.86"/>
    <s v="Obesity"/>
  </r>
  <r>
    <n v="25"/>
    <x v="0"/>
    <n v="49.9"/>
    <n v="1.98"/>
    <n v="165"/>
    <n v="122"/>
    <n v="68"/>
    <x v="11"/>
    <x v="46"/>
    <x v="0"/>
    <n v="25.7"/>
    <n v="2.1"/>
    <n v="3"/>
    <x v="1"/>
    <n v="12.73"/>
    <s v="Underweight"/>
  </r>
  <r>
    <n v="53"/>
    <x v="0"/>
    <n v="125.1"/>
    <n v="1.91"/>
    <n v="171"/>
    <n v="137"/>
    <n v="70"/>
    <x v="106"/>
    <x v="225"/>
    <x v="3"/>
    <n v="28.3"/>
    <n v="3.1"/>
    <n v="2"/>
    <x v="2"/>
    <n v="34.29"/>
    <s v="Obesity"/>
  </r>
  <r>
    <n v="55"/>
    <x v="1"/>
    <n v="79.7"/>
    <n v="1.66"/>
    <n v="195"/>
    <n v="160"/>
    <n v="68"/>
    <x v="107"/>
    <x v="226"/>
    <x v="2"/>
    <n v="27.8"/>
    <n v="1.9"/>
    <n v="2"/>
    <x v="2"/>
    <n v="28.92"/>
    <s v="Overweight"/>
  </r>
  <r>
    <n v="57"/>
    <x v="0"/>
    <n v="126.8"/>
    <n v="1.63"/>
    <n v="161"/>
    <n v="133"/>
    <n v="73"/>
    <x v="108"/>
    <x v="227"/>
    <x v="0"/>
    <n v="20.8"/>
    <n v="2.1"/>
    <n v="2"/>
    <x v="2"/>
    <n v="47.72"/>
    <s v="Obesity"/>
  </r>
  <r>
    <n v="37"/>
    <x v="1"/>
    <n v="54.6"/>
    <n v="1.57"/>
    <n v="170"/>
    <n v="150"/>
    <n v="62"/>
    <x v="34"/>
    <x v="228"/>
    <x v="3"/>
    <n v="32.1"/>
    <n v="2.4"/>
    <n v="3"/>
    <x v="2"/>
    <n v="22.15"/>
    <s v="Normal Weight"/>
  </r>
  <r>
    <n v="52"/>
    <x v="1"/>
    <n v="47.8"/>
    <n v="1.54"/>
    <n v="198"/>
    <n v="146"/>
    <n v="63"/>
    <x v="33"/>
    <x v="118"/>
    <x v="2"/>
    <n v="29.8"/>
    <n v="1.9"/>
    <n v="3"/>
    <x v="1"/>
    <n v="20.16"/>
    <s v="Normal Weight"/>
  </r>
  <r>
    <n v="42"/>
    <x v="0"/>
    <n v="97.9"/>
    <n v="1.91"/>
    <n v="193"/>
    <n v="136"/>
    <n v="73"/>
    <x v="69"/>
    <x v="160"/>
    <x v="3"/>
    <n v="29"/>
    <n v="2.8"/>
    <n v="3"/>
    <x v="1"/>
    <n v="26.84"/>
    <s v="Overweight"/>
  </r>
  <r>
    <n v="52"/>
    <x v="1"/>
    <n v="63.1"/>
    <n v="1.54"/>
    <n v="185"/>
    <n v="165"/>
    <n v="67"/>
    <x v="89"/>
    <x v="229"/>
    <x v="3"/>
    <n v="34.799999999999997"/>
    <n v="1.8"/>
    <n v="3"/>
    <x v="1"/>
    <n v="26.61"/>
    <s v="Overweight"/>
  </r>
  <r>
    <n v="42"/>
    <x v="1"/>
    <n v="72.400000000000006"/>
    <n v="1.69"/>
    <n v="177"/>
    <n v="148"/>
    <n v="61"/>
    <x v="53"/>
    <x v="230"/>
    <x v="0"/>
    <n v="29"/>
    <n v="2.2999999999999998"/>
    <n v="3"/>
    <x v="1"/>
    <n v="25.35"/>
    <s v="Overweight"/>
  </r>
  <r>
    <n v="46"/>
    <x v="1"/>
    <n v="58.9"/>
    <n v="1.7"/>
    <n v="180"/>
    <n v="155"/>
    <n v="53"/>
    <x v="30"/>
    <x v="231"/>
    <x v="3"/>
    <n v="17.100000000000001"/>
    <n v="2.7"/>
    <n v="4"/>
    <x v="0"/>
    <n v="20.38"/>
    <s v="Normal Weight"/>
  </r>
  <r>
    <n v="35"/>
    <x v="1"/>
    <n v="50.4"/>
    <n v="1.6"/>
    <n v="195"/>
    <n v="156"/>
    <n v="59"/>
    <x v="8"/>
    <x v="232"/>
    <x v="2"/>
    <n v="29.1"/>
    <n v="1.9"/>
    <n v="4"/>
    <x v="1"/>
    <n v="19.690000000000001"/>
    <s v="Normal Weight"/>
  </r>
  <r>
    <n v="35"/>
    <x v="1"/>
    <n v="64.2"/>
    <n v="1.59"/>
    <n v="199"/>
    <n v="145"/>
    <n v="66"/>
    <x v="109"/>
    <x v="233"/>
    <x v="0"/>
    <n v="16.600000000000001"/>
    <n v="2.7"/>
    <n v="5"/>
    <x v="0"/>
    <n v="25.39"/>
    <s v="Overweight"/>
  </r>
  <r>
    <n v="19"/>
    <x v="1"/>
    <n v="58.8"/>
    <n v="1.77"/>
    <n v="181"/>
    <n v="136"/>
    <n v="53"/>
    <x v="44"/>
    <x v="234"/>
    <x v="1"/>
    <n v="32.799999999999997"/>
    <n v="2.7"/>
    <n v="2"/>
    <x v="2"/>
    <n v="18.77"/>
    <s v="Normal Weight"/>
  </r>
  <r>
    <n v="52"/>
    <x v="0"/>
    <n v="105.2"/>
    <n v="1.62"/>
    <n v="189"/>
    <n v="141"/>
    <n v="61"/>
    <x v="89"/>
    <x v="235"/>
    <x v="1"/>
    <n v="27.6"/>
    <n v="3.2"/>
    <n v="3"/>
    <x v="2"/>
    <n v="40.090000000000003"/>
    <s v="Obesity"/>
  </r>
  <r>
    <n v="33"/>
    <x v="1"/>
    <n v="45.9"/>
    <n v="1.5"/>
    <n v="189"/>
    <n v="144"/>
    <n v="62"/>
    <x v="93"/>
    <x v="236"/>
    <x v="0"/>
    <n v="29.8"/>
    <n v="1.7"/>
    <n v="3"/>
    <x v="2"/>
    <n v="20.399999999999999"/>
    <s v="Normal Weight"/>
  </r>
  <r>
    <n v="58"/>
    <x v="1"/>
    <n v="65.2"/>
    <n v="1.63"/>
    <n v="167"/>
    <n v="121"/>
    <n v="53"/>
    <x v="20"/>
    <x v="237"/>
    <x v="1"/>
    <n v="25.4"/>
    <n v="2"/>
    <n v="3"/>
    <x v="1"/>
    <n v="24.54"/>
    <s v="Normal Weight"/>
  </r>
  <r>
    <n v="53"/>
    <x v="1"/>
    <n v="56.3"/>
    <n v="1.79"/>
    <n v="193"/>
    <n v="141"/>
    <n v="59"/>
    <x v="30"/>
    <x v="30"/>
    <x v="3"/>
    <n v="16.5"/>
    <n v="2.7"/>
    <n v="5"/>
    <x v="0"/>
    <n v="17.57"/>
    <s v="Underweight"/>
  </r>
  <r>
    <n v="50"/>
    <x v="0"/>
    <n v="90"/>
    <n v="1.7"/>
    <n v="168"/>
    <n v="124"/>
    <n v="74"/>
    <x v="42"/>
    <x v="238"/>
    <x v="2"/>
    <n v="22.9"/>
    <n v="2.7"/>
    <n v="2"/>
    <x v="2"/>
    <n v="31.14"/>
    <s v="Obesity"/>
  </r>
  <r>
    <n v="21"/>
    <x v="1"/>
    <n v="60"/>
    <n v="1.7"/>
    <n v="179"/>
    <n v="123"/>
    <n v="52"/>
    <x v="47"/>
    <x v="239"/>
    <x v="3"/>
    <n v="19.100000000000001"/>
    <n v="2.7"/>
    <n v="5"/>
    <x v="0"/>
    <n v="20.76"/>
    <s v="Normal Weight"/>
  </r>
  <r>
    <n v="50"/>
    <x v="0"/>
    <n v="51.5"/>
    <n v="1.71"/>
    <n v="199"/>
    <n v="155"/>
    <n v="64"/>
    <x v="26"/>
    <x v="240"/>
    <x v="0"/>
    <n v="20.9"/>
    <n v="2.9"/>
    <n v="2"/>
    <x v="2"/>
    <n v="17.61"/>
    <s v="Underweight"/>
  </r>
  <r>
    <n v="31"/>
    <x v="1"/>
    <n v="63.1"/>
    <n v="1.64"/>
    <n v="184"/>
    <n v="125"/>
    <n v="51"/>
    <x v="96"/>
    <x v="42"/>
    <x v="2"/>
    <n v="19"/>
    <n v="2.7"/>
    <n v="4"/>
    <x v="0"/>
    <n v="23.46"/>
    <s v="Normal Weight"/>
  </r>
  <r>
    <n v="38"/>
    <x v="0"/>
    <n v="91.5"/>
    <n v="1.77"/>
    <n v="178"/>
    <n v="140"/>
    <n v="74"/>
    <x v="110"/>
    <x v="241"/>
    <x v="0"/>
    <n v="26.7"/>
    <n v="3.4"/>
    <n v="2"/>
    <x v="2"/>
    <n v="29.21"/>
    <s v="Overweight"/>
  </r>
  <r>
    <n v="37"/>
    <x v="0"/>
    <n v="48.7"/>
    <n v="1.67"/>
    <n v="164"/>
    <n v="132"/>
    <n v="74"/>
    <x v="68"/>
    <x v="242"/>
    <x v="0"/>
    <n v="27.3"/>
    <n v="3"/>
    <n v="2"/>
    <x v="2"/>
    <n v="17.46"/>
    <s v="Underweight"/>
  </r>
  <r>
    <n v="25"/>
    <x v="1"/>
    <n v="57.8"/>
    <n v="1.56"/>
    <n v="170"/>
    <n v="156"/>
    <n v="66"/>
    <x v="14"/>
    <x v="243"/>
    <x v="0"/>
    <n v="29.3"/>
    <n v="1.6"/>
    <n v="3"/>
    <x v="1"/>
    <n v="23.75"/>
    <s v="Normal Weight"/>
  </r>
  <r>
    <n v="24"/>
    <x v="1"/>
    <n v="42"/>
    <n v="1.75"/>
    <n v="174"/>
    <n v="144"/>
    <n v="55"/>
    <x v="87"/>
    <x v="184"/>
    <x v="3"/>
    <n v="31.8"/>
    <n v="2.2999999999999998"/>
    <n v="3"/>
    <x v="2"/>
    <n v="13.71"/>
    <s v="Underweight"/>
  </r>
  <r>
    <n v="20"/>
    <x v="0"/>
    <n v="128.4"/>
    <n v="1.92"/>
    <n v="167"/>
    <n v="145"/>
    <n v="57"/>
    <x v="54"/>
    <x v="26"/>
    <x v="2"/>
    <n v="26.1"/>
    <n v="2"/>
    <n v="2"/>
    <x v="2"/>
    <n v="34.83"/>
    <s v="Obesity"/>
  </r>
  <r>
    <n v="34"/>
    <x v="1"/>
    <n v="74.2"/>
    <n v="1.57"/>
    <n v="178"/>
    <n v="158"/>
    <n v="52"/>
    <x v="43"/>
    <x v="244"/>
    <x v="2"/>
    <n v="32.700000000000003"/>
    <n v="2.4"/>
    <n v="3"/>
    <x v="2"/>
    <n v="30.1"/>
    <s v="Obesity"/>
  </r>
  <r>
    <n v="50"/>
    <x v="0"/>
    <n v="89.6"/>
    <n v="1.68"/>
    <n v="182"/>
    <n v="139"/>
    <n v="74"/>
    <x v="65"/>
    <x v="245"/>
    <x v="2"/>
    <n v="12.2"/>
    <n v="3.5"/>
    <n v="5"/>
    <x v="0"/>
    <n v="31.75"/>
    <s v="Obesity"/>
  </r>
  <r>
    <n v="29"/>
    <x v="0"/>
    <n v="125.9"/>
    <n v="2"/>
    <n v="186"/>
    <n v="152"/>
    <n v="67"/>
    <x v="89"/>
    <x v="246"/>
    <x v="3"/>
    <n v="24.7"/>
    <n v="3.1"/>
    <n v="4"/>
    <x v="1"/>
    <n v="31.48"/>
    <s v="Obesity"/>
  </r>
  <r>
    <n v="39"/>
    <x v="0"/>
    <n v="105.5"/>
    <n v="1.99"/>
    <n v="199"/>
    <n v="133"/>
    <n v="71"/>
    <x v="42"/>
    <x v="10"/>
    <x v="1"/>
    <n v="26.4"/>
    <n v="2.5"/>
    <n v="2"/>
    <x v="2"/>
    <n v="26.64"/>
    <s v="Overweight"/>
  </r>
  <r>
    <n v="39"/>
    <x v="0"/>
    <n v="93.4"/>
    <n v="1.7"/>
    <n v="191"/>
    <n v="155"/>
    <n v="50"/>
    <x v="94"/>
    <x v="247"/>
    <x v="3"/>
    <n v="21.1"/>
    <n v="2.5"/>
    <n v="4"/>
    <x v="1"/>
    <n v="32.32"/>
    <s v="Obesity"/>
  </r>
  <r>
    <n v="47"/>
    <x v="0"/>
    <n v="82.1"/>
    <n v="1.84"/>
    <n v="185"/>
    <n v="136"/>
    <n v="65"/>
    <x v="18"/>
    <x v="248"/>
    <x v="3"/>
    <n v="24.4"/>
    <n v="3.4"/>
    <n v="4"/>
    <x v="1"/>
    <n v="24.25"/>
    <s v="Normal Weight"/>
  </r>
  <r>
    <n v="55"/>
    <x v="1"/>
    <n v="42.9"/>
    <n v="1.69"/>
    <n v="186"/>
    <n v="140"/>
    <n v="56"/>
    <x v="111"/>
    <x v="249"/>
    <x v="0"/>
    <n v="34.700000000000003"/>
    <n v="2.4"/>
    <n v="2"/>
    <x v="2"/>
    <n v="15.02"/>
    <s v="Underweight"/>
  </r>
  <r>
    <n v="55"/>
    <x v="0"/>
    <n v="128.4"/>
    <n v="1.68"/>
    <n v="178"/>
    <n v="165"/>
    <n v="52"/>
    <x v="15"/>
    <x v="250"/>
    <x v="2"/>
    <n v="20.399999999999999"/>
    <n v="2.6"/>
    <n v="4"/>
    <x v="1"/>
    <n v="45.49"/>
    <s v="Obesity"/>
  </r>
  <r>
    <n v="25"/>
    <x v="0"/>
    <n v="112.4"/>
    <n v="1.96"/>
    <n v="188"/>
    <n v="135"/>
    <n v="72"/>
    <x v="24"/>
    <x v="251"/>
    <x v="2"/>
    <n v="23.2"/>
    <n v="2.5"/>
    <n v="2"/>
    <x v="2"/>
    <n v="29.26"/>
    <s v="Overweight"/>
  </r>
  <r>
    <n v="44"/>
    <x v="1"/>
    <n v="77.7"/>
    <n v="1.79"/>
    <n v="198"/>
    <n v="165"/>
    <n v="53"/>
    <x v="39"/>
    <x v="252"/>
    <x v="1"/>
    <n v="28.1"/>
    <n v="2.2000000000000002"/>
    <n v="3"/>
    <x v="2"/>
    <n v="24.25"/>
    <s v="Normal Weight"/>
  </r>
  <r>
    <n v="44"/>
    <x v="0"/>
    <n v="89.3"/>
    <n v="1.99"/>
    <n v="192"/>
    <n v="135"/>
    <n v="58"/>
    <x v="44"/>
    <x v="88"/>
    <x v="1"/>
    <n v="26.3"/>
    <n v="2"/>
    <n v="4"/>
    <x v="1"/>
    <n v="22.55"/>
    <s v="Normal Weight"/>
  </r>
  <r>
    <n v="51"/>
    <x v="1"/>
    <n v="70.3"/>
    <n v="1.55"/>
    <n v="178"/>
    <n v="139"/>
    <n v="54"/>
    <x v="44"/>
    <x v="253"/>
    <x v="0"/>
    <n v="26.1"/>
    <n v="1.6"/>
    <n v="3"/>
    <x v="2"/>
    <n v="29.26"/>
    <s v="Overweight"/>
  </r>
  <r>
    <n v="38"/>
    <x v="1"/>
    <n v="59.1"/>
    <n v="1.72"/>
    <n v="196"/>
    <n v="148"/>
    <n v="68"/>
    <x v="53"/>
    <x v="254"/>
    <x v="2"/>
    <n v="31.3"/>
    <n v="1.7"/>
    <n v="3"/>
    <x v="1"/>
    <n v="19.98"/>
    <s v="Normal Weight"/>
  </r>
  <r>
    <n v="47"/>
    <x v="1"/>
    <n v="49.9"/>
    <n v="1.69"/>
    <n v="178"/>
    <n v="147"/>
    <n v="64"/>
    <x v="26"/>
    <x v="104"/>
    <x v="1"/>
    <n v="26"/>
    <n v="1.7"/>
    <n v="3"/>
    <x v="1"/>
    <n v="17.47"/>
    <s v="Underweight"/>
  </r>
  <r>
    <n v="50"/>
    <x v="0"/>
    <n v="101.7"/>
    <n v="1.67"/>
    <n v="192"/>
    <n v="127"/>
    <n v="57"/>
    <x v="112"/>
    <x v="255"/>
    <x v="1"/>
    <n v="20.9"/>
    <n v="2.9"/>
    <n v="2"/>
    <x v="2"/>
    <n v="36.47"/>
    <s v="Obesity"/>
  </r>
  <r>
    <n v="45"/>
    <x v="0"/>
    <n v="93"/>
    <n v="1.91"/>
    <n v="175"/>
    <n v="143"/>
    <n v="55"/>
    <x v="8"/>
    <x v="256"/>
    <x v="2"/>
    <n v="27.3"/>
    <n v="3.7"/>
    <n v="3"/>
    <x v="1"/>
    <n v="25.49"/>
    <s v="Overweight"/>
  </r>
  <r>
    <n v="50"/>
    <x v="0"/>
    <n v="87.4"/>
    <n v="1.6"/>
    <n v="182"/>
    <n v="122"/>
    <n v="67"/>
    <x v="104"/>
    <x v="257"/>
    <x v="3"/>
    <n v="23.2"/>
    <n v="3.1"/>
    <n v="2"/>
    <x v="2"/>
    <n v="34.14"/>
    <s v="Obesity"/>
  </r>
  <r>
    <n v="22"/>
    <x v="1"/>
    <n v="55.1"/>
    <n v="1.61"/>
    <n v="166"/>
    <n v="144"/>
    <n v="68"/>
    <x v="113"/>
    <x v="258"/>
    <x v="1"/>
    <n v="19.899999999999999"/>
    <n v="2.7"/>
    <n v="4"/>
    <x v="0"/>
    <n v="21.26"/>
    <s v="Normal Weight"/>
  </r>
  <r>
    <n v="36"/>
    <x v="0"/>
    <n v="123.7"/>
    <n v="1.69"/>
    <n v="185"/>
    <n v="138"/>
    <n v="73"/>
    <x v="1"/>
    <x v="259"/>
    <x v="2"/>
    <n v="20.399999999999999"/>
    <n v="2.1"/>
    <n v="4"/>
    <x v="1"/>
    <n v="43.31"/>
    <s v="Obesity"/>
  </r>
  <r>
    <n v="21"/>
    <x v="1"/>
    <n v="61.3"/>
    <n v="1.57"/>
    <n v="191"/>
    <n v="152"/>
    <n v="64"/>
    <x v="114"/>
    <x v="260"/>
    <x v="1"/>
    <n v="17.2"/>
    <n v="2.7"/>
    <n v="4"/>
    <x v="0"/>
    <n v="24.87"/>
    <s v="Normal Weight"/>
  </r>
  <r>
    <n v="52"/>
    <x v="0"/>
    <n v="72.3"/>
    <n v="1.94"/>
    <n v="171"/>
    <n v="121"/>
    <n v="56"/>
    <x v="85"/>
    <x v="261"/>
    <x v="0"/>
    <n v="21.1"/>
    <n v="2.9"/>
    <n v="3"/>
    <x v="1"/>
    <n v="19.21"/>
    <s v="Normal Weight"/>
  </r>
  <r>
    <n v="34"/>
    <x v="1"/>
    <n v="69.2"/>
    <n v="1.53"/>
    <n v="167"/>
    <n v="134"/>
    <n v="59"/>
    <x v="89"/>
    <x v="262"/>
    <x v="1"/>
    <n v="28.5"/>
    <n v="2.1"/>
    <n v="2"/>
    <x v="2"/>
    <n v="29.56"/>
    <s v="Overweight"/>
  </r>
  <r>
    <n v="45"/>
    <x v="0"/>
    <n v="81.400000000000006"/>
    <n v="1.61"/>
    <n v="164"/>
    <n v="141"/>
    <n v="55"/>
    <x v="36"/>
    <x v="188"/>
    <x v="2"/>
    <n v="30"/>
    <n v="2.2000000000000002"/>
    <n v="4"/>
    <x v="1"/>
    <n v="31.4"/>
    <s v="Obesity"/>
  </r>
  <r>
    <n v="47"/>
    <x v="0"/>
    <n v="84.8"/>
    <n v="1.86"/>
    <n v="187"/>
    <n v="129"/>
    <n v="63"/>
    <x v="115"/>
    <x v="263"/>
    <x v="1"/>
    <n v="14.4"/>
    <n v="3.5"/>
    <n v="5"/>
    <x v="0"/>
    <n v="24.51"/>
    <s v="Normal Weight"/>
  </r>
  <r>
    <n v="46"/>
    <x v="0"/>
    <n v="55.1"/>
    <n v="1.72"/>
    <n v="164"/>
    <n v="137"/>
    <n v="66"/>
    <x v="116"/>
    <x v="264"/>
    <x v="0"/>
    <n v="20.5"/>
    <n v="3.6"/>
    <n v="3"/>
    <x v="1"/>
    <n v="18.62"/>
    <s v="Normal Weight"/>
  </r>
  <r>
    <n v="23"/>
    <x v="1"/>
    <n v="59"/>
    <n v="1.78"/>
    <n v="185"/>
    <n v="141"/>
    <n v="58"/>
    <x v="41"/>
    <x v="183"/>
    <x v="0"/>
    <n v="17.8"/>
    <n v="2.7"/>
    <n v="5"/>
    <x v="0"/>
    <n v="18.62"/>
    <s v="Normal Weight"/>
  </r>
  <r>
    <n v="52"/>
    <x v="1"/>
    <n v="64.900000000000006"/>
    <n v="1.51"/>
    <n v="164"/>
    <n v="165"/>
    <n v="68"/>
    <x v="100"/>
    <x v="265"/>
    <x v="1"/>
    <n v="18.2"/>
    <n v="2.7"/>
    <n v="4"/>
    <x v="0"/>
    <n v="28.46"/>
    <s v="Overweight"/>
  </r>
  <r>
    <n v="58"/>
    <x v="0"/>
    <n v="109.7"/>
    <n v="1.75"/>
    <n v="181"/>
    <n v="168"/>
    <n v="54"/>
    <x v="69"/>
    <x v="266"/>
    <x v="1"/>
    <n v="22.1"/>
    <n v="2.7"/>
    <n v="2"/>
    <x v="2"/>
    <n v="35.82"/>
    <s v="Obesity"/>
  </r>
  <r>
    <n v="54"/>
    <x v="0"/>
    <n v="78.400000000000006"/>
    <n v="1.9"/>
    <n v="174"/>
    <n v="146"/>
    <n v="72"/>
    <x v="42"/>
    <x v="267"/>
    <x v="0"/>
    <n v="21.5"/>
    <n v="3.7"/>
    <n v="2"/>
    <x v="2"/>
    <n v="21.72"/>
    <s v="Normal Weight"/>
  </r>
  <r>
    <n v="41"/>
    <x v="1"/>
    <n v="76.7"/>
    <n v="1.79"/>
    <n v="172"/>
    <n v="132"/>
    <n v="56"/>
    <x v="44"/>
    <x v="55"/>
    <x v="0"/>
    <n v="34"/>
    <n v="2"/>
    <n v="4"/>
    <x v="1"/>
    <n v="23.94"/>
    <s v="Normal Weight"/>
  </r>
  <r>
    <n v="46"/>
    <x v="1"/>
    <n v="63.1"/>
    <n v="1.61"/>
    <n v="187"/>
    <n v="152"/>
    <n v="68"/>
    <x v="75"/>
    <x v="268"/>
    <x v="3"/>
    <n v="34.700000000000003"/>
    <n v="2.2000000000000002"/>
    <n v="4"/>
    <x v="1"/>
    <n v="24.34"/>
    <s v="Normal Weight"/>
  </r>
  <r>
    <n v="48"/>
    <x v="1"/>
    <n v="62.9"/>
    <n v="1.58"/>
    <n v="192"/>
    <n v="124"/>
    <n v="69"/>
    <x v="77"/>
    <x v="269"/>
    <x v="3"/>
    <n v="20"/>
    <n v="2.7"/>
    <n v="4"/>
    <x v="0"/>
    <n v="25.2"/>
    <s v="Overweight"/>
  </r>
  <r>
    <n v="52"/>
    <x v="0"/>
    <n v="85.6"/>
    <n v="1.74"/>
    <n v="182"/>
    <n v="145"/>
    <n v="56"/>
    <x v="99"/>
    <x v="270"/>
    <x v="0"/>
    <n v="13.9"/>
    <n v="3.5"/>
    <n v="4"/>
    <x v="0"/>
    <n v="28.27"/>
    <s v="Overweight"/>
  </r>
  <r>
    <n v="50"/>
    <x v="1"/>
    <n v="66.3"/>
    <n v="1.57"/>
    <n v="192"/>
    <n v="132"/>
    <n v="73"/>
    <x v="23"/>
    <x v="18"/>
    <x v="1"/>
    <n v="31.6"/>
    <n v="1.6"/>
    <n v="2"/>
    <x v="2"/>
    <n v="26.9"/>
    <s v="Overweight"/>
  </r>
  <r>
    <n v="38"/>
    <x v="0"/>
    <n v="61.3"/>
    <n v="1.97"/>
    <n v="177"/>
    <n v="146"/>
    <n v="51"/>
    <x v="18"/>
    <x v="271"/>
    <x v="2"/>
    <n v="23.5"/>
    <n v="2.8"/>
    <n v="3"/>
    <x v="2"/>
    <n v="15.8"/>
    <s v="Underweight"/>
  </r>
  <r>
    <n v="49"/>
    <x v="1"/>
    <n v="44.1"/>
    <n v="1.65"/>
    <n v="189"/>
    <n v="133"/>
    <n v="74"/>
    <x v="62"/>
    <x v="272"/>
    <x v="1"/>
    <n v="26.7"/>
    <n v="1.8"/>
    <n v="4"/>
    <x v="1"/>
    <n v="16.2"/>
    <s v="Underweight"/>
  </r>
  <r>
    <n v="40"/>
    <x v="0"/>
    <n v="63.8"/>
    <n v="1.62"/>
    <n v="185"/>
    <n v="143"/>
    <n v="72"/>
    <x v="1"/>
    <x v="273"/>
    <x v="1"/>
    <n v="20.8"/>
    <n v="3.4"/>
    <n v="2"/>
    <x v="2"/>
    <n v="24.31"/>
    <s v="Normal Weight"/>
  </r>
  <r>
    <n v="50"/>
    <x v="1"/>
    <n v="55.4"/>
    <n v="1.55"/>
    <n v="175"/>
    <n v="122"/>
    <n v="65"/>
    <x v="115"/>
    <x v="47"/>
    <x v="3"/>
    <n v="18.5"/>
    <n v="2.7"/>
    <n v="4"/>
    <x v="0"/>
    <n v="23.06"/>
    <s v="Normal Weight"/>
  </r>
  <r>
    <n v="20"/>
    <x v="1"/>
    <n v="74.7"/>
    <n v="1.58"/>
    <n v="172"/>
    <n v="166"/>
    <n v="62"/>
    <x v="29"/>
    <x v="274"/>
    <x v="3"/>
    <n v="32.799999999999997"/>
    <n v="2.4"/>
    <n v="3"/>
    <x v="1"/>
    <n v="29.92"/>
    <s v="Overweight"/>
  </r>
  <r>
    <n v="35"/>
    <x v="1"/>
    <n v="78"/>
    <n v="1.67"/>
    <n v="198"/>
    <n v="168"/>
    <n v="57"/>
    <x v="15"/>
    <x v="235"/>
    <x v="3"/>
    <n v="33.299999999999997"/>
    <n v="2.5"/>
    <n v="4"/>
    <x v="1"/>
    <n v="27.97"/>
    <s v="Overweight"/>
  </r>
  <r>
    <n v="42"/>
    <x v="1"/>
    <n v="57.5"/>
    <n v="1.67"/>
    <n v="192"/>
    <n v="149"/>
    <n v="55"/>
    <x v="36"/>
    <x v="275"/>
    <x v="0"/>
    <n v="34.1"/>
    <n v="2.4"/>
    <n v="2"/>
    <x v="2"/>
    <n v="20.62"/>
    <s v="Normal Weight"/>
  </r>
  <r>
    <n v="59"/>
    <x v="1"/>
    <n v="60.7"/>
    <n v="1.73"/>
    <n v="185"/>
    <n v="154"/>
    <n v="55"/>
    <x v="8"/>
    <x v="276"/>
    <x v="0"/>
    <n v="33.799999999999997"/>
    <n v="2.5"/>
    <n v="3"/>
    <x v="1"/>
    <n v="20.28"/>
    <s v="Normal Weight"/>
  </r>
  <r>
    <n v="48"/>
    <x v="0"/>
    <n v="69"/>
    <n v="1.74"/>
    <n v="160"/>
    <n v="167"/>
    <n v="58"/>
    <x v="26"/>
    <x v="277"/>
    <x v="1"/>
    <n v="30"/>
    <n v="2.2999999999999998"/>
    <n v="3"/>
    <x v="1"/>
    <n v="22.79"/>
    <s v="Normal Weight"/>
  </r>
  <r>
    <n v="20"/>
    <x v="1"/>
    <n v="75.8"/>
    <n v="1.78"/>
    <n v="197"/>
    <n v="133"/>
    <n v="53"/>
    <x v="24"/>
    <x v="278"/>
    <x v="1"/>
    <n v="27.4"/>
    <n v="2"/>
    <n v="4"/>
    <x v="1"/>
    <n v="23.92"/>
    <s v="Normal Weight"/>
  </r>
  <r>
    <n v="57"/>
    <x v="1"/>
    <n v="75.7"/>
    <n v="1.63"/>
    <n v="161"/>
    <n v="131"/>
    <n v="60"/>
    <x v="117"/>
    <x v="279"/>
    <x v="2"/>
    <n v="32.6"/>
    <n v="2.2999999999999998"/>
    <n v="3"/>
    <x v="2"/>
    <n v="28.49"/>
    <s v="Overweight"/>
  </r>
  <r>
    <n v="41"/>
    <x v="1"/>
    <n v="71.2"/>
    <n v="1.64"/>
    <n v="165"/>
    <n v="147"/>
    <n v="54"/>
    <x v="24"/>
    <x v="280"/>
    <x v="1"/>
    <n v="30.9"/>
    <n v="2.2999999999999998"/>
    <n v="3"/>
    <x v="1"/>
    <n v="26.47"/>
    <s v="Overweight"/>
  </r>
  <r>
    <n v="49"/>
    <x v="0"/>
    <n v="85"/>
    <n v="1.68"/>
    <n v="197"/>
    <n v="163"/>
    <n v="74"/>
    <x v="118"/>
    <x v="281"/>
    <x v="1"/>
    <n v="11.3"/>
    <n v="3.5"/>
    <n v="4"/>
    <x v="0"/>
    <n v="30.12"/>
    <s v="Obesity"/>
  </r>
  <r>
    <n v="39"/>
    <x v="1"/>
    <n v="63.6"/>
    <n v="1.56"/>
    <n v="183"/>
    <n v="148"/>
    <n v="66"/>
    <x v="74"/>
    <x v="200"/>
    <x v="3"/>
    <n v="34.799999999999997"/>
    <n v="2.4"/>
    <n v="2"/>
    <x v="2"/>
    <n v="26.13"/>
    <s v="Overweight"/>
  </r>
  <r>
    <n v="40"/>
    <x v="0"/>
    <n v="73.2"/>
    <n v="1.94"/>
    <n v="177"/>
    <n v="162"/>
    <n v="69"/>
    <x v="42"/>
    <x v="282"/>
    <x v="3"/>
    <n v="29"/>
    <n v="2.4"/>
    <n v="2"/>
    <x v="2"/>
    <n v="19.45"/>
    <s v="Normal Weight"/>
  </r>
  <r>
    <n v="19"/>
    <x v="1"/>
    <n v="48.3"/>
    <n v="1.52"/>
    <n v="186"/>
    <n v="136"/>
    <n v="56"/>
    <x v="108"/>
    <x v="283"/>
    <x v="3"/>
    <n v="26.3"/>
    <n v="1.6"/>
    <n v="2"/>
    <x v="2"/>
    <n v="20.91"/>
    <s v="Normal Weight"/>
  </r>
  <r>
    <n v="44"/>
    <x v="1"/>
    <n v="42.8"/>
    <n v="1.78"/>
    <n v="167"/>
    <n v="159"/>
    <n v="64"/>
    <x v="6"/>
    <x v="284"/>
    <x v="3"/>
    <n v="25.3"/>
    <n v="2.6"/>
    <n v="3"/>
    <x v="1"/>
    <n v="13.51"/>
    <s v="Underweight"/>
  </r>
  <r>
    <n v="59"/>
    <x v="0"/>
    <n v="88.1"/>
    <n v="1.76"/>
    <n v="187"/>
    <n v="168"/>
    <n v="74"/>
    <x v="14"/>
    <x v="285"/>
    <x v="3"/>
    <n v="26.9"/>
    <n v="3"/>
    <n v="3"/>
    <x v="1"/>
    <n v="28.44"/>
    <s v="Overweight"/>
  </r>
  <r>
    <n v="19"/>
    <x v="1"/>
    <n v="72.400000000000006"/>
    <n v="1.75"/>
    <n v="169"/>
    <n v="140"/>
    <n v="64"/>
    <x v="37"/>
    <x v="266"/>
    <x v="2"/>
    <n v="31"/>
    <n v="1.7"/>
    <n v="4"/>
    <x v="1"/>
    <n v="23.64"/>
    <s v="Normal Weight"/>
  </r>
  <r>
    <n v="43"/>
    <x v="0"/>
    <n v="73.2"/>
    <n v="1.88"/>
    <n v="176"/>
    <n v="142"/>
    <n v="63"/>
    <x v="21"/>
    <x v="286"/>
    <x v="2"/>
    <n v="29.4"/>
    <n v="3.3"/>
    <n v="3"/>
    <x v="2"/>
    <n v="20.71"/>
    <s v="Normal Weight"/>
  </r>
  <r>
    <n v="34"/>
    <x v="0"/>
    <n v="110.5"/>
    <n v="1.86"/>
    <n v="188"/>
    <n v="139"/>
    <n v="62"/>
    <x v="24"/>
    <x v="287"/>
    <x v="2"/>
    <n v="22.3"/>
    <n v="3.6"/>
    <n v="2"/>
    <x v="2"/>
    <n v="31.94"/>
    <s v="Obesity"/>
  </r>
  <r>
    <n v="57"/>
    <x v="1"/>
    <n v="46.1"/>
    <n v="1.76"/>
    <n v="165"/>
    <n v="130"/>
    <n v="60"/>
    <x v="70"/>
    <x v="193"/>
    <x v="3"/>
    <n v="25.8"/>
    <n v="1.7"/>
    <n v="3"/>
    <x v="1"/>
    <n v="14.88"/>
    <s v="Underweight"/>
  </r>
  <r>
    <n v="50"/>
    <x v="0"/>
    <n v="90.8"/>
    <n v="1.71"/>
    <n v="173"/>
    <n v="153"/>
    <n v="62"/>
    <x v="53"/>
    <x v="288"/>
    <x v="0"/>
    <n v="22.6"/>
    <n v="3.4"/>
    <n v="4"/>
    <x v="1"/>
    <n v="31.05"/>
    <s v="Obesity"/>
  </r>
  <r>
    <n v="26"/>
    <x v="1"/>
    <n v="59.3"/>
    <n v="1.51"/>
    <n v="181"/>
    <n v="129"/>
    <n v="71"/>
    <x v="119"/>
    <x v="289"/>
    <x v="3"/>
    <n v="15.1"/>
    <n v="2.7"/>
    <n v="5"/>
    <x v="0"/>
    <n v="26.01"/>
    <s v="Overweight"/>
  </r>
  <r>
    <n v="56"/>
    <x v="1"/>
    <n v="45.1"/>
    <n v="1.73"/>
    <n v="165"/>
    <n v="129"/>
    <n v="73"/>
    <x v="87"/>
    <x v="290"/>
    <x v="3"/>
    <n v="25.4"/>
    <n v="2.6"/>
    <n v="3"/>
    <x v="2"/>
    <n v="15.07"/>
    <s v="Underweight"/>
  </r>
  <r>
    <n v="46"/>
    <x v="0"/>
    <n v="45"/>
    <n v="1.77"/>
    <n v="185"/>
    <n v="162"/>
    <n v="58"/>
    <x v="26"/>
    <x v="291"/>
    <x v="2"/>
    <n v="29.1"/>
    <n v="3.6"/>
    <n v="3"/>
    <x v="1"/>
    <n v="14.36"/>
    <s v="Underweight"/>
  </r>
  <r>
    <n v="59"/>
    <x v="0"/>
    <n v="89.4"/>
    <n v="1.62"/>
    <n v="198"/>
    <n v="125"/>
    <n v="59"/>
    <x v="116"/>
    <x v="139"/>
    <x v="3"/>
    <n v="23.5"/>
    <n v="3.6"/>
    <n v="3"/>
    <x v="1"/>
    <n v="34.06"/>
    <s v="Obesity"/>
  </r>
  <r>
    <n v="43"/>
    <x v="0"/>
    <n v="127.7"/>
    <n v="1.69"/>
    <n v="171"/>
    <n v="155"/>
    <n v="53"/>
    <x v="36"/>
    <x v="21"/>
    <x v="2"/>
    <n v="24.1"/>
    <n v="2.9"/>
    <n v="3"/>
    <x v="1"/>
    <n v="44.71"/>
    <s v="Obesity"/>
  </r>
  <r>
    <n v="52"/>
    <x v="0"/>
    <n v="70.900000000000006"/>
    <n v="1.72"/>
    <n v="194"/>
    <n v="143"/>
    <n v="66"/>
    <x v="34"/>
    <x v="292"/>
    <x v="3"/>
    <n v="20.2"/>
    <n v="2.6"/>
    <n v="3"/>
    <x v="1"/>
    <n v="23.97"/>
    <s v="Normal Weight"/>
  </r>
  <r>
    <n v="42"/>
    <x v="1"/>
    <n v="49.2"/>
    <n v="1.5"/>
    <n v="173"/>
    <n v="131"/>
    <n v="63"/>
    <x v="11"/>
    <x v="136"/>
    <x v="1"/>
    <n v="27.7"/>
    <n v="1.5"/>
    <n v="3"/>
    <x v="1"/>
    <n v="21.87"/>
    <s v="Normal Weight"/>
  </r>
  <r>
    <n v="41"/>
    <x v="1"/>
    <n v="62.3"/>
    <n v="1.79"/>
    <n v="181"/>
    <n v="162"/>
    <n v="73"/>
    <x v="49"/>
    <x v="293"/>
    <x v="0"/>
    <n v="19"/>
    <n v="2.7"/>
    <n v="5"/>
    <x v="0"/>
    <n v="19.440000000000001"/>
    <s v="Normal Weight"/>
  </r>
  <r>
    <n v="30"/>
    <x v="0"/>
    <n v="64.099999999999994"/>
    <n v="1.87"/>
    <n v="182"/>
    <n v="142"/>
    <n v="67"/>
    <x v="4"/>
    <x v="121"/>
    <x v="0"/>
    <n v="26.2"/>
    <n v="2.1"/>
    <n v="2"/>
    <x v="2"/>
    <n v="18.329999999999998"/>
    <s v="Underweight"/>
  </r>
  <r>
    <n v="24"/>
    <x v="1"/>
    <n v="69.7"/>
    <n v="1.75"/>
    <n v="166"/>
    <n v="146"/>
    <n v="60"/>
    <x v="39"/>
    <x v="294"/>
    <x v="2"/>
    <n v="32.5"/>
    <n v="2"/>
    <n v="3"/>
    <x v="2"/>
    <n v="22.76"/>
    <s v="Normal Weight"/>
  </r>
  <r>
    <n v="53"/>
    <x v="1"/>
    <n v="56.9"/>
    <n v="1.59"/>
    <n v="199"/>
    <n v="164"/>
    <n v="65"/>
    <x v="6"/>
    <x v="271"/>
    <x v="1"/>
    <n v="29.5"/>
    <n v="2"/>
    <n v="3"/>
    <x v="1"/>
    <n v="22.51"/>
    <s v="Normal Weight"/>
  </r>
  <r>
    <n v="37"/>
    <x v="1"/>
    <n v="53"/>
    <n v="1.71"/>
    <n v="184"/>
    <n v="156"/>
    <n v="50"/>
    <x v="15"/>
    <x v="295"/>
    <x v="0"/>
    <n v="28.1"/>
    <n v="1.7"/>
    <n v="4"/>
    <x v="1"/>
    <n v="18.13"/>
    <s v="Underweight"/>
  </r>
  <r>
    <n v="18"/>
    <x v="1"/>
    <n v="72.7"/>
    <n v="1.55"/>
    <n v="172"/>
    <n v="125"/>
    <n v="56"/>
    <x v="38"/>
    <x v="296"/>
    <x v="2"/>
    <n v="29.8"/>
    <n v="2"/>
    <n v="3"/>
    <x v="2"/>
    <n v="30.26"/>
    <s v="Obesity"/>
  </r>
  <r>
    <n v="25"/>
    <x v="0"/>
    <n v="76.5"/>
    <n v="1.96"/>
    <n v="180"/>
    <n v="120"/>
    <n v="59"/>
    <x v="88"/>
    <x v="297"/>
    <x v="3"/>
    <n v="23.2"/>
    <n v="2.2999999999999998"/>
    <n v="3"/>
    <x v="2"/>
    <n v="19.91"/>
    <s v="Normal Weight"/>
  </r>
  <r>
    <n v="33"/>
    <x v="0"/>
    <n v="113.6"/>
    <n v="1.99"/>
    <n v="169"/>
    <n v="125"/>
    <n v="58"/>
    <x v="82"/>
    <x v="235"/>
    <x v="3"/>
    <n v="28.4"/>
    <n v="3.4"/>
    <n v="2"/>
    <x v="2"/>
    <n v="28.69"/>
    <s v="Overweight"/>
  </r>
  <r>
    <n v="31"/>
    <x v="1"/>
    <n v="62.5"/>
    <n v="1.62"/>
    <n v="168"/>
    <n v="169"/>
    <n v="74"/>
    <x v="120"/>
    <x v="53"/>
    <x v="1"/>
    <n v="16.5"/>
    <n v="2.7"/>
    <n v="4"/>
    <x v="0"/>
    <n v="23.81"/>
    <s v="Normal Weight"/>
  </r>
  <r>
    <n v="29"/>
    <x v="0"/>
    <n v="95.2"/>
    <n v="1.86"/>
    <n v="174"/>
    <n v="141"/>
    <n v="52"/>
    <x v="4"/>
    <x v="298"/>
    <x v="0"/>
    <n v="26.6"/>
    <n v="2.5"/>
    <n v="2"/>
    <x v="2"/>
    <n v="27.52"/>
    <s v="Overweight"/>
  </r>
  <r>
    <n v="40"/>
    <x v="0"/>
    <n v="51.7"/>
    <n v="1.82"/>
    <n v="161"/>
    <n v="160"/>
    <n v="71"/>
    <x v="111"/>
    <x v="254"/>
    <x v="3"/>
    <n v="21.4"/>
    <n v="3"/>
    <n v="3"/>
    <x v="2"/>
    <n v="15.61"/>
    <s v="Underweight"/>
  </r>
  <r>
    <n v="32"/>
    <x v="0"/>
    <n v="105.3"/>
    <n v="1.67"/>
    <n v="184"/>
    <n v="143"/>
    <n v="72"/>
    <x v="121"/>
    <x v="299"/>
    <x v="2"/>
    <n v="26.9"/>
    <n v="2.9"/>
    <n v="3"/>
    <x v="2"/>
    <n v="37.76"/>
    <s v="Obesity"/>
  </r>
  <r>
    <n v="45"/>
    <x v="1"/>
    <n v="71.2"/>
    <n v="1.68"/>
    <n v="172"/>
    <n v="144"/>
    <n v="63"/>
    <x v="18"/>
    <x v="110"/>
    <x v="3"/>
    <n v="34.1"/>
    <n v="1.6"/>
    <n v="3"/>
    <x v="2"/>
    <n v="25.23"/>
    <s v="Overweight"/>
  </r>
  <r>
    <n v="51"/>
    <x v="1"/>
    <n v="78.099999999999994"/>
    <n v="1.51"/>
    <n v="193"/>
    <n v="134"/>
    <n v="74"/>
    <x v="93"/>
    <x v="300"/>
    <x v="3"/>
    <n v="31.1"/>
    <n v="2.6"/>
    <n v="3"/>
    <x v="2"/>
    <n v="34.25"/>
    <s v="Obesity"/>
  </r>
  <r>
    <n v="19"/>
    <x v="1"/>
    <n v="50.6"/>
    <n v="1.68"/>
    <n v="193"/>
    <n v="145"/>
    <n v="64"/>
    <x v="101"/>
    <x v="138"/>
    <x v="0"/>
    <n v="30.6"/>
    <n v="2.1"/>
    <n v="3"/>
    <x v="1"/>
    <n v="17.93"/>
    <s v="Underweight"/>
  </r>
  <r>
    <n v="49"/>
    <x v="0"/>
    <n v="70.2"/>
    <n v="1.89"/>
    <n v="194"/>
    <n v="127"/>
    <n v="51"/>
    <x v="84"/>
    <x v="57"/>
    <x v="0"/>
    <n v="29.6"/>
    <n v="2.6"/>
    <n v="3"/>
    <x v="2"/>
    <n v="19.649999999999999"/>
    <s v="Normal Weight"/>
  </r>
  <r>
    <n v="40"/>
    <x v="1"/>
    <n v="62.6"/>
    <n v="1.53"/>
    <n v="197"/>
    <n v="143"/>
    <n v="73"/>
    <x v="59"/>
    <x v="301"/>
    <x v="2"/>
    <n v="18.100000000000001"/>
    <n v="2.7"/>
    <n v="5"/>
    <x v="0"/>
    <n v="26.74"/>
    <s v="Overweight"/>
  </r>
  <r>
    <n v="39"/>
    <x v="1"/>
    <n v="60.6"/>
    <n v="1.65"/>
    <n v="162"/>
    <n v="167"/>
    <n v="63"/>
    <x v="93"/>
    <x v="302"/>
    <x v="1"/>
    <n v="27.6"/>
    <n v="1.7"/>
    <n v="3"/>
    <x v="2"/>
    <n v="22.26"/>
    <s v="Normal Weight"/>
  </r>
  <r>
    <n v="42"/>
    <x v="0"/>
    <n v="76.400000000000006"/>
    <n v="1.97"/>
    <n v="165"/>
    <n v="157"/>
    <n v="65"/>
    <x v="36"/>
    <x v="146"/>
    <x v="1"/>
    <n v="22.9"/>
    <n v="2.6"/>
    <n v="3"/>
    <x v="1"/>
    <n v="19.690000000000001"/>
    <s v="Normal Weight"/>
  </r>
  <r>
    <n v="39"/>
    <x v="1"/>
    <n v="63.3"/>
    <n v="1.71"/>
    <n v="178"/>
    <n v="125"/>
    <n v="56"/>
    <x v="122"/>
    <x v="303"/>
    <x v="3"/>
    <n v="18.5"/>
    <n v="2.7"/>
    <n v="4"/>
    <x v="0"/>
    <n v="21.65"/>
    <s v="Normal Weight"/>
  </r>
  <r>
    <n v="39"/>
    <x v="1"/>
    <n v="68.599999999999994"/>
    <n v="1.64"/>
    <n v="162"/>
    <n v="154"/>
    <n v="53"/>
    <x v="16"/>
    <x v="304"/>
    <x v="2"/>
    <n v="32.4"/>
    <n v="1.5"/>
    <n v="3"/>
    <x v="1"/>
    <n v="25.51"/>
    <s v="Overweight"/>
  </r>
  <r>
    <n v="59"/>
    <x v="0"/>
    <n v="123.3"/>
    <n v="1.88"/>
    <n v="177"/>
    <n v="161"/>
    <n v="67"/>
    <x v="1"/>
    <x v="305"/>
    <x v="1"/>
    <n v="23"/>
    <n v="2.6"/>
    <n v="4"/>
    <x v="1"/>
    <n v="34.89"/>
    <s v="Obesity"/>
  </r>
  <r>
    <n v="23"/>
    <x v="0"/>
    <n v="107"/>
    <n v="1.94"/>
    <n v="198"/>
    <n v="120"/>
    <n v="73"/>
    <x v="14"/>
    <x v="306"/>
    <x v="1"/>
    <n v="23.5"/>
    <n v="2.9"/>
    <n v="2"/>
    <x v="2"/>
    <n v="28.43"/>
    <s v="Overweight"/>
  </r>
  <r>
    <n v="32"/>
    <x v="0"/>
    <n v="68.3"/>
    <n v="1.92"/>
    <n v="168"/>
    <n v="165"/>
    <n v="54"/>
    <x v="24"/>
    <x v="307"/>
    <x v="3"/>
    <n v="29.9"/>
    <n v="3.5"/>
    <n v="2"/>
    <x v="2"/>
    <n v="18.53"/>
    <s v="Normal Weight"/>
  </r>
  <r>
    <n v="54"/>
    <x v="1"/>
    <n v="47.8"/>
    <n v="1.6"/>
    <n v="171"/>
    <n v="155"/>
    <n v="55"/>
    <x v="17"/>
    <x v="308"/>
    <x v="2"/>
    <n v="26"/>
    <n v="2.2999999999999998"/>
    <n v="4"/>
    <x v="1"/>
    <n v="18.670000000000002"/>
    <s v="Normal Weight"/>
  </r>
  <r>
    <n v="50"/>
    <x v="1"/>
    <n v="58.4"/>
    <n v="1.79"/>
    <n v="164"/>
    <n v="131"/>
    <n v="56"/>
    <x v="102"/>
    <x v="309"/>
    <x v="1"/>
    <n v="17"/>
    <n v="2.7"/>
    <n v="4"/>
    <x v="0"/>
    <n v="18.23"/>
    <s v="Underweight"/>
  </r>
  <r>
    <n v="25"/>
    <x v="1"/>
    <n v="74.3"/>
    <n v="1.71"/>
    <n v="162"/>
    <n v="157"/>
    <n v="64"/>
    <x v="116"/>
    <x v="285"/>
    <x v="0"/>
    <n v="25.6"/>
    <n v="1.6"/>
    <n v="3"/>
    <x v="1"/>
    <n v="25.41"/>
    <s v="Overweight"/>
  </r>
  <r>
    <n v="22"/>
    <x v="0"/>
    <n v="106.8"/>
    <n v="1.82"/>
    <n v="170"/>
    <n v="130"/>
    <n v="50"/>
    <x v="75"/>
    <x v="310"/>
    <x v="0"/>
    <n v="28.2"/>
    <n v="2.2999999999999998"/>
    <n v="4"/>
    <x v="1"/>
    <n v="32.24"/>
    <s v="Obesity"/>
  </r>
  <r>
    <n v="56"/>
    <x v="0"/>
    <n v="125.5"/>
    <n v="1.8"/>
    <n v="189"/>
    <n v="131"/>
    <n v="73"/>
    <x v="32"/>
    <x v="311"/>
    <x v="3"/>
    <n v="20.9"/>
    <n v="2.7"/>
    <n v="4"/>
    <x v="1"/>
    <n v="38.729999999999997"/>
    <s v="Obesity"/>
  </r>
  <r>
    <n v="21"/>
    <x v="1"/>
    <n v="55.2"/>
    <n v="1.55"/>
    <n v="163"/>
    <n v="161"/>
    <n v="53"/>
    <x v="18"/>
    <x v="83"/>
    <x v="3"/>
    <n v="31.7"/>
    <n v="1.7"/>
    <n v="4"/>
    <x v="1"/>
    <n v="22.98"/>
    <s v="Normal Weight"/>
  </r>
  <r>
    <n v="23"/>
    <x v="1"/>
    <n v="71.400000000000006"/>
    <n v="1.72"/>
    <n v="164"/>
    <n v="169"/>
    <n v="74"/>
    <x v="23"/>
    <x v="220"/>
    <x v="3"/>
    <n v="25.6"/>
    <n v="1.5"/>
    <n v="2"/>
    <x v="2"/>
    <n v="24.13"/>
    <s v="Normal Weight"/>
  </r>
  <r>
    <n v="49"/>
    <x v="0"/>
    <n v="77.7"/>
    <n v="1.61"/>
    <n v="160"/>
    <n v="158"/>
    <n v="50"/>
    <x v="8"/>
    <x v="312"/>
    <x v="3"/>
    <n v="26.7"/>
    <n v="3.4"/>
    <n v="3"/>
    <x v="1"/>
    <n v="29.98"/>
    <s v="Overweight"/>
  </r>
  <r>
    <n v="47"/>
    <x v="0"/>
    <n v="88.4"/>
    <n v="1.6"/>
    <n v="186"/>
    <n v="126"/>
    <n v="60"/>
    <x v="123"/>
    <x v="313"/>
    <x v="1"/>
    <n v="14.2"/>
    <n v="3.5"/>
    <n v="5"/>
    <x v="0"/>
    <n v="34.53"/>
    <s v="Obesity"/>
  </r>
  <r>
    <n v="52"/>
    <x v="0"/>
    <n v="104.8"/>
    <n v="1.99"/>
    <n v="187"/>
    <n v="130"/>
    <n v="67"/>
    <x v="105"/>
    <x v="184"/>
    <x v="2"/>
    <n v="24"/>
    <n v="2"/>
    <n v="2"/>
    <x v="2"/>
    <n v="26.46"/>
    <s v="Overweight"/>
  </r>
  <r>
    <n v="57"/>
    <x v="0"/>
    <n v="82.2"/>
    <n v="1.69"/>
    <n v="188"/>
    <n v="155"/>
    <n v="63"/>
    <x v="11"/>
    <x v="314"/>
    <x v="3"/>
    <n v="25.2"/>
    <n v="3.4"/>
    <n v="4"/>
    <x v="1"/>
    <n v="28.78"/>
    <s v="Overweight"/>
  </r>
  <r>
    <n v="33"/>
    <x v="1"/>
    <n v="68.2"/>
    <n v="1.75"/>
    <n v="177"/>
    <n v="150"/>
    <n v="71"/>
    <x v="124"/>
    <x v="315"/>
    <x v="3"/>
    <n v="29"/>
    <n v="1.7"/>
    <n v="2"/>
    <x v="2"/>
    <n v="22.27"/>
    <s v="Normal Weight"/>
  </r>
  <r>
    <n v="30"/>
    <x v="0"/>
    <n v="91.4"/>
    <n v="1.99"/>
    <n v="171"/>
    <n v="152"/>
    <n v="60"/>
    <x v="18"/>
    <x v="316"/>
    <x v="1"/>
    <n v="23"/>
    <n v="3.7"/>
    <n v="3"/>
    <x v="1"/>
    <n v="23.08"/>
    <s v="Normal Weight"/>
  </r>
  <r>
    <n v="59"/>
    <x v="1"/>
    <n v="42.1"/>
    <n v="1.65"/>
    <n v="172"/>
    <n v="132"/>
    <n v="59"/>
    <x v="74"/>
    <x v="317"/>
    <x v="3"/>
    <n v="33"/>
    <n v="2.2000000000000002"/>
    <n v="2"/>
    <x v="2"/>
    <n v="15.46"/>
    <s v="Underweight"/>
  </r>
  <r>
    <n v="47"/>
    <x v="1"/>
    <n v="68.7"/>
    <n v="1.76"/>
    <n v="161"/>
    <n v="137"/>
    <n v="66"/>
    <x v="18"/>
    <x v="318"/>
    <x v="3"/>
    <n v="27.7"/>
    <n v="2.4"/>
    <n v="3"/>
    <x v="1"/>
    <n v="22.18"/>
    <s v="Normal Weight"/>
  </r>
  <r>
    <n v="36"/>
    <x v="1"/>
    <n v="47.2"/>
    <n v="1.74"/>
    <n v="196"/>
    <n v="160"/>
    <n v="53"/>
    <x v="19"/>
    <x v="319"/>
    <x v="2"/>
    <n v="32.200000000000003"/>
    <n v="1.6"/>
    <n v="4"/>
    <x v="1"/>
    <n v="15.59"/>
    <s v="Underweight"/>
  </r>
  <r>
    <n v="34"/>
    <x v="0"/>
    <n v="92"/>
    <n v="1.76"/>
    <n v="175"/>
    <n v="143"/>
    <n v="73"/>
    <x v="25"/>
    <x v="158"/>
    <x v="0"/>
    <n v="22.1"/>
    <n v="3.5"/>
    <n v="3"/>
    <x v="2"/>
    <n v="29.7"/>
    <s v="Overweight"/>
  </r>
  <r>
    <n v="36"/>
    <x v="0"/>
    <n v="56.2"/>
    <n v="1.95"/>
    <n v="183"/>
    <n v="128"/>
    <n v="64"/>
    <x v="58"/>
    <x v="165"/>
    <x v="3"/>
    <n v="22.5"/>
    <n v="3.4"/>
    <n v="4"/>
    <x v="1"/>
    <n v="14.78"/>
    <s v="Underweight"/>
  </r>
  <r>
    <n v="45"/>
    <x v="0"/>
    <n v="58.4"/>
    <n v="1.72"/>
    <n v="194"/>
    <n v="150"/>
    <n v="65"/>
    <x v="34"/>
    <x v="320"/>
    <x v="1"/>
    <n v="23.4"/>
    <n v="3.1"/>
    <n v="4"/>
    <x v="1"/>
    <n v="19.739999999999998"/>
    <s v="Normal Weight"/>
  </r>
  <r>
    <n v="43"/>
    <x v="0"/>
    <n v="82.9"/>
    <n v="1.95"/>
    <n v="181"/>
    <n v="160"/>
    <n v="70"/>
    <x v="125"/>
    <x v="321"/>
    <x v="2"/>
    <n v="12.9"/>
    <n v="3.5"/>
    <n v="5"/>
    <x v="0"/>
    <n v="21.8"/>
    <s v="Normal Weight"/>
  </r>
  <r>
    <n v="54"/>
    <x v="1"/>
    <n v="66.900000000000006"/>
    <n v="1.74"/>
    <n v="195"/>
    <n v="129"/>
    <n v="62"/>
    <x v="12"/>
    <x v="322"/>
    <x v="1"/>
    <n v="29.5"/>
    <n v="2.1"/>
    <n v="2"/>
    <x v="2"/>
    <n v="22.1"/>
    <s v="Normal Weight"/>
  </r>
  <r>
    <n v="43"/>
    <x v="0"/>
    <n v="66.3"/>
    <n v="1.85"/>
    <n v="170"/>
    <n v="121"/>
    <n v="58"/>
    <x v="13"/>
    <x v="173"/>
    <x v="2"/>
    <n v="27.5"/>
    <n v="3.2"/>
    <n v="2"/>
    <x v="2"/>
    <n v="19.37"/>
    <s v="Normal Weight"/>
  </r>
  <r>
    <n v="40"/>
    <x v="0"/>
    <n v="93.6"/>
    <n v="1.93"/>
    <n v="188"/>
    <n v="157"/>
    <n v="60"/>
    <x v="82"/>
    <x v="323"/>
    <x v="2"/>
    <n v="22.1"/>
    <n v="2"/>
    <n v="3"/>
    <x v="2"/>
    <n v="25.13"/>
    <s v="Overweight"/>
  </r>
  <r>
    <n v="26"/>
    <x v="1"/>
    <n v="64.099999999999994"/>
    <n v="1.5"/>
    <n v="194"/>
    <n v="134"/>
    <n v="60"/>
    <x v="59"/>
    <x v="324"/>
    <x v="3"/>
    <n v="15.1"/>
    <n v="2.7"/>
    <n v="5"/>
    <x v="0"/>
    <n v="28.49"/>
    <s v="Overweight"/>
  </r>
  <r>
    <n v="29"/>
    <x v="0"/>
    <n v="86.7"/>
    <n v="1.62"/>
    <n v="174"/>
    <n v="122"/>
    <n v="55"/>
    <x v="30"/>
    <x v="103"/>
    <x v="3"/>
    <n v="13.9"/>
    <n v="3.5"/>
    <n v="4"/>
    <x v="0"/>
    <n v="33.04"/>
    <s v="Obesity"/>
  </r>
  <r>
    <n v="18"/>
    <x v="1"/>
    <n v="62"/>
    <n v="1.59"/>
    <n v="190"/>
    <n v="162"/>
    <n v="50"/>
    <x v="40"/>
    <x v="325"/>
    <x v="3"/>
    <n v="33.200000000000003"/>
    <n v="2.2000000000000002"/>
    <n v="4"/>
    <x v="1"/>
    <n v="24.52"/>
    <s v="Normal Weight"/>
  </r>
  <r>
    <n v="18"/>
    <x v="1"/>
    <n v="58.1"/>
    <n v="1.61"/>
    <n v="175"/>
    <n v="150"/>
    <n v="71"/>
    <x v="125"/>
    <x v="326"/>
    <x v="0"/>
    <n v="15.3"/>
    <n v="2.7"/>
    <n v="4"/>
    <x v="0"/>
    <n v="22.41"/>
    <s v="Normal Weight"/>
  </r>
  <r>
    <n v="51"/>
    <x v="1"/>
    <n v="64.900000000000006"/>
    <n v="1.6"/>
    <n v="169"/>
    <n v="125"/>
    <n v="55"/>
    <x v="6"/>
    <x v="327"/>
    <x v="0"/>
    <n v="31.1"/>
    <n v="2.5"/>
    <n v="4"/>
    <x v="1"/>
    <n v="25.35"/>
    <s v="Overweight"/>
  </r>
  <r>
    <n v="49"/>
    <x v="1"/>
    <n v="69.3"/>
    <n v="1.62"/>
    <n v="191"/>
    <n v="122"/>
    <n v="62"/>
    <x v="36"/>
    <x v="328"/>
    <x v="1"/>
    <n v="28.8"/>
    <n v="1.9"/>
    <n v="4"/>
    <x v="1"/>
    <n v="26.41"/>
    <s v="Overweight"/>
  </r>
  <r>
    <n v="42"/>
    <x v="1"/>
    <n v="42.7"/>
    <n v="1.74"/>
    <n v="161"/>
    <n v="130"/>
    <n v="71"/>
    <x v="29"/>
    <x v="133"/>
    <x v="3"/>
    <n v="32.9"/>
    <n v="1.6"/>
    <n v="3"/>
    <x v="2"/>
    <n v="14.1"/>
    <s v="Underweight"/>
  </r>
  <r>
    <n v="57"/>
    <x v="1"/>
    <n v="51.4"/>
    <n v="1.63"/>
    <n v="183"/>
    <n v="134"/>
    <n v="73"/>
    <x v="37"/>
    <x v="329"/>
    <x v="0"/>
    <n v="33.700000000000003"/>
    <n v="2"/>
    <n v="4"/>
    <x v="1"/>
    <n v="19.350000000000001"/>
    <s v="Normal Weight"/>
  </r>
  <r>
    <n v="18"/>
    <x v="1"/>
    <n v="67.400000000000006"/>
    <n v="1.6"/>
    <n v="182"/>
    <n v="164"/>
    <n v="71"/>
    <x v="126"/>
    <x v="330"/>
    <x v="3"/>
    <n v="33.5"/>
    <n v="2.4"/>
    <n v="3"/>
    <x v="2"/>
    <n v="26.33"/>
    <s v="Overweight"/>
  </r>
  <r>
    <n v="33"/>
    <x v="1"/>
    <n v="55.6"/>
    <n v="1.61"/>
    <n v="161"/>
    <n v="147"/>
    <n v="54"/>
    <x v="127"/>
    <x v="331"/>
    <x v="0"/>
    <n v="18.899999999999999"/>
    <n v="2.7"/>
    <n v="4"/>
    <x v="0"/>
    <n v="21.45"/>
    <s v="Normal Weight"/>
  </r>
  <r>
    <n v="56"/>
    <x v="0"/>
    <n v="125.3"/>
    <n v="1.86"/>
    <n v="197"/>
    <n v="129"/>
    <n v="64"/>
    <x v="75"/>
    <x v="115"/>
    <x v="0"/>
    <n v="22.7"/>
    <n v="2.2000000000000002"/>
    <n v="3"/>
    <x v="1"/>
    <n v="36.22"/>
    <s v="Obesity"/>
  </r>
  <r>
    <n v="22"/>
    <x v="0"/>
    <n v="102.1"/>
    <n v="1.85"/>
    <n v="190"/>
    <n v="157"/>
    <n v="67"/>
    <x v="26"/>
    <x v="332"/>
    <x v="2"/>
    <n v="28.1"/>
    <n v="2.4"/>
    <n v="4"/>
    <x v="1"/>
    <n v="29.83"/>
    <s v="Overweight"/>
  </r>
  <r>
    <n v="39"/>
    <x v="0"/>
    <n v="61.9"/>
    <n v="1.77"/>
    <n v="199"/>
    <n v="166"/>
    <n v="69"/>
    <x v="31"/>
    <x v="333"/>
    <x v="3"/>
    <n v="25.3"/>
    <n v="2.2999999999999998"/>
    <n v="3"/>
    <x v="2"/>
    <n v="19.760000000000002"/>
    <s v="Normal Weight"/>
  </r>
  <r>
    <n v="46"/>
    <x v="0"/>
    <n v="108.8"/>
    <n v="1.64"/>
    <n v="185"/>
    <n v="169"/>
    <n v="63"/>
    <x v="44"/>
    <x v="334"/>
    <x v="3"/>
    <n v="20.5"/>
    <n v="3.4"/>
    <n v="3"/>
    <x v="2"/>
    <n v="40.450000000000003"/>
    <s v="Obesity"/>
  </r>
  <r>
    <n v="20"/>
    <x v="1"/>
    <n v="51.1"/>
    <n v="1.58"/>
    <n v="188"/>
    <n v="169"/>
    <n v="64"/>
    <x v="128"/>
    <x v="335"/>
    <x v="0"/>
    <n v="29.6"/>
    <n v="1.6"/>
    <n v="2"/>
    <x v="2"/>
    <n v="20.47"/>
    <s v="Normal Weight"/>
  </r>
  <r>
    <n v="29"/>
    <x v="0"/>
    <n v="81.7"/>
    <n v="1.99"/>
    <n v="162"/>
    <n v="126"/>
    <n v="54"/>
    <x v="35"/>
    <x v="336"/>
    <x v="3"/>
    <n v="29.4"/>
    <n v="3.2"/>
    <n v="2"/>
    <x v="2"/>
    <n v="20.63"/>
    <s v="Normal Weight"/>
  </r>
  <r>
    <n v="43"/>
    <x v="1"/>
    <n v="42.7"/>
    <n v="1.66"/>
    <n v="173"/>
    <n v="134"/>
    <n v="53"/>
    <x v="25"/>
    <x v="57"/>
    <x v="0"/>
    <n v="33.9"/>
    <n v="1.9"/>
    <n v="2"/>
    <x v="2"/>
    <n v="15.5"/>
    <s v="Underweight"/>
  </r>
  <r>
    <n v="33"/>
    <x v="0"/>
    <n v="81.8"/>
    <n v="1.99"/>
    <n v="184"/>
    <n v="137"/>
    <n v="51"/>
    <x v="5"/>
    <x v="337"/>
    <x v="3"/>
    <n v="10.5"/>
    <n v="3.5"/>
    <n v="4"/>
    <x v="0"/>
    <n v="20.66"/>
    <s v="Normal Weight"/>
  </r>
  <r>
    <n v="54"/>
    <x v="0"/>
    <n v="54.6"/>
    <n v="1.76"/>
    <n v="160"/>
    <n v="137"/>
    <n v="56"/>
    <x v="76"/>
    <x v="338"/>
    <x v="2"/>
    <n v="27.4"/>
    <n v="3.3"/>
    <n v="4"/>
    <x v="1"/>
    <n v="17.63"/>
    <s v="Underweight"/>
  </r>
  <r>
    <n v="39"/>
    <x v="0"/>
    <n v="107.7"/>
    <n v="1.88"/>
    <n v="162"/>
    <n v="160"/>
    <n v="59"/>
    <x v="129"/>
    <x v="339"/>
    <x v="3"/>
    <n v="28.1"/>
    <n v="3.6"/>
    <n v="2"/>
    <x v="2"/>
    <n v="30.47"/>
    <s v="Obesity"/>
  </r>
  <r>
    <n v="46"/>
    <x v="1"/>
    <n v="56.9"/>
    <n v="1.6"/>
    <n v="185"/>
    <n v="143"/>
    <n v="65"/>
    <x v="130"/>
    <x v="340"/>
    <x v="2"/>
    <n v="27.7"/>
    <n v="1.6"/>
    <n v="3"/>
    <x v="2"/>
    <n v="22.23"/>
    <s v="Normal Weight"/>
  </r>
  <r>
    <n v="31"/>
    <x v="0"/>
    <n v="78.8"/>
    <n v="1.71"/>
    <n v="177"/>
    <n v="121"/>
    <n v="59"/>
    <x v="6"/>
    <x v="341"/>
    <x v="1"/>
    <n v="24.7"/>
    <n v="2.5"/>
    <n v="4"/>
    <x v="1"/>
    <n v="26.95"/>
    <s v="Overweight"/>
  </r>
  <r>
    <n v="45"/>
    <x v="1"/>
    <n v="48.2"/>
    <n v="1.64"/>
    <n v="168"/>
    <n v="159"/>
    <n v="67"/>
    <x v="23"/>
    <x v="342"/>
    <x v="3"/>
    <n v="32.1"/>
    <n v="2.5"/>
    <n v="4"/>
    <x v="1"/>
    <n v="17.920000000000002"/>
    <s v="Underweight"/>
  </r>
  <r>
    <n v="22"/>
    <x v="1"/>
    <n v="50.7"/>
    <n v="1.59"/>
    <n v="197"/>
    <n v="139"/>
    <n v="66"/>
    <x v="7"/>
    <x v="1"/>
    <x v="3"/>
    <n v="29.4"/>
    <n v="1.8"/>
    <n v="3"/>
    <x v="1"/>
    <n v="20.05"/>
    <s v="Normal Weight"/>
  </r>
  <r>
    <n v="47"/>
    <x v="0"/>
    <n v="86.6"/>
    <n v="1.99"/>
    <n v="182"/>
    <n v="153"/>
    <n v="70"/>
    <x v="77"/>
    <x v="343"/>
    <x v="3"/>
    <n v="10.6"/>
    <n v="3.5"/>
    <n v="4"/>
    <x v="0"/>
    <n v="21.87"/>
    <s v="Normal Weight"/>
  </r>
  <r>
    <n v="22"/>
    <x v="0"/>
    <n v="96.3"/>
    <n v="1.63"/>
    <n v="180"/>
    <n v="162"/>
    <n v="62"/>
    <x v="14"/>
    <x v="344"/>
    <x v="2"/>
    <n v="27.1"/>
    <n v="2.4"/>
    <n v="4"/>
    <x v="1"/>
    <n v="36.25"/>
    <s v="Obesity"/>
  </r>
  <r>
    <n v="29"/>
    <x v="0"/>
    <n v="80.8"/>
    <n v="1.98"/>
    <n v="160"/>
    <n v="145"/>
    <n v="50"/>
    <x v="131"/>
    <x v="345"/>
    <x v="3"/>
    <n v="14.6"/>
    <n v="3.5"/>
    <n v="5"/>
    <x v="0"/>
    <n v="20.61"/>
    <s v="Normal Weight"/>
  </r>
  <r>
    <n v="33"/>
    <x v="1"/>
    <n v="58"/>
    <n v="1.53"/>
    <n v="180"/>
    <n v="126"/>
    <n v="50"/>
    <x v="99"/>
    <x v="346"/>
    <x v="3"/>
    <n v="18.3"/>
    <n v="2.7"/>
    <n v="5"/>
    <x v="0"/>
    <n v="24.78"/>
    <s v="Normal Weight"/>
  </r>
  <r>
    <n v="43"/>
    <x v="0"/>
    <n v="95.9"/>
    <n v="1.85"/>
    <n v="186"/>
    <n v="157"/>
    <n v="64"/>
    <x v="76"/>
    <x v="347"/>
    <x v="0"/>
    <n v="27.7"/>
    <n v="3.4"/>
    <n v="2"/>
    <x v="2"/>
    <n v="28.02"/>
    <s v="Overweight"/>
  </r>
  <r>
    <n v="43"/>
    <x v="1"/>
    <n v="61.5"/>
    <n v="1.58"/>
    <n v="165"/>
    <n v="149"/>
    <n v="50"/>
    <x v="123"/>
    <x v="348"/>
    <x v="1"/>
    <n v="16.8"/>
    <n v="2.7"/>
    <n v="5"/>
    <x v="0"/>
    <n v="24.64"/>
    <s v="Normal Weight"/>
  </r>
  <r>
    <n v="38"/>
    <x v="1"/>
    <n v="40.6"/>
    <n v="1.79"/>
    <n v="195"/>
    <n v="161"/>
    <n v="55"/>
    <x v="48"/>
    <x v="143"/>
    <x v="2"/>
    <n v="26.8"/>
    <n v="2.7"/>
    <n v="2"/>
    <x v="2"/>
    <n v="12.67"/>
    <s v="Underweight"/>
  </r>
  <r>
    <n v="56"/>
    <x v="0"/>
    <n v="82.5"/>
    <n v="1.87"/>
    <n v="187"/>
    <n v="124"/>
    <n v="74"/>
    <x v="132"/>
    <x v="292"/>
    <x v="0"/>
    <n v="13.2"/>
    <n v="3.5"/>
    <n v="5"/>
    <x v="0"/>
    <n v="23.59"/>
    <s v="Normal Weight"/>
  </r>
  <r>
    <n v="53"/>
    <x v="0"/>
    <n v="105.1"/>
    <n v="1.84"/>
    <n v="176"/>
    <n v="130"/>
    <n v="62"/>
    <x v="117"/>
    <x v="349"/>
    <x v="2"/>
    <n v="23.3"/>
    <n v="2.9"/>
    <n v="3"/>
    <x v="2"/>
    <n v="31.04"/>
    <s v="Obesity"/>
  </r>
  <r>
    <n v="50"/>
    <x v="1"/>
    <n v="58.1"/>
    <n v="1.58"/>
    <n v="199"/>
    <n v="120"/>
    <n v="50"/>
    <x v="59"/>
    <x v="132"/>
    <x v="0"/>
    <n v="19.3"/>
    <n v="2.7"/>
    <n v="5"/>
    <x v="0"/>
    <n v="23.27"/>
    <s v="Normal Weight"/>
  </r>
  <r>
    <n v="47"/>
    <x v="1"/>
    <n v="61"/>
    <n v="1.76"/>
    <n v="162"/>
    <n v="153"/>
    <n v="54"/>
    <x v="96"/>
    <x v="231"/>
    <x v="1"/>
    <n v="15.6"/>
    <n v="2.7"/>
    <n v="5"/>
    <x v="0"/>
    <n v="19.690000000000001"/>
    <s v="Normal Weight"/>
  </r>
  <r>
    <n v="54"/>
    <x v="1"/>
    <n v="64.5"/>
    <n v="1.53"/>
    <n v="171"/>
    <n v="120"/>
    <n v="58"/>
    <x v="67"/>
    <x v="206"/>
    <x v="0"/>
    <n v="17.2"/>
    <n v="2.7"/>
    <n v="4"/>
    <x v="0"/>
    <n v="27.55"/>
    <s v="Overweight"/>
  </r>
  <r>
    <n v="40"/>
    <x v="0"/>
    <n v="58.2"/>
    <n v="1.98"/>
    <n v="198"/>
    <n v="138"/>
    <n v="74"/>
    <x v="116"/>
    <x v="350"/>
    <x v="2"/>
    <n v="24"/>
    <n v="2.5"/>
    <n v="3"/>
    <x v="1"/>
    <n v="14.85"/>
    <s v="Underweight"/>
  </r>
  <r>
    <n v="27"/>
    <x v="1"/>
    <n v="69.5"/>
    <n v="1.76"/>
    <n v="171"/>
    <n v="121"/>
    <n v="66"/>
    <x v="133"/>
    <x v="351"/>
    <x v="3"/>
    <n v="34.4"/>
    <n v="2"/>
    <n v="3"/>
    <x v="2"/>
    <n v="22.44"/>
    <s v="Normal Weight"/>
  </r>
  <r>
    <n v="22"/>
    <x v="0"/>
    <n v="62.2"/>
    <n v="1.84"/>
    <n v="161"/>
    <n v="140"/>
    <n v="65"/>
    <x v="66"/>
    <x v="352"/>
    <x v="3"/>
    <n v="21.5"/>
    <n v="2.2999999999999998"/>
    <n v="3"/>
    <x v="2"/>
    <n v="18.37"/>
    <s v="Underweight"/>
  </r>
  <r>
    <n v="53"/>
    <x v="1"/>
    <n v="68"/>
    <n v="1.7"/>
    <n v="181"/>
    <n v="139"/>
    <n v="57"/>
    <x v="107"/>
    <x v="73"/>
    <x v="1"/>
    <n v="25.1"/>
    <n v="2.4"/>
    <n v="4"/>
    <x v="1"/>
    <n v="23.53"/>
    <s v="Normal Weight"/>
  </r>
  <r>
    <n v="51"/>
    <x v="1"/>
    <n v="56.3"/>
    <n v="1.5"/>
    <n v="182"/>
    <n v="142"/>
    <n v="66"/>
    <x v="116"/>
    <x v="353"/>
    <x v="2"/>
    <n v="27.4"/>
    <n v="2.4"/>
    <n v="3"/>
    <x v="2"/>
    <n v="25.02"/>
    <s v="Overweight"/>
  </r>
  <r>
    <n v="48"/>
    <x v="0"/>
    <n v="94.5"/>
    <n v="1.7"/>
    <n v="189"/>
    <n v="140"/>
    <n v="64"/>
    <x v="69"/>
    <x v="354"/>
    <x v="2"/>
    <n v="28.2"/>
    <n v="3.5"/>
    <n v="3"/>
    <x v="1"/>
    <n v="32.700000000000003"/>
    <s v="Obesity"/>
  </r>
  <r>
    <n v="27"/>
    <x v="1"/>
    <n v="58"/>
    <n v="1.79"/>
    <n v="164"/>
    <n v="143"/>
    <n v="73"/>
    <x v="68"/>
    <x v="355"/>
    <x v="2"/>
    <n v="27.1"/>
    <n v="1.5"/>
    <n v="2"/>
    <x v="2"/>
    <n v="18.100000000000001"/>
    <s v="Underweight"/>
  </r>
  <r>
    <n v="36"/>
    <x v="0"/>
    <n v="84"/>
    <n v="1.94"/>
    <n v="168"/>
    <n v="123"/>
    <n v="50"/>
    <x v="60"/>
    <x v="356"/>
    <x v="1"/>
    <n v="11.2"/>
    <n v="3.5"/>
    <n v="5"/>
    <x v="0"/>
    <n v="22.32"/>
    <s v="Normal Weight"/>
  </r>
  <r>
    <n v="49"/>
    <x v="0"/>
    <n v="61"/>
    <n v="1.87"/>
    <n v="180"/>
    <n v="131"/>
    <n v="61"/>
    <x v="36"/>
    <x v="217"/>
    <x v="3"/>
    <n v="21.3"/>
    <n v="3"/>
    <n v="4"/>
    <x v="1"/>
    <n v="17.440000000000001"/>
    <s v="Underweight"/>
  </r>
  <r>
    <n v="18"/>
    <x v="1"/>
    <n v="64.8"/>
    <n v="1.53"/>
    <n v="170"/>
    <n v="141"/>
    <n v="54"/>
    <x v="77"/>
    <x v="357"/>
    <x v="0"/>
    <n v="18.600000000000001"/>
    <n v="2.7"/>
    <n v="5"/>
    <x v="0"/>
    <n v="27.68"/>
    <s v="Overweight"/>
  </r>
  <r>
    <n v="22"/>
    <x v="0"/>
    <n v="45.7"/>
    <n v="1.77"/>
    <n v="164"/>
    <n v="139"/>
    <n v="73"/>
    <x v="29"/>
    <x v="358"/>
    <x v="1"/>
    <n v="20.7"/>
    <n v="2.4"/>
    <n v="3"/>
    <x v="2"/>
    <n v="14.59"/>
    <s v="Underweight"/>
  </r>
  <r>
    <n v="21"/>
    <x v="0"/>
    <n v="80.900000000000006"/>
    <n v="1.9"/>
    <n v="194"/>
    <n v="137"/>
    <n v="55"/>
    <x v="60"/>
    <x v="359"/>
    <x v="0"/>
    <n v="11.7"/>
    <n v="3.5"/>
    <n v="4"/>
    <x v="0"/>
    <n v="22.41"/>
    <s v="Normal Weight"/>
  </r>
  <r>
    <n v="33"/>
    <x v="1"/>
    <n v="64.099999999999994"/>
    <n v="1.63"/>
    <n v="186"/>
    <n v="120"/>
    <n v="74"/>
    <x v="92"/>
    <x v="360"/>
    <x v="3"/>
    <n v="16.399999999999999"/>
    <n v="2.7"/>
    <n v="5"/>
    <x v="0"/>
    <n v="24.13"/>
    <s v="Normal Weight"/>
  </r>
  <r>
    <n v="41"/>
    <x v="0"/>
    <n v="67"/>
    <n v="1.77"/>
    <n v="161"/>
    <n v="149"/>
    <n v="50"/>
    <x v="74"/>
    <x v="202"/>
    <x v="1"/>
    <n v="25.6"/>
    <n v="2.6"/>
    <n v="3"/>
    <x v="1"/>
    <n v="21.39"/>
    <s v="Normal Weight"/>
  </r>
  <r>
    <n v="33"/>
    <x v="0"/>
    <n v="106.5"/>
    <n v="1.6"/>
    <n v="183"/>
    <n v="152"/>
    <n v="74"/>
    <x v="44"/>
    <x v="361"/>
    <x v="3"/>
    <n v="27.3"/>
    <n v="3.3"/>
    <n v="4"/>
    <x v="1"/>
    <n v="41.6"/>
    <s v="Obesity"/>
  </r>
  <r>
    <n v="19"/>
    <x v="0"/>
    <n v="95.1"/>
    <n v="1.85"/>
    <n v="190"/>
    <n v="143"/>
    <n v="50"/>
    <x v="101"/>
    <x v="234"/>
    <x v="0"/>
    <n v="25.3"/>
    <n v="2.2999999999999998"/>
    <n v="4"/>
    <x v="1"/>
    <n v="27.79"/>
    <s v="Overweight"/>
  </r>
  <r>
    <n v="45"/>
    <x v="1"/>
    <n v="65.5"/>
    <n v="1.57"/>
    <n v="192"/>
    <n v="133"/>
    <n v="59"/>
    <x v="78"/>
    <x v="362"/>
    <x v="2"/>
    <n v="34.299999999999997"/>
    <n v="2.2999999999999998"/>
    <n v="2"/>
    <x v="2"/>
    <n v="26.57"/>
    <s v="Overweight"/>
  </r>
  <r>
    <n v="49"/>
    <x v="0"/>
    <n v="105.7"/>
    <n v="1.64"/>
    <n v="198"/>
    <n v="155"/>
    <n v="59"/>
    <x v="37"/>
    <x v="363"/>
    <x v="2"/>
    <n v="29.5"/>
    <n v="3.1"/>
    <n v="3"/>
    <x v="1"/>
    <n v="39.299999999999997"/>
    <s v="Obesity"/>
  </r>
  <r>
    <n v="44"/>
    <x v="1"/>
    <n v="48"/>
    <n v="1.76"/>
    <n v="189"/>
    <n v="124"/>
    <n v="52"/>
    <x v="130"/>
    <x v="364"/>
    <x v="0"/>
    <n v="28.6"/>
    <n v="2.6"/>
    <n v="2"/>
    <x v="2"/>
    <n v="15.5"/>
    <s v="Underweight"/>
  </r>
  <r>
    <n v="37"/>
    <x v="1"/>
    <n v="69.5"/>
    <n v="1.5"/>
    <n v="196"/>
    <n v="130"/>
    <n v="66"/>
    <x v="117"/>
    <x v="299"/>
    <x v="2"/>
    <n v="32.799999999999997"/>
    <n v="2.4"/>
    <n v="2"/>
    <x v="2"/>
    <n v="30.89"/>
    <s v="Obesity"/>
  </r>
  <r>
    <n v="41"/>
    <x v="0"/>
    <n v="66.099999999999994"/>
    <n v="1.69"/>
    <n v="187"/>
    <n v="143"/>
    <n v="68"/>
    <x v="104"/>
    <x v="365"/>
    <x v="0"/>
    <n v="27.4"/>
    <n v="3.4"/>
    <n v="2"/>
    <x v="2"/>
    <n v="23.14"/>
    <s v="Normal Weight"/>
  </r>
  <r>
    <n v="29"/>
    <x v="0"/>
    <n v="68"/>
    <n v="1.7"/>
    <n v="190"/>
    <n v="150"/>
    <n v="60"/>
    <x v="134"/>
    <x v="65"/>
    <x v="1"/>
    <n v="28.9"/>
    <n v="2.9"/>
    <n v="2"/>
    <x v="2"/>
    <n v="23.53"/>
    <s v="Normal Weight"/>
  </r>
  <r>
    <n v="52"/>
    <x v="0"/>
    <n v="50.3"/>
    <n v="1.78"/>
    <n v="170"/>
    <n v="132"/>
    <n v="67"/>
    <x v="124"/>
    <x v="300"/>
    <x v="1"/>
    <n v="24.5"/>
    <n v="2.2999999999999998"/>
    <n v="2"/>
    <x v="2"/>
    <n v="15.88"/>
    <s v="Underweight"/>
  </r>
  <r>
    <n v="50"/>
    <x v="1"/>
    <n v="69.3"/>
    <n v="1.68"/>
    <n v="182"/>
    <n v="135"/>
    <n v="51"/>
    <x v="37"/>
    <x v="256"/>
    <x v="1"/>
    <n v="30.3"/>
    <n v="2"/>
    <n v="2"/>
    <x v="2"/>
    <n v="24.55"/>
    <s v="Normal Weight"/>
  </r>
  <r>
    <n v="50"/>
    <x v="0"/>
    <n v="86.7"/>
    <n v="1.63"/>
    <n v="161"/>
    <n v="143"/>
    <n v="58"/>
    <x v="119"/>
    <x v="344"/>
    <x v="2"/>
    <n v="12.1"/>
    <n v="3.5"/>
    <n v="4"/>
    <x v="0"/>
    <n v="32.630000000000003"/>
    <s v="Obesity"/>
  </r>
  <r>
    <n v="54"/>
    <x v="0"/>
    <n v="125.9"/>
    <n v="1.94"/>
    <n v="199"/>
    <n v="132"/>
    <n v="73"/>
    <x v="14"/>
    <x v="314"/>
    <x v="3"/>
    <n v="28.5"/>
    <n v="2.9"/>
    <n v="3"/>
    <x v="1"/>
    <n v="33.450000000000003"/>
    <s v="Obesity"/>
  </r>
  <r>
    <n v="29"/>
    <x v="0"/>
    <n v="88.1"/>
    <n v="1.93"/>
    <n v="186"/>
    <n v="143"/>
    <n v="66"/>
    <x v="122"/>
    <x v="120"/>
    <x v="2"/>
    <n v="11.1"/>
    <n v="3.5"/>
    <n v="5"/>
    <x v="0"/>
    <n v="23.65"/>
    <s v="Normal Weight"/>
  </r>
  <r>
    <n v="20"/>
    <x v="0"/>
    <n v="124.3"/>
    <n v="1.82"/>
    <n v="194"/>
    <n v="145"/>
    <n v="63"/>
    <x v="23"/>
    <x v="366"/>
    <x v="2"/>
    <n v="22.4"/>
    <n v="3.2"/>
    <n v="3"/>
    <x v="1"/>
    <n v="37.53"/>
    <s v="Obesity"/>
  </r>
  <r>
    <n v="18"/>
    <x v="0"/>
    <n v="62"/>
    <n v="1.85"/>
    <n v="161"/>
    <n v="121"/>
    <n v="53"/>
    <x v="130"/>
    <x v="367"/>
    <x v="3"/>
    <n v="23.7"/>
    <n v="3"/>
    <n v="3"/>
    <x v="2"/>
    <n v="18.12"/>
    <s v="Underweight"/>
  </r>
  <r>
    <n v="50"/>
    <x v="1"/>
    <n v="69.7"/>
    <n v="1.72"/>
    <n v="198"/>
    <n v="135"/>
    <n v="66"/>
    <x v="12"/>
    <x v="368"/>
    <x v="3"/>
    <n v="27.3"/>
    <n v="2"/>
    <n v="4"/>
    <x v="1"/>
    <n v="23.56"/>
    <s v="Normal Weight"/>
  </r>
  <r>
    <n v="57"/>
    <x v="1"/>
    <n v="60.9"/>
    <n v="1.52"/>
    <n v="196"/>
    <n v="157"/>
    <n v="66"/>
    <x v="34"/>
    <x v="174"/>
    <x v="3"/>
    <n v="30.6"/>
    <n v="1.8"/>
    <n v="3"/>
    <x v="1"/>
    <n v="26.36"/>
    <s v="Overweight"/>
  </r>
  <r>
    <n v="27"/>
    <x v="0"/>
    <n v="76.5"/>
    <n v="1.97"/>
    <n v="180"/>
    <n v="165"/>
    <n v="61"/>
    <x v="15"/>
    <x v="180"/>
    <x v="3"/>
    <n v="21.3"/>
    <n v="2.2999999999999998"/>
    <n v="2"/>
    <x v="2"/>
    <n v="19.71"/>
    <s v="Normal Weight"/>
  </r>
  <r>
    <n v="46"/>
    <x v="0"/>
    <n v="94.7"/>
    <n v="1.82"/>
    <n v="164"/>
    <n v="120"/>
    <n v="69"/>
    <x v="43"/>
    <x v="369"/>
    <x v="2"/>
    <n v="23.2"/>
    <n v="3.2"/>
    <n v="3"/>
    <x v="1"/>
    <n v="28.59"/>
    <s v="Overweight"/>
  </r>
  <r>
    <n v="30"/>
    <x v="0"/>
    <n v="67.900000000000006"/>
    <n v="1.75"/>
    <n v="180"/>
    <n v="168"/>
    <n v="67"/>
    <x v="23"/>
    <x v="370"/>
    <x v="0"/>
    <n v="29.1"/>
    <n v="3.1"/>
    <n v="2"/>
    <x v="2"/>
    <n v="22.17"/>
    <s v="Normal Weight"/>
  </r>
  <r>
    <n v="29"/>
    <x v="0"/>
    <n v="121.1"/>
    <n v="1.87"/>
    <n v="188"/>
    <n v="130"/>
    <n v="52"/>
    <x v="34"/>
    <x v="172"/>
    <x v="1"/>
    <n v="24.1"/>
    <n v="3.2"/>
    <n v="4"/>
    <x v="1"/>
    <n v="34.630000000000003"/>
    <s v="Obesity"/>
  </r>
  <r>
    <n v="48"/>
    <x v="1"/>
    <n v="71.5"/>
    <n v="1.64"/>
    <n v="179"/>
    <n v="154"/>
    <n v="60"/>
    <x v="85"/>
    <x v="222"/>
    <x v="0"/>
    <n v="32.5"/>
    <n v="1.9"/>
    <n v="4"/>
    <x v="1"/>
    <n v="26.58"/>
    <s v="Overweight"/>
  </r>
  <r>
    <n v="19"/>
    <x v="0"/>
    <n v="98.6"/>
    <n v="1.7"/>
    <n v="197"/>
    <n v="162"/>
    <n v="74"/>
    <x v="87"/>
    <x v="15"/>
    <x v="2"/>
    <n v="21.1"/>
    <n v="2.4"/>
    <n v="2"/>
    <x v="2"/>
    <n v="34.119999999999997"/>
    <s v="Obesity"/>
  </r>
  <r>
    <n v="52"/>
    <x v="1"/>
    <n v="68.2"/>
    <n v="1.63"/>
    <n v="179"/>
    <n v="148"/>
    <n v="67"/>
    <x v="21"/>
    <x v="371"/>
    <x v="3"/>
    <n v="27.5"/>
    <n v="2.4"/>
    <n v="3"/>
    <x v="2"/>
    <n v="25.67"/>
    <s v="Overweight"/>
  </r>
  <r>
    <n v="40"/>
    <x v="1"/>
    <n v="57.7"/>
    <n v="1.69"/>
    <n v="184"/>
    <n v="156"/>
    <n v="53"/>
    <x v="13"/>
    <x v="372"/>
    <x v="1"/>
    <n v="33.1"/>
    <n v="2.4"/>
    <n v="4"/>
    <x v="1"/>
    <n v="20.2"/>
    <s v="Normal Weight"/>
  </r>
  <r>
    <n v="34"/>
    <x v="0"/>
    <n v="124.6"/>
    <n v="1.63"/>
    <n v="161"/>
    <n v="136"/>
    <n v="66"/>
    <x v="39"/>
    <x v="373"/>
    <x v="1"/>
    <n v="27.6"/>
    <n v="2.8"/>
    <n v="3"/>
    <x v="1"/>
    <n v="46.9"/>
    <s v="Obesity"/>
  </r>
  <r>
    <n v="43"/>
    <x v="1"/>
    <n v="73"/>
    <n v="1.59"/>
    <n v="191"/>
    <n v="158"/>
    <n v="67"/>
    <x v="34"/>
    <x v="374"/>
    <x v="0"/>
    <n v="28.9"/>
    <n v="2.2000000000000002"/>
    <n v="3"/>
    <x v="2"/>
    <n v="28.88"/>
    <s v="Overweight"/>
  </r>
  <r>
    <n v="25"/>
    <x v="1"/>
    <n v="59.4"/>
    <n v="1.51"/>
    <n v="185"/>
    <n v="161"/>
    <n v="54"/>
    <x v="113"/>
    <x v="44"/>
    <x v="2"/>
    <n v="19.8"/>
    <n v="2.7"/>
    <n v="5"/>
    <x v="0"/>
    <n v="26.05"/>
    <s v="Overweight"/>
  </r>
  <r>
    <n v="46"/>
    <x v="1"/>
    <n v="52"/>
    <n v="1.65"/>
    <n v="165"/>
    <n v="147"/>
    <n v="63"/>
    <x v="84"/>
    <x v="375"/>
    <x v="2"/>
    <n v="34.1"/>
    <n v="1.9"/>
    <n v="2"/>
    <x v="2"/>
    <n v="19.100000000000001"/>
    <s v="Normal Weight"/>
  </r>
  <r>
    <n v="43"/>
    <x v="1"/>
    <n v="42.2"/>
    <n v="1.65"/>
    <n v="162"/>
    <n v="148"/>
    <n v="59"/>
    <x v="16"/>
    <x v="146"/>
    <x v="2"/>
    <n v="34.6"/>
    <n v="2.2999999999999998"/>
    <n v="3"/>
    <x v="1"/>
    <n v="15.5"/>
    <s v="Underweight"/>
  </r>
  <r>
    <n v="27"/>
    <x v="0"/>
    <n v="89.3"/>
    <n v="1.64"/>
    <n v="192"/>
    <n v="162"/>
    <n v="64"/>
    <x v="118"/>
    <x v="376"/>
    <x v="1"/>
    <n v="12.1"/>
    <n v="3.5"/>
    <n v="4"/>
    <x v="0"/>
    <n v="33.200000000000003"/>
    <s v="Obesity"/>
  </r>
  <r>
    <n v="43"/>
    <x v="0"/>
    <n v="110"/>
    <n v="1.76"/>
    <n v="160"/>
    <n v="122"/>
    <n v="50"/>
    <x v="58"/>
    <x v="377"/>
    <x v="0"/>
    <n v="22"/>
    <n v="3.4"/>
    <n v="3"/>
    <x v="2"/>
    <n v="35.51"/>
    <s v="Obesity"/>
  </r>
  <r>
    <n v="51"/>
    <x v="1"/>
    <n v="66.2"/>
    <n v="1.58"/>
    <n v="164"/>
    <n v="129"/>
    <n v="65"/>
    <x v="57"/>
    <x v="143"/>
    <x v="1"/>
    <n v="31.3"/>
    <n v="2.2999999999999998"/>
    <n v="3"/>
    <x v="2"/>
    <n v="26.52"/>
    <s v="Overweight"/>
  </r>
  <r>
    <n v="58"/>
    <x v="0"/>
    <n v="58.6"/>
    <n v="1.66"/>
    <n v="172"/>
    <n v="161"/>
    <n v="60"/>
    <x v="101"/>
    <x v="30"/>
    <x v="1"/>
    <n v="26.8"/>
    <n v="2.9"/>
    <n v="2"/>
    <x v="2"/>
    <n v="21.27"/>
    <s v="Normal Weight"/>
  </r>
  <r>
    <n v="24"/>
    <x v="0"/>
    <n v="51"/>
    <n v="1.67"/>
    <n v="178"/>
    <n v="133"/>
    <n v="72"/>
    <x v="64"/>
    <x v="378"/>
    <x v="3"/>
    <n v="21.3"/>
    <n v="2.8"/>
    <n v="3"/>
    <x v="2"/>
    <n v="18.29"/>
    <s v="Underweight"/>
  </r>
  <r>
    <n v="21"/>
    <x v="0"/>
    <n v="101.5"/>
    <n v="1.95"/>
    <n v="171"/>
    <n v="131"/>
    <n v="69"/>
    <x v="64"/>
    <x v="213"/>
    <x v="0"/>
    <n v="27.9"/>
    <n v="3.1"/>
    <n v="3"/>
    <x v="2"/>
    <n v="26.69"/>
    <s v="Overweight"/>
  </r>
  <r>
    <n v="28"/>
    <x v="0"/>
    <n v="114.2"/>
    <n v="1.87"/>
    <n v="184"/>
    <n v="166"/>
    <n v="55"/>
    <x v="95"/>
    <x v="205"/>
    <x v="3"/>
    <n v="20.2"/>
    <n v="3.2"/>
    <n v="3"/>
    <x v="1"/>
    <n v="32.659999999999997"/>
    <s v="Obesity"/>
  </r>
  <r>
    <n v="46"/>
    <x v="0"/>
    <n v="54.4"/>
    <n v="1.72"/>
    <n v="194"/>
    <n v="161"/>
    <n v="73"/>
    <x v="135"/>
    <x v="317"/>
    <x v="2"/>
    <n v="24.8"/>
    <n v="2.9"/>
    <n v="2"/>
    <x v="2"/>
    <n v="18.39"/>
    <s v="Underweight"/>
  </r>
  <r>
    <n v="53"/>
    <x v="1"/>
    <n v="52.4"/>
    <n v="1.57"/>
    <n v="171"/>
    <n v="149"/>
    <n v="71"/>
    <x v="33"/>
    <x v="379"/>
    <x v="1"/>
    <n v="28.3"/>
    <n v="2.2000000000000002"/>
    <n v="3"/>
    <x v="1"/>
    <n v="21.26"/>
    <s v="Normal Weight"/>
  </r>
  <r>
    <n v="42"/>
    <x v="0"/>
    <n v="85.2"/>
    <n v="1.81"/>
    <n v="189"/>
    <n v="151"/>
    <n v="65"/>
    <x v="96"/>
    <x v="151"/>
    <x v="0"/>
    <n v="13.7"/>
    <n v="3.5"/>
    <n v="5"/>
    <x v="0"/>
    <n v="26.01"/>
    <s v="Overweight"/>
  </r>
  <r>
    <n v="38"/>
    <x v="0"/>
    <n v="83.6"/>
    <n v="1.74"/>
    <n v="164"/>
    <n v="151"/>
    <n v="51"/>
    <x v="97"/>
    <x v="380"/>
    <x v="2"/>
    <n v="11.6"/>
    <n v="3.5"/>
    <n v="5"/>
    <x v="0"/>
    <n v="27.61"/>
    <s v="Overweight"/>
  </r>
  <r>
    <n v="53"/>
    <x v="0"/>
    <n v="115.4"/>
    <n v="1.92"/>
    <n v="193"/>
    <n v="161"/>
    <n v="50"/>
    <x v="89"/>
    <x v="381"/>
    <x v="0"/>
    <n v="28.3"/>
    <n v="2.2000000000000002"/>
    <n v="4"/>
    <x v="1"/>
    <n v="31.3"/>
    <s v="Obesity"/>
  </r>
  <r>
    <n v="27"/>
    <x v="0"/>
    <n v="71.2"/>
    <n v="1.97"/>
    <n v="181"/>
    <n v="151"/>
    <n v="73"/>
    <x v="136"/>
    <x v="382"/>
    <x v="1"/>
    <n v="25.9"/>
    <n v="3.6"/>
    <n v="3"/>
    <x v="2"/>
    <n v="18.350000000000001"/>
    <s v="Underweight"/>
  </r>
  <r>
    <n v="54"/>
    <x v="1"/>
    <n v="78.099999999999994"/>
    <n v="1.6"/>
    <n v="198"/>
    <n v="145"/>
    <n v="73"/>
    <x v="94"/>
    <x v="383"/>
    <x v="0"/>
    <n v="32.9"/>
    <n v="2.4"/>
    <n v="4"/>
    <x v="1"/>
    <n v="30.51"/>
    <s v="Obesity"/>
  </r>
  <r>
    <n v="26"/>
    <x v="1"/>
    <n v="54.2"/>
    <n v="1.65"/>
    <n v="172"/>
    <n v="120"/>
    <n v="58"/>
    <x v="53"/>
    <x v="384"/>
    <x v="2"/>
    <n v="34.9"/>
    <n v="1.9"/>
    <n v="4"/>
    <x v="1"/>
    <n v="19.91"/>
    <s v="Normal Weight"/>
  </r>
  <r>
    <n v="41"/>
    <x v="1"/>
    <n v="77.599999999999994"/>
    <n v="1.76"/>
    <n v="162"/>
    <n v="161"/>
    <n v="71"/>
    <x v="7"/>
    <x v="372"/>
    <x v="3"/>
    <n v="31.8"/>
    <n v="2.2000000000000002"/>
    <n v="4"/>
    <x v="1"/>
    <n v="25.05"/>
    <s v="Overweight"/>
  </r>
  <r>
    <n v="52"/>
    <x v="1"/>
    <n v="44.1"/>
    <n v="1.62"/>
    <n v="179"/>
    <n v="121"/>
    <n v="61"/>
    <x v="39"/>
    <x v="302"/>
    <x v="1"/>
    <n v="34.799999999999997"/>
    <n v="1.6"/>
    <n v="3"/>
    <x v="2"/>
    <n v="16.8"/>
    <s v="Underweight"/>
  </r>
  <r>
    <n v="52"/>
    <x v="0"/>
    <n v="85.5"/>
    <n v="1.8"/>
    <n v="190"/>
    <n v="136"/>
    <n v="66"/>
    <x v="119"/>
    <x v="385"/>
    <x v="3"/>
    <n v="10.1"/>
    <n v="3.5"/>
    <n v="5"/>
    <x v="0"/>
    <n v="26.39"/>
    <s v="Overweight"/>
  </r>
  <r>
    <n v="53"/>
    <x v="1"/>
    <n v="47.8"/>
    <n v="1.76"/>
    <n v="164"/>
    <n v="149"/>
    <n v="74"/>
    <x v="107"/>
    <x v="150"/>
    <x v="1"/>
    <n v="28.4"/>
    <n v="1.5"/>
    <n v="4"/>
    <x v="1"/>
    <n v="15.43"/>
    <s v="Underweight"/>
  </r>
  <r>
    <n v="35"/>
    <x v="0"/>
    <n v="102.5"/>
    <n v="1.94"/>
    <n v="183"/>
    <n v="158"/>
    <n v="64"/>
    <x v="38"/>
    <x v="43"/>
    <x v="2"/>
    <n v="21.1"/>
    <n v="2.4"/>
    <n v="2"/>
    <x v="2"/>
    <n v="27.23"/>
    <s v="Overweight"/>
  </r>
  <r>
    <n v="56"/>
    <x v="0"/>
    <n v="118"/>
    <n v="1.9"/>
    <n v="199"/>
    <n v="126"/>
    <n v="68"/>
    <x v="78"/>
    <x v="386"/>
    <x v="1"/>
    <n v="22.6"/>
    <n v="3.2"/>
    <n v="2"/>
    <x v="2"/>
    <n v="32.69"/>
    <s v="Obesity"/>
  </r>
  <r>
    <n v="49"/>
    <x v="0"/>
    <n v="82.3"/>
    <n v="1.84"/>
    <n v="192"/>
    <n v="146"/>
    <n v="71"/>
    <x v="28"/>
    <x v="387"/>
    <x v="3"/>
    <n v="28.4"/>
    <n v="3.4"/>
    <n v="4"/>
    <x v="1"/>
    <n v="24.31"/>
    <s v="Normal Weight"/>
  </r>
  <r>
    <n v="41"/>
    <x v="0"/>
    <n v="81.599999999999994"/>
    <n v="1.87"/>
    <n v="167"/>
    <n v="128"/>
    <n v="59"/>
    <x v="55"/>
    <x v="388"/>
    <x v="1"/>
    <n v="10.199999999999999"/>
    <n v="3.5"/>
    <n v="5"/>
    <x v="0"/>
    <n v="23.33"/>
    <s v="Normal Weight"/>
  </r>
  <r>
    <n v="40"/>
    <x v="0"/>
    <n v="60.2"/>
    <n v="1.88"/>
    <n v="183"/>
    <n v="141"/>
    <n v="61"/>
    <x v="74"/>
    <x v="389"/>
    <x v="2"/>
    <n v="25.2"/>
    <n v="3"/>
    <n v="3"/>
    <x v="1"/>
    <n v="17.03"/>
    <s v="Underweight"/>
  </r>
  <r>
    <n v="49"/>
    <x v="1"/>
    <n v="49.2"/>
    <n v="1.54"/>
    <n v="179"/>
    <n v="153"/>
    <n v="63"/>
    <x v="76"/>
    <x v="295"/>
    <x v="1"/>
    <n v="30.7"/>
    <n v="2.1"/>
    <n v="3"/>
    <x v="1"/>
    <n v="20.75"/>
    <s v="Normal Weight"/>
  </r>
  <r>
    <n v="54"/>
    <x v="1"/>
    <n v="46.6"/>
    <n v="1.5"/>
    <n v="175"/>
    <n v="165"/>
    <n v="58"/>
    <x v="82"/>
    <x v="180"/>
    <x v="3"/>
    <n v="30.6"/>
    <n v="2"/>
    <n v="2"/>
    <x v="2"/>
    <n v="20.71"/>
    <s v="Normal Weight"/>
  </r>
  <r>
    <n v="29"/>
    <x v="1"/>
    <n v="68.7"/>
    <n v="1.72"/>
    <n v="171"/>
    <n v="168"/>
    <n v="62"/>
    <x v="9"/>
    <x v="390"/>
    <x v="2"/>
    <n v="29.8"/>
    <n v="1.7"/>
    <n v="4"/>
    <x v="1"/>
    <n v="23.22"/>
    <s v="Normal Weight"/>
  </r>
  <r>
    <n v="30"/>
    <x v="1"/>
    <n v="60.6"/>
    <n v="1.55"/>
    <n v="172"/>
    <n v="120"/>
    <n v="52"/>
    <x v="1"/>
    <x v="391"/>
    <x v="3"/>
    <n v="32.9"/>
    <n v="1.6"/>
    <n v="3"/>
    <x v="1"/>
    <n v="25.22"/>
    <s v="Overweight"/>
  </r>
  <r>
    <n v="40"/>
    <x v="0"/>
    <n v="52.1"/>
    <n v="1.61"/>
    <n v="198"/>
    <n v="128"/>
    <n v="70"/>
    <x v="137"/>
    <x v="392"/>
    <x v="1"/>
    <n v="21.3"/>
    <n v="3.3"/>
    <n v="2"/>
    <x v="2"/>
    <n v="20.100000000000001"/>
    <s v="Normal Weight"/>
  </r>
  <r>
    <n v="42"/>
    <x v="1"/>
    <n v="46.6"/>
    <n v="1.77"/>
    <n v="184"/>
    <n v="139"/>
    <n v="63"/>
    <x v="138"/>
    <x v="393"/>
    <x v="0"/>
    <n v="28.1"/>
    <n v="2.6"/>
    <n v="2"/>
    <x v="2"/>
    <n v="14.87"/>
    <s v="Underweight"/>
  </r>
  <r>
    <n v="52"/>
    <x v="0"/>
    <n v="65.5"/>
    <n v="1.74"/>
    <n v="191"/>
    <n v="138"/>
    <n v="70"/>
    <x v="26"/>
    <x v="394"/>
    <x v="3"/>
    <n v="26.2"/>
    <n v="2.8"/>
    <n v="4"/>
    <x v="1"/>
    <n v="21.63"/>
    <s v="Normal Weight"/>
  </r>
  <r>
    <n v="58"/>
    <x v="1"/>
    <n v="44.2"/>
    <n v="1.57"/>
    <n v="183"/>
    <n v="155"/>
    <n v="59"/>
    <x v="9"/>
    <x v="368"/>
    <x v="1"/>
    <n v="31.9"/>
    <n v="2.2999999999999998"/>
    <n v="3"/>
    <x v="2"/>
    <n v="17.93"/>
    <s v="Underweight"/>
  </r>
  <r>
    <n v="47"/>
    <x v="0"/>
    <n v="89.1"/>
    <n v="1.84"/>
    <n v="168"/>
    <n v="159"/>
    <n v="65"/>
    <x v="70"/>
    <x v="50"/>
    <x v="0"/>
    <n v="24"/>
    <n v="3.6"/>
    <n v="3"/>
    <x v="1"/>
    <n v="26.32"/>
    <s v="Overweight"/>
  </r>
  <r>
    <n v="34"/>
    <x v="0"/>
    <n v="65.900000000000006"/>
    <n v="1.62"/>
    <n v="199"/>
    <n v="164"/>
    <n v="56"/>
    <x v="42"/>
    <x v="395"/>
    <x v="0"/>
    <n v="28.8"/>
    <n v="2.2000000000000002"/>
    <n v="2"/>
    <x v="2"/>
    <n v="25.11"/>
    <s v="Overweight"/>
  </r>
  <r>
    <n v="37"/>
    <x v="1"/>
    <n v="55.6"/>
    <n v="1.57"/>
    <n v="182"/>
    <n v="123"/>
    <n v="53"/>
    <x v="64"/>
    <x v="212"/>
    <x v="2"/>
    <n v="29.2"/>
    <n v="2.4"/>
    <n v="2"/>
    <x v="2"/>
    <n v="22.56"/>
    <s v="Normal Weight"/>
  </r>
  <r>
    <n v="42"/>
    <x v="0"/>
    <n v="63.7"/>
    <n v="1.98"/>
    <n v="172"/>
    <n v="128"/>
    <n v="69"/>
    <x v="18"/>
    <x v="338"/>
    <x v="0"/>
    <n v="24"/>
    <n v="3"/>
    <n v="2"/>
    <x v="2"/>
    <n v="16.25"/>
    <s v="Underweight"/>
  </r>
  <r>
    <n v="39"/>
    <x v="0"/>
    <n v="86.2"/>
    <n v="1.82"/>
    <n v="191"/>
    <n v="160"/>
    <n v="72"/>
    <x v="139"/>
    <x v="396"/>
    <x v="3"/>
    <n v="10.199999999999999"/>
    <n v="3.5"/>
    <n v="5"/>
    <x v="0"/>
    <n v="26.02"/>
    <s v="Overweight"/>
  </r>
  <r>
    <n v="30"/>
    <x v="1"/>
    <n v="59.2"/>
    <n v="1.63"/>
    <n v="174"/>
    <n v="141"/>
    <n v="74"/>
    <x v="115"/>
    <x v="44"/>
    <x v="3"/>
    <n v="17.8"/>
    <n v="2.7"/>
    <n v="4"/>
    <x v="0"/>
    <n v="22.28"/>
    <s v="Normal Weight"/>
  </r>
  <r>
    <n v="36"/>
    <x v="0"/>
    <n v="85.4"/>
    <n v="1.88"/>
    <n v="195"/>
    <n v="137"/>
    <n v="60"/>
    <x v="77"/>
    <x v="397"/>
    <x v="0"/>
    <n v="13.5"/>
    <n v="3.5"/>
    <n v="5"/>
    <x v="0"/>
    <n v="24.16"/>
    <s v="Normal Weight"/>
  </r>
  <r>
    <n v="53"/>
    <x v="1"/>
    <n v="68.099999999999994"/>
    <n v="1.55"/>
    <n v="164"/>
    <n v="131"/>
    <n v="65"/>
    <x v="39"/>
    <x v="398"/>
    <x v="1"/>
    <n v="26.1"/>
    <n v="2.2000000000000002"/>
    <n v="4"/>
    <x v="1"/>
    <n v="28.35"/>
    <s v="Overweight"/>
  </r>
  <r>
    <n v="29"/>
    <x v="1"/>
    <n v="60"/>
    <n v="1.62"/>
    <n v="181"/>
    <n v="161"/>
    <n v="69"/>
    <x v="124"/>
    <x v="268"/>
    <x v="3"/>
    <n v="28.1"/>
    <n v="1.9"/>
    <n v="2"/>
    <x v="2"/>
    <n v="22.86"/>
    <s v="Normal Weight"/>
  </r>
  <r>
    <n v="58"/>
    <x v="1"/>
    <n v="74.8"/>
    <n v="1.69"/>
    <n v="175"/>
    <n v="162"/>
    <n v="53"/>
    <x v="76"/>
    <x v="399"/>
    <x v="3"/>
    <n v="32.799999999999997"/>
    <n v="2.2999999999999998"/>
    <n v="4"/>
    <x v="1"/>
    <n v="26.19"/>
    <s v="Overweight"/>
  </r>
  <r>
    <n v="36"/>
    <x v="0"/>
    <n v="90.3"/>
    <n v="1.65"/>
    <n v="169"/>
    <n v="158"/>
    <n v="71"/>
    <x v="82"/>
    <x v="400"/>
    <x v="2"/>
    <n v="23.7"/>
    <n v="3.4"/>
    <n v="4"/>
    <x v="1"/>
    <n v="33.17"/>
    <s v="Obesity"/>
  </r>
  <r>
    <n v="29"/>
    <x v="0"/>
    <n v="86.1"/>
    <n v="1.65"/>
    <n v="183"/>
    <n v="128"/>
    <n v="71"/>
    <x v="97"/>
    <x v="203"/>
    <x v="1"/>
    <n v="11.2"/>
    <n v="3.5"/>
    <n v="4"/>
    <x v="0"/>
    <n v="31.63"/>
    <s v="Obesity"/>
  </r>
  <r>
    <n v="26"/>
    <x v="0"/>
    <n v="73.7"/>
    <n v="1.66"/>
    <n v="177"/>
    <n v="125"/>
    <n v="72"/>
    <x v="105"/>
    <x v="115"/>
    <x v="0"/>
    <n v="26.7"/>
    <n v="2.2000000000000002"/>
    <n v="2"/>
    <x v="2"/>
    <n v="26.75"/>
    <s v="Overweight"/>
  </r>
  <r>
    <n v="24"/>
    <x v="1"/>
    <n v="67.7"/>
    <n v="1.56"/>
    <n v="177"/>
    <n v="138"/>
    <n v="66"/>
    <x v="24"/>
    <x v="197"/>
    <x v="1"/>
    <n v="27"/>
    <n v="2.1"/>
    <n v="3"/>
    <x v="1"/>
    <n v="27.82"/>
    <s v="Overweight"/>
  </r>
  <r>
    <n v="45"/>
    <x v="0"/>
    <n v="78.3"/>
    <n v="1.96"/>
    <n v="166"/>
    <n v="167"/>
    <n v="62"/>
    <x v="28"/>
    <x v="284"/>
    <x v="2"/>
    <n v="29"/>
    <n v="2.2000000000000002"/>
    <n v="3"/>
    <x v="2"/>
    <n v="20.38"/>
    <s v="Normal Weight"/>
  </r>
  <r>
    <n v="31"/>
    <x v="1"/>
    <n v="48.2"/>
    <n v="1.65"/>
    <n v="163"/>
    <n v="166"/>
    <n v="60"/>
    <x v="94"/>
    <x v="147"/>
    <x v="2"/>
    <n v="26.1"/>
    <n v="2.5"/>
    <n v="2"/>
    <x v="2"/>
    <n v="17.7"/>
    <s v="Underweight"/>
  </r>
  <r>
    <n v="48"/>
    <x v="1"/>
    <n v="56.8"/>
    <n v="1.51"/>
    <n v="185"/>
    <n v="126"/>
    <n v="52"/>
    <x v="18"/>
    <x v="72"/>
    <x v="1"/>
    <n v="32.1"/>
    <n v="2.1"/>
    <n v="4"/>
    <x v="1"/>
    <n v="24.91"/>
    <s v="Normal Weight"/>
  </r>
  <r>
    <n v="36"/>
    <x v="0"/>
    <n v="112.4"/>
    <n v="1.63"/>
    <n v="164"/>
    <n v="135"/>
    <n v="58"/>
    <x v="73"/>
    <x v="401"/>
    <x v="2"/>
    <n v="25"/>
    <n v="3.4"/>
    <n v="4"/>
    <x v="1"/>
    <n v="42.3"/>
    <s v="Obesity"/>
  </r>
  <r>
    <n v="33"/>
    <x v="1"/>
    <n v="59"/>
    <n v="1.67"/>
    <n v="175"/>
    <n v="124"/>
    <n v="55"/>
    <x v="111"/>
    <x v="402"/>
    <x v="2"/>
    <n v="33.700000000000003"/>
    <n v="1.9"/>
    <n v="3"/>
    <x v="2"/>
    <n v="21.16"/>
    <s v="Normal Weight"/>
  </r>
  <r>
    <n v="22"/>
    <x v="0"/>
    <n v="98.4"/>
    <n v="1.88"/>
    <n v="194"/>
    <n v="135"/>
    <n v="71"/>
    <x v="106"/>
    <x v="403"/>
    <x v="2"/>
    <n v="21.3"/>
    <n v="2.2000000000000002"/>
    <n v="2"/>
    <x v="2"/>
    <n v="27.84"/>
    <s v="Overweight"/>
  </r>
  <r>
    <n v="52"/>
    <x v="0"/>
    <n v="66.5"/>
    <n v="1.6"/>
    <n v="185"/>
    <n v="120"/>
    <n v="70"/>
    <x v="33"/>
    <x v="188"/>
    <x v="1"/>
    <n v="26.8"/>
    <n v="2.1"/>
    <n v="4"/>
    <x v="1"/>
    <n v="25.98"/>
    <s v="Overweight"/>
  </r>
  <r>
    <n v="29"/>
    <x v="0"/>
    <n v="106.5"/>
    <n v="1.81"/>
    <n v="177"/>
    <n v="156"/>
    <n v="60"/>
    <x v="28"/>
    <x v="404"/>
    <x v="2"/>
    <n v="25.7"/>
    <n v="2.5"/>
    <n v="4"/>
    <x v="1"/>
    <n v="32.51"/>
    <s v="Obesity"/>
  </r>
  <r>
    <n v="42"/>
    <x v="0"/>
    <n v="88.4"/>
    <n v="1.93"/>
    <n v="188"/>
    <n v="158"/>
    <n v="65"/>
    <x v="140"/>
    <x v="405"/>
    <x v="0"/>
    <n v="12.4"/>
    <n v="3.5"/>
    <n v="4"/>
    <x v="0"/>
    <n v="23.73"/>
    <s v="Normal Weight"/>
  </r>
  <r>
    <n v="38"/>
    <x v="0"/>
    <n v="88.4"/>
    <n v="1.79"/>
    <n v="182"/>
    <n v="138"/>
    <n v="68"/>
    <x v="67"/>
    <x v="270"/>
    <x v="0"/>
    <n v="12.5"/>
    <n v="3.5"/>
    <n v="5"/>
    <x v="0"/>
    <n v="27.59"/>
    <s v="Overweight"/>
  </r>
  <r>
    <n v="53"/>
    <x v="1"/>
    <n v="53.3"/>
    <n v="1.74"/>
    <n v="173"/>
    <n v="156"/>
    <n v="54"/>
    <x v="18"/>
    <x v="42"/>
    <x v="3"/>
    <n v="32.200000000000003"/>
    <n v="1.8"/>
    <n v="3"/>
    <x v="1"/>
    <n v="17.600000000000001"/>
    <s v="Underweight"/>
  </r>
  <r>
    <n v="40"/>
    <x v="1"/>
    <n v="58.1"/>
    <n v="1.56"/>
    <n v="174"/>
    <n v="136"/>
    <n v="63"/>
    <x v="138"/>
    <x v="406"/>
    <x v="0"/>
    <n v="34.4"/>
    <n v="2.2000000000000002"/>
    <n v="2"/>
    <x v="2"/>
    <n v="23.87"/>
    <s v="Normal Weight"/>
  </r>
  <r>
    <n v="33"/>
    <x v="1"/>
    <n v="74.2"/>
    <n v="1.76"/>
    <n v="192"/>
    <n v="145"/>
    <n v="66"/>
    <x v="11"/>
    <x v="407"/>
    <x v="3"/>
    <n v="25.9"/>
    <n v="1.5"/>
    <n v="4"/>
    <x v="1"/>
    <n v="23.95"/>
    <s v="Normal Weight"/>
  </r>
  <r>
    <n v="56"/>
    <x v="0"/>
    <n v="84.6"/>
    <n v="1.63"/>
    <n v="184"/>
    <n v="141"/>
    <n v="52"/>
    <x v="69"/>
    <x v="408"/>
    <x v="1"/>
    <n v="20.2"/>
    <n v="2.9"/>
    <n v="4"/>
    <x v="1"/>
    <n v="31.84"/>
    <s v="Obesity"/>
  </r>
  <r>
    <n v="59"/>
    <x v="0"/>
    <n v="78"/>
    <n v="1.92"/>
    <n v="180"/>
    <n v="127"/>
    <n v="53"/>
    <x v="129"/>
    <x v="409"/>
    <x v="2"/>
    <n v="28.1"/>
    <n v="2.7"/>
    <n v="3"/>
    <x v="2"/>
    <n v="21.16"/>
    <s v="Normal Weight"/>
  </r>
  <r>
    <n v="56"/>
    <x v="0"/>
    <n v="89"/>
    <n v="1.68"/>
    <n v="176"/>
    <n v="152"/>
    <n v="65"/>
    <x v="127"/>
    <x v="410"/>
    <x v="0"/>
    <n v="10.5"/>
    <n v="3.5"/>
    <n v="5"/>
    <x v="0"/>
    <n v="31.53"/>
    <s v="Obesity"/>
  </r>
  <r>
    <n v="31"/>
    <x v="1"/>
    <n v="42.7"/>
    <n v="1.76"/>
    <n v="182"/>
    <n v="121"/>
    <n v="65"/>
    <x v="85"/>
    <x v="1"/>
    <x v="3"/>
    <n v="34.9"/>
    <n v="2.2000000000000002"/>
    <n v="3"/>
    <x v="2"/>
    <n v="13.78"/>
    <s v="Underweight"/>
  </r>
  <r>
    <n v="48"/>
    <x v="0"/>
    <n v="83.9"/>
    <n v="1.82"/>
    <n v="176"/>
    <n v="149"/>
    <n v="70"/>
    <x v="125"/>
    <x v="411"/>
    <x v="1"/>
    <n v="13.1"/>
    <n v="3.5"/>
    <n v="5"/>
    <x v="0"/>
    <n v="25.33"/>
    <s v="Overweight"/>
  </r>
  <r>
    <n v="22"/>
    <x v="1"/>
    <n v="78.7"/>
    <n v="1.52"/>
    <n v="173"/>
    <n v="166"/>
    <n v="74"/>
    <x v="35"/>
    <x v="412"/>
    <x v="3"/>
    <n v="31.5"/>
    <n v="2.2999999999999998"/>
    <n v="3"/>
    <x v="1"/>
    <n v="34.06"/>
    <s v="Obesity"/>
  </r>
  <r>
    <n v="52"/>
    <x v="1"/>
    <n v="65.900000000000006"/>
    <n v="1.52"/>
    <n v="188"/>
    <n v="139"/>
    <n v="53"/>
    <x v="7"/>
    <x v="13"/>
    <x v="2"/>
    <n v="27"/>
    <n v="2.2999999999999998"/>
    <n v="4"/>
    <x v="1"/>
    <n v="28.52"/>
    <s v="Overweight"/>
  </r>
  <r>
    <n v="40"/>
    <x v="0"/>
    <n v="76.900000000000006"/>
    <n v="1.92"/>
    <n v="179"/>
    <n v="137"/>
    <n v="68"/>
    <x v="15"/>
    <x v="413"/>
    <x v="0"/>
    <n v="22.4"/>
    <n v="3.7"/>
    <n v="4"/>
    <x v="1"/>
    <n v="20.86"/>
    <s v="Normal Weight"/>
  </r>
  <r>
    <n v="46"/>
    <x v="0"/>
    <n v="84.3"/>
    <n v="2"/>
    <n v="189"/>
    <n v="162"/>
    <n v="66"/>
    <x v="100"/>
    <x v="414"/>
    <x v="1"/>
    <n v="13.3"/>
    <n v="3.5"/>
    <n v="5"/>
    <x v="0"/>
    <n v="21.07"/>
    <s v="Normal Weight"/>
  </r>
  <r>
    <n v="28"/>
    <x v="1"/>
    <n v="62.4"/>
    <n v="1.6"/>
    <n v="178"/>
    <n v="129"/>
    <n v="62"/>
    <x v="94"/>
    <x v="378"/>
    <x v="3"/>
    <n v="34.1"/>
    <n v="1.7"/>
    <n v="3"/>
    <x v="1"/>
    <n v="24.37"/>
    <s v="Normal Weight"/>
  </r>
  <r>
    <n v="35"/>
    <x v="0"/>
    <n v="63.7"/>
    <n v="1.74"/>
    <n v="198"/>
    <n v="143"/>
    <n v="71"/>
    <x v="8"/>
    <x v="288"/>
    <x v="1"/>
    <n v="29.8"/>
    <n v="2.7"/>
    <n v="4"/>
    <x v="1"/>
    <n v="21.04"/>
    <s v="Normal Weight"/>
  </r>
  <r>
    <n v="29"/>
    <x v="1"/>
    <n v="54.9"/>
    <n v="1.52"/>
    <n v="172"/>
    <n v="123"/>
    <n v="72"/>
    <x v="26"/>
    <x v="415"/>
    <x v="3"/>
    <n v="27"/>
    <n v="2"/>
    <n v="3"/>
    <x v="2"/>
    <n v="23.76"/>
    <s v="Normal Weight"/>
  </r>
  <r>
    <n v="26"/>
    <x v="0"/>
    <n v="76.400000000000006"/>
    <n v="1.79"/>
    <n v="177"/>
    <n v="156"/>
    <n v="73"/>
    <x v="21"/>
    <x v="68"/>
    <x v="3"/>
    <n v="21.3"/>
    <n v="2.7"/>
    <n v="3"/>
    <x v="1"/>
    <n v="23.84"/>
    <s v="Normal Weight"/>
  </r>
  <r>
    <n v="27"/>
    <x v="0"/>
    <n v="106.4"/>
    <n v="1.86"/>
    <n v="182"/>
    <n v="123"/>
    <n v="50"/>
    <x v="33"/>
    <x v="390"/>
    <x v="2"/>
    <n v="20.6"/>
    <n v="3.1"/>
    <n v="2"/>
    <x v="2"/>
    <n v="30.76"/>
    <s v="Obesity"/>
  </r>
  <r>
    <n v="34"/>
    <x v="1"/>
    <n v="68.400000000000006"/>
    <n v="1.5"/>
    <n v="192"/>
    <n v="132"/>
    <n v="61"/>
    <x v="18"/>
    <x v="416"/>
    <x v="2"/>
    <n v="33.700000000000003"/>
    <n v="2.1"/>
    <n v="4"/>
    <x v="1"/>
    <n v="30.4"/>
    <s v="Obesity"/>
  </r>
  <r>
    <n v="55"/>
    <x v="0"/>
    <n v="63.5"/>
    <n v="1.86"/>
    <n v="198"/>
    <n v="144"/>
    <n v="53"/>
    <x v="89"/>
    <x v="40"/>
    <x v="3"/>
    <n v="22.9"/>
    <n v="2.9"/>
    <n v="4"/>
    <x v="1"/>
    <n v="18.350000000000001"/>
    <s v="Underweight"/>
  </r>
  <r>
    <n v="24"/>
    <x v="1"/>
    <n v="59.4"/>
    <n v="1.5"/>
    <n v="199"/>
    <n v="132"/>
    <n v="60"/>
    <x v="23"/>
    <x v="417"/>
    <x v="0"/>
    <n v="25"/>
    <n v="2"/>
    <n v="3"/>
    <x v="1"/>
    <n v="26.4"/>
    <s v="Overweight"/>
  </r>
  <r>
    <n v="30"/>
    <x v="0"/>
    <n v="113.4"/>
    <n v="1.91"/>
    <n v="177"/>
    <n v="137"/>
    <n v="54"/>
    <x v="7"/>
    <x v="418"/>
    <x v="1"/>
    <n v="22.2"/>
    <n v="3.7"/>
    <n v="3"/>
    <x v="2"/>
    <n v="31.08"/>
    <s v="Obesity"/>
  </r>
  <r>
    <n v="57"/>
    <x v="1"/>
    <n v="61.9"/>
    <n v="1.52"/>
    <n v="168"/>
    <n v="143"/>
    <n v="51"/>
    <x v="93"/>
    <x v="419"/>
    <x v="1"/>
    <n v="28.4"/>
    <n v="2.6"/>
    <n v="3"/>
    <x v="2"/>
    <n v="26.79"/>
    <s v="Overweight"/>
  </r>
  <r>
    <n v="59"/>
    <x v="1"/>
    <n v="70.7"/>
    <n v="1.68"/>
    <n v="192"/>
    <n v="121"/>
    <n v="66"/>
    <x v="21"/>
    <x v="420"/>
    <x v="2"/>
    <n v="34.9"/>
    <n v="1.9"/>
    <n v="3"/>
    <x v="1"/>
    <n v="25.05"/>
    <s v="Overweight"/>
  </r>
  <r>
    <n v="26"/>
    <x v="0"/>
    <n v="111.5"/>
    <n v="1.9"/>
    <n v="191"/>
    <n v="167"/>
    <n v="57"/>
    <x v="73"/>
    <x v="172"/>
    <x v="0"/>
    <n v="25.2"/>
    <n v="2.2000000000000002"/>
    <n v="2"/>
    <x v="2"/>
    <n v="30.89"/>
    <s v="Obesity"/>
  </r>
  <r>
    <n v="44"/>
    <x v="1"/>
    <n v="72.099999999999994"/>
    <n v="1.66"/>
    <n v="176"/>
    <n v="152"/>
    <n v="55"/>
    <x v="44"/>
    <x v="135"/>
    <x v="3"/>
    <n v="27"/>
    <n v="2.5"/>
    <n v="2"/>
    <x v="2"/>
    <n v="26.16"/>
    <s v="Overweight"/>
  </r>
  <r>
    <n v="19"/>
    <x v="0"/>
    <n v="56.9"/>
    <n v="1.87"/>
    <n v="178"/>
    <n v="138"/>
    <n v="70"/>
    <x v="138"/>
    <x v="375"/>
    <x v="2"/>
    <n v="23.3"/>
    <n v="3.7"/>
    <n v="3"/>
    <x v="2"/>
    <n v="16.27"/>
    <s v="Underweight"/>
  </r>
  <r>
    <n v="22"/>
    <x v="0"/>
    <n v="86.2"/>
    <n v="1.9"/>
    <n v="186"/>
    <n v="128"/>
    <n v="58"/>
    <x v="81"/>
    <x v="421"/>
    <x v="3"/>
    <n v="11.7"/>
    <n v="3.5"/>
    <n v="5"/>
    <x v="0"/>
    <n v="23.88"/>
    <s v="Normal Weight"/>
  </r>
  <r>
    <n v="46"/>
    <x v="0"/>
    <n v="59.4"/>
    <n v="1.68"/>
    <n v="165"/>
    <n v="147"/>
    <n v="62"/>
    <x v="62"/>
    <x v="156"/>
    <x v="3"/>
    <n v="20.2"/>
    <n v="2.5"/>
    <n v="4"/>
    <x v="1"/>
    <n v="21.05"/>
    <s v="Normal Weight"/>
  </r>
  <r>
    <n v="54"/>
    <x v="1"/>
    <n v="75.599999999999994"/>
    <n v="1.72"/>
    <n v="194"/>
    <n v="154"/>
    <n v="60"/>
    <x v="64"/>
    <x v="422"/>
    <x v="2"/>
    <n v="26.4"/>
    <n v="1.9"/>
    <n v="3"/>
    <x v="2"/>
    <n v="25.55"/>
    <s v="Overweight"/>
  </r>
  <r>
    <n v="55"/>
    <x v="1"/>
    <n v="76.3"/>
    <n v="1.73"/>
    <n v="196"/>
    <n v="158"/>
    <n v="65"/>
    <x v="9"/>
    <x v="302"/>
    <x v="0"/>
    <n v="32"/>
    <n v="2.6"/>
    <n v="3"/>
    <x v="2"/>
    <n v="25.49"/>
    <s v="Overweight"/>
  </r>
  <r>
    <n v="36"/>
    <x v="0"/>
    <n v="95.8"/>
    <n v="1.86"/>
    <n v="193"/>
    <n v="129"/>
    <n v="65"/>
    <x v="18"/>
    <x v="423"/>
    <x v="1"/>
    <n v="21.2"/>
    <n v="3.2"/>
    <n v="3"/>
    <x v="2"/>
    <n v="27.69"/>
    <s v="Overweight"/>
  </r>
  <r>
    <n v="25"/>
    <x v="0"/>
    <n v="120.6"/>
    <n v="1.83"/>
    <n v="179"/>
    <n v="120"/>
    <n v="51"/>
    <x v="29"/>
    <x v="177"/>
    <x v="2"/>
    <n v="22.3"/>
    <n v="2.5"/>
    <n v="3"/>
    <x v="1"/>
    <n v="36.01"/>
    <s v="Obesity"/>
  </r>
  <r>
    <n v="18"/>
    <x v="1"/>
    <n v="65.3"/>
    <n v="1.55"/>
    <n v="184"/>
    <n v="161"/>
    <n v="59"/>
    <x v="24"/>
    <x v="424"/>
    <x v="0"/>
    <n v="28.5"/>
    <n v="2.2000000000000002"/>
    <n v="3"/>
    <x v="1"/>
    <n v="27.18"/>
    <s v="Overweight"/>
  </r>
  <r>
    <n v="39"/>
    <x v="0"/>
    <n v="85.3"/>
    <n v="1.89"/>
    <n v="163"/>
    <n v="140"/>
    <n v="61"/>
    <x v="104"/>
    <x v="10"/>
    <x v="3"/>
    <n v="27.6"/>
    <n v="3.6"/>
    <n v="2"/>
    <x v="2"/>
    <n v="23.88"/>
    <s v="Normal Weight"/>
  </r>
  <r>
    <n v="34"/>
    <x v="0"/>
    <n v="68"/>
    <n v="1.68"/>
    <n v="169"/>
    <n v="128"/>
    <n v="57"/>
    <x v="88"/>
    <x v="425"/>
    <x v="2"/>
    <n v="25.8"/>
    <n v="3.4"/>
    <n v="2"/>
    <x v="2"/>
    <n v="24.09"/>
    <s v="Normal Weight"/>
  </r>
  <r>
    <n v="24"/>
    <x v="1"/>
    <n v="52.6"/>
    <n v="1.57"/>
    <n v="169"/>
    <n v="166"/>
    <n v="60"/>
    <x v="28"/>
    <x v="114"/>
    <x v="1"/>
    <n v="31.9"/>
    <n v="2.4"/>
    <n v="2"/>
    <x v="2"/>
    <n v="21.34"/>
    <s v="Normal Weight"/>
  </r>
  <r>
    <n v="42"/>
    <x v="0"/>
    <n v="63.3"/>
    <n v="1.77"/>
    <n v="183"/>
    <n v="134"/>
    <n v="59"/>
    <x v="31"/>
    <x v="253"/>
    <x v="1"/>
    <n v="25.7"/>
    <n v="3.3"/>
    <n v="3"/>
    <x v="1"/>
    <n v="20.2"/>
    <s v="Normal Weight"/>
  </r>
  <r>
    <n v="21"/>
    <x v="1"/>
    <n v="76.3"/>
    <n v="1.65"/>
    <n v="180"/>
    <n v="154"/>
    <n v="62"/>
    <x v="36"/>
    <x v="224"/>
    <x v="3"/>
    <n v="31.8"/>
    <n v="1.7"/>
    <n v="3"/>
    <x v="1"/>
    <n v="28.03"/>
    <s v="Overweight"/>
  </r>
  <r>
    <n v="53"/>
    <x v="0"/>
    <n v="61"/>
    <n v="1.63"/>
    <n v="170"/>
    <n v="124"/>
    <n v="74"/>
    <x v="63"/>
    <x v="426"/>
    <x v="2"/>
    <n v="20"/>
    <n v="3.4"/>
    <n v="3"/>
    <x v="2"/>
    <n v="22.96"/>
    <s v="Normal Weight"/>
  </r>
  <r>
    <n v="23"/>
    <x v="1"/>
    <n v="67.8"/>
    <n v="1.61"/>
    <n v="186"/>
    <n v="160"/>
    <n v="66"/>
    <x v="33"/>
    <x v="38"/>
    <x v="1"/>
    <n v="34.299999999999997"/>
    <n v="1.8"/>
    <n v="2"/>
    <x v="2"/>
    <n v="26.16"/>
    <s v="Overweight"/>
  </r>
  <r>
    <n v="48"/>
    <x v="0"/>
    <n v="114.9"/>
    <n v="1.86"/>
    <n v="175"/>
    <n v="141"/>
    <n v="56"/>
    <x v="89"/>
    <x v="235"/>
    <x v="2"/>
    <n v="21.1"/>
    <n v="3.6"/>
    <n v="3"/>
    <x v="2"/>
    <n v="33.21"/>
    <s v="Obesity"/>
  </r>
  <r>
    <n v="36"/>
    <x v="0"/>
    <n v="88"/>
    <n v="1.71"/>
    <n v="185"/>
    <n v="160"/>
    <n v="73"/>
    <x v="55"/>
    <x v="427"/>
    <x v="1"/>
    <n v="12"/>
    <n v="3.5"/>
    <n v="5"/>
    <x v="0"/>
    <n v="30.09"/>
    <s v="Obesity"/>
  </r>
  <r>
    <n v="56"/>
    <x v="1"/>
    <n v="67.7"/>
    <n v="1.58"/>
    <n v="189"/>
    <n v="142"/>
    <n v="52"/>
    <x v="35"/>
    <x v="292"/>
    <x v="3"/>
    <n v="32.700000000000003"/>
    <n v="1.9"/>
    <n v="2"/>
    <x v="2"/>
    <n v="27.12"/>
    <s v="Overweight"/>
  </r>
  <r>
    <n v="44"/>
    <x v="0"/>
    <n v="124.8"/>
    <n v="1.85"/>
    <n v="175"/>
    <n v="126"/>
    <n v="69"/>
    <x v="14"/>
    <x v="193"/>
    <x v="3"/>
    <n v="24.4"/>
    <n v="3.5"/>
    <n v="4"/>
    <x v="1"/>
    <n v="36.46"/>
    <s v="Obesity"/>
  </r>
  <r>
    <n v="27"/>
    <x v="1"/>
    <n v="53"/>
    <n v="1.58"/>
    <n v="166"/>
    <n v="142"/>
    <n v="62"/>
    <x v="32"/>
    <x v="7"/>
    <x v="2"/>
    <n v="34.5"/>
    <n v="1.8"/>
    <n v="4"/>
    <x v="1"/>
    <n v="21.23"/>
    <s v="Normal Weight"/>
  </r>
  <r>
    <n v="43"/>
    <x v="0"/>
    <n v="61.2"/>
    <n v="1.88"/>
    <n v="175"/>
    <n v="163"/>
    <n v="68"/>
    <x v="8"/>
    <x v="398"/>
    <x v="0"/>
    <n v="24.7"/>
    <n v="2.9"/>
    <n v="3"/>
    <x v="2"/>
    <n v="17.32"/>
    <s v="Underweight"/>
  </r>
  <r>
    <n v="36"/>
    <x v="1"/>
    <n v="48.7"/>
    <n v="1.68"/>
    <n v="194"/>
    <n v="144"/>
    <n v="56"/>
    <x v="40"/>
    <x v="146"/>
    <x v="0"/>
    <n v="33.700000000000003"/>
    <n v="1.6"/>
    <n v="3"/>
    <x v="2"/>
    <n v="17.25"/>
    <s v="Underweight"/>
  </r>
  <r>
    <n v="56"/>
    <x v="1"/>
    <n v="50.6"/>
    <n v="1.7"/>
    <n v="175"/>
    <n v="146"/>
    <n v="58"/>
    <x v="28"/>
    <x v="22"/>
    <x v="3"/>
    <n v="33.1"/>
    <n v="2.2999999999999998"/>
    <n v="2"/>
    <x v="2"/>
    <n v="17.510000000000002"/>
    <s v="Underweight"/>
  </r>
  <r>
    <n v="20"/>
    <x v="1"/>
    <n v="72.599999999999994"/>
    <n v="1.73"/>
    <n v="199"/>
    <n v="160"/>
    <n v="68"/>
    <x v="7"/>
    <x v="47"/>
    <x v="1"/>
    <n v="34.799999999999997"/>
    <n v="2.5"/>
    <n v="3"/>
    <x v="1"/>
    <n v="24.26"/>
    <s v="Normal Weight"/>
  </r>
  <r>
    <n v="30"/>
    <x v="1"/>
    <n v="70.400000000000006"/>
    <n v="1.56"/>
    <n v="171"/>
    <n v="125"/>
    <n v="62"/>
    <x v="8"/>
    <x v="161"/>
    <x v="0"/>
    <n v="34.299999999999997"/>
    <n v="2.4"/>
    <n v="4"/>
    <x v="1"/>
    <n v="28.93"/>
    <s v="Overweight"/>
  </r>
  <r>
    <n v="45"/>
    <x v="0"/>
    <n v="52.5"/>
    <n v="1.88"/>
    <n v="194"/>
    <n v="153"/>
    <n v="71"/>
    <x v="9"/>
    <x v="428"/>
    <x v="3"/>
    <n v="29"/>
    <n v="2.9"/>
    <n v="4"/>
    <x v="1"/>
    <n v="14.85"/>
    <s v="Underweight"/>
  </r>
  <r>
    <n v="37"/>
    <x v="0"/>
    <n v="76.3"/>
    <n v="1.77"/>
    <n v="180"/>
    <n v="128"/>
    <n v="57"/>
    <x v="89"/>
    <x v="418"/>
    <x v="1"/>
    <n v="27.3"/>
    <n v="2.1"/>
    <n v="4"/>
    <x v="1"/>
    <n v="24.35"/>
    <s v="Normal Weight"/>
  </r>
  <r>
    <n v="45"/>
    <x v="1"/>
    <n v="41.2"/>
    <n v="1.58"/>
    <n v="195"/>
    <n v="168"/>
    <n v="71"/>
    <x v="43"/>
    <x v="16"/>
    <x v="1"/>
    <n v="28.7"/>
    <n v="2.6"/>
    <n v="2"/>
    <x v="2"/>
    <n v="16.5"/>
    <s v="Underweight"/>
  </r>
  <r>
    <n v="25"/>
    <x v="1"/>
    <n v="55.3"/>
    <n v="1.76"/>
    <n v="176"/>
    <n v="152"/>
    <n v="67"/>
    <x v="120"/>
    <x v="429"/>
    <x v="0"/>
    <n v="15.5"/>
    <n v="2.7"/>
    <n v="4"/>
    <x v="0"/>
    <n v="17.850000000000001"/>
    <s v="Underweight"/>
  </r>
  <r>
    <n v="58"/>
    <x v="1"/>
    <n v="49.7"/>
    <n v="1.67"/>
    <n v="191"/>
    <n v="125"/>
    <n v="72"/>
    <x v="82"/>
    <x v="430"/>
    <x v="3"/>
    <n v="31.9"/>
    <n v="2.2999999999999998"/>
    <n v="4"/>
    <x v="1"/>
    <n v="17.82"/>
    <s v="Underweight"/>
  </r>
  <r>
    <n v="56"/>
    <x v="0"/>
    <n v="48.3"/>
    <n v="1.87"/>
    <n v="165"/>
    <n v="156"/>
    <n v="51"/>
    <x v="80"/>
    <x v="296"/>
    <x v="1"/>
    <n v="29.8"/>
    <n v="3.3"/>
    <n v="3"/>
    <x v="2"/>
    <n v="13.81"/>
    <s v="Underweight"/>
  </r>
  <r>
    <n v="18"/>
    <x v="0"/>
    <n v="83.2"/>
    <n v="1.96"/>
    <n v="183"/>
    <n v="150"/>
    <n v="67"/>
    <x v="100"/>
    <x v="431"/>
    <x v="1"/>
    <n v="13.6"/>
    <n v="3.5"/>
    <n v="4"/>
    <x v="0"/>
    <n v="21.66"/>
    <s v="Normal Weight"/>
  </r>
  <r>
    <n v="20"/>
    <x v="0"/>
    <n v="120.5"/>
    <n v="1.73"/>
    <n v="186"/>
    <n v="153"/>
    <n v="67"/>
    <x v="69"/>
    <x v="432"/>
    <x v="2"/>
    <n v="29.3"/>
    <n v="3.4"/>
    <n v="3"/>
    <x v="1"/>
    <n v="40.26"/>
    <s v="Obesity"/>
  </r>
  <r>
    <n v="30"/>
    <x v="0"/>
    <n v="121.6"/>
    <n v="2"/>
    <n v="179"/>
    <n v="160"/>
    <n v="60"/>
    <x v="12"/>
    <x v="433"/>
    <x v="2"/>
    <n v="28"/>
    <n v="3.3"/>
    <n v="4"/>
    <x v="1"/>
    <n v="30.4"/>
    <s v="Obesity"/>
  </r>
  <r>
    <n v="45"/>
    <x v="1"/>
    <n v="73"/>
    <n v="1.75"/>
    <n v="184"/>
    <n v="148"/>
    <n v="50"/>
    <x v="36"/>
    <x v="434"/>
    <x v="0"/>
    <n v="26.6"/>
    <n v="2"/>
    <n v="4"/>
    <x v="1"/>
    <n v="23.84"/>
    <s v="Normal Weight"/>
  </r>
  <r>
    <n v="42"/>
    <x v="1"/>
    <n v="57.5"/>
    <n v="1.67"/>
    <n v="161"/>
    <n v="133"/>
    <n v="63"/>
    <x v="141"/>
    <x v="243"/>
    <x v="2"/>
    <n v="16.2"/>
    <n v="2.7"/>
    <n v="5"/>
    <x v="0"/>
    <n v="20.62"/>
    <s v="Normal Weight"/>
  </r>
  <r>
    <n v="50"/>
    <x v="1"/>
    <n v="42.7"/>
    <n v="1.53"/>
    <n v="168"/>
    <n v="155"/>
    <n v="65"/>
    <x v="39"/>
    <x v="435"/>
    <x v="3"/>
    <n v="28.4"/>
    <n v="2.4"/>
    <n v="4"/>
    <x v="1"/>
    <n v="18.239999999999998"/>
    <s v="Underweight"/>
  </r>
  <r>
    <n v="55"/>
    <x v="0"/>
    <n v="129.9"/>
    <n v="1.73"/>
    <n v="187"/>
    <n v="155"/>
    <n v="60"/>
    <x v="117"/>
    <x v="436"/>
    <x v="0"/>
    <n v="21.7"/>
    <n v="3.1"/>
    <n v="3"/>
    <x v="2"/>
    <n v="43.4"/>
    <s v="Obesity"/>
  </r>
  <r>
    <n v="23"/>
    <x v="0"/>
    <n v="108.6"/>
    <n v="1.92"/>
    <n v="197"/>
    <n v="134"/>
    <n v="50"/>
    <x v="50"/>
    <x v="437"/>
    <x v="0"/>
    <n v="25.8"/>
    <n v="3.5"/>
    <n v="2"/>
    <x v="2"/>
    <n v="29.46"/>
    <s v="Overweight"/>
  </r>
  <r>
    <n v="49"/>
    <x v="0"/>
    <n v="88.6"/>
    <n v="2"/>
    <n v="162"/>
    <n v="127"/>
    <n v="56"/>
    <x v="100"/>
    <x v="56"/>
    <x v="2"/>
    <n v="14.9"/>
    <n v="3.5"/>
    <n v="4"/>
    <x v="0"/>
    <n v="22.15"/>
    <s v="Normal Weight"/>
  </r>
  <r>
    <n v="38"/>
    <x v="1"/>
    <n v="49.7"/>
    <n v="1.51"/>
    <n v="179"/>
    <n v="145"/>
    <n v="65"/>
    <x v="23"/>
    <x v="438"/>
    <x v="1"/>
    <n v="32.6"/>
    <n v="2.5"/>
    <n v="3"/>
    <x v="2"/>
    <n v="21.8"/>
    <s v="Normal Weight"/>
  </r>
  <r>
    <n v="33"/>
    <x v="1"/>
    <n v="56.4"/>
    <n v="1.54"/>
    <n v="165"/>
    <n v="155"/>
    <n v="63"/>
    <x v="107"/>
    <x v="286"/>
    <x v="3"/>
    <n v="29.2"/>
    <n v="1.5"/>
    <n v="3"/>
    <x v="2"/>
    <n v="23.78"/>
    <s v="Normal Weight"/>
  </r>
  <r>
    <n v="38"/>
    <x v="0"/>
    <n v="46.9"/>
    <n v="1.74"/>
    <n v="198"/>
    <n v="167"/>
    <n v="64"/>
    <x v="8"/>
    <x v="389"/>
    <x v="3"/>
    <n v="20"/>
    <n v="2.6"/>
    <n v="4"/>
    <x v="1"/>
    <n v="15.49"/>
    <s v="Underweight"/>
  </r>
  <r>
    <n v="28"/>
    <x v="1"/>
    <n v="71.3"/>
    <n v="1.67"/>
    <n v="192"/>
    <n v="140"/>
    <n v="63"/>
    <x v="85"/>
    <x v="273"/>
    <x v="3"/>
    <n v="28.1"/>
    <n v="1.5"/>
    <n v="4"/>
    <x v="1"/>
    <n v="25.57"/>
    <s v="Overweight"/>
  </r>
  <r>
    <n v="54"/>
    <x v="0"/>
    <n v="71.599999999999994"/>
    <n v="1.86"/>
    <n v="160"/>
    <n v="147"/>
    <n v="70"/>
    <x v="36"/>
    <x v="308"/>
    <x v="0"/>
    <n v="25.3"/>
    <n v="2.2000000000000002"/>
    <n v="3"/>
    <x v="1"/>
    <n v="20.7"/>
    <s v="Normal Weight"/>
  </r>
  <r>
    <n v="53"/>
    <x v="0"/>
    <n v="82.3"/>
    <n v="1.61"/>
    <n v="196"/>
    <n v="123"/>
    <n v="60"/>
    <x v="55"/>
    <x v="439"/>
    <x v="3"/>
    <n v="11.6"/>
    <n v="3.5"/>
    <n v="5"/>
    <x v="0"/>
    <n v="31.75"/>
    <s v="Obesity"/>
  </r>
  <r>
    <n v="52"/>
    <x v="1"/>
    <n v="70.599999999999994"/>
    <n v="1.69"/>
    <n v="165"/>
    <n v="135"/>
    <n v="65"/>
    <x v="89"/>
    <x v="440"/>
    <x v="1"/>
    <n v="26.1"/>
    <n v="2.2000000000000002"/>
    <n v="3"/>
    <x v="2"/>
    <n v="24.72"/>
    <s v="Normal Weight"/>
  </r>
  <r>
    <n v="36"/>
    <x v="0"/>
    <n v="109.8"/>
    <n v="1.62"/>
    <n v="193"/>
    <n v="141"/>
    <n v="68"/>
    <x v="38"/>
    <x v="441"/>
    <x v="1"/>
    <n v="24.4"/>
    <n v="3.5"/>
    <n v="3"/>
    <x v="2"/>
    <n v="41.84"/>
    <s v="Obesity"/>
  </r>
  <r>
    <n v="37"/>
    <x v="1"/>
    <n v="73.5"/>
    <n v="1.69"/>
    <n v="174"/>
    <n v="131"/>
    <n v="66"/>
    <x v="63"/>
    <x v="442"/>
    <x v="2"/>
    <n v="27.5"/>
    <n v="1.6"/>
    <n v="2"/>
    <x v="2"/>
    <n v="25.73"/>
    <s v="Overweight"/>
  </r>
  <r>
    <n v="35"/>
    <x v="0"/>
    <n v="85.6"/>
    <n v="1.85"/>
    <n v="185"/>
    <n v="135"/>
    <n v="55"/>
    <x v="56"/>
    <x v="443"/>
    <x v="3"/>
    <n v="14.5"/>
    <n v="3.5"/>
    <n v="5"/>
    <x v="0"/>
    <n v="25.01"/>
    <s v="Overweight"/>
  </r>
  <r>
    <n v="58"/>
    <x v="1"/>
    <n v="74.599999999999994"/>
    <n v="1.68"/>
    <n v="173"/>
    <n v="159"/>
    <n v="60"/>
    <x v="8"/>
    <x v="444"/>
    <x v="0"/>
    <n v="26"/>
    <n v="2"/>
    <n v="4"/>
    <x v="1"/>
    <n v="26.43"/>
    <s v="Overweight"/>
  </r>
  <r>
    <n v="31"/>
    <x v="1"/>
    <n v="63.2"/>
    <n v="1.8"/>
    <n v="166"/>
    <n v="157"/>
    <n v="66"/>
    <x v="3"/>
    <x v="375"/>
    <x v="2"/>
    <n v="25.5"/>
    <n v="2.6"/>
    <n v="2"/>
    <x v="2"/>
    <n v="19.510000000000002"/>
    <s v="Normal Weight"/>
  </r>
  <r>
    <n v="32"/>
    <x v="1"/>
    <n v="62.6"/>
    <n v="1.63"/>
    <n v="190"/>
    <n v="161"/>
    <n v="58"/>
    <x v="41"/>
    <x v="445"/>
    <x v="1"/>
    <n v="15"/>
    <n v="2.7"/>
    <n v="5"/>
    <x v="0"/>
    <n v="23.56"/>
    <s v="Normal Weight"/>
  </r>
  <r>
    <n v="48"/>
    <x v="0"/>
    <n v="87.1"/>
    <n v="1.76"/>
    <n v="183"/>
    <n v="156"/>
    <n v="67"/>
    <x v="51"/>
    <x v="446"/>
    <x v="3"/>
    <n v="11.6"/>
    <n v="3.5"/>
    <n v="5"/>
    <x v="0"/>
    <n v="28.12"/>
    <s v="Overweight"/>
  </r>
  <r>
    <n v="18"/>
    <x v="0"/>
    <n v="82.3"/>
    <n v="1.84"/>
    <n v="190"/>
    <n v="148"/>
    <n v="66"/>
    <x v="52"/>
    <x v="447"/>
    <x v="1"/>
    <n v="13.3"/>
    <n v="3.5"/>
    <n v="5"/>
    <x v="0"/>
    <n v="24.31"/>
    <s v="Normal Weight"/>
  </r>
  <r>
    <n v="20"/>
    <x v="1"/>
    <n v="64.3"/>
    <n v="1.78"/>
    <n v="188"/>
    <n v="137"/>
    <n v="61"/>
    <x v="98"/>
    <x v="334"/>
    <x v="2"/>
    <n v="18.7"/>
    <n v="2.7"/>
    <n v="4"/>
    <x v="0"/>
    <n v="20.29"/>
    <s v="Normal Weight"/>
  </r>
  <r>
    <n v="33"/>
    <x v="1"/>
    <n v="53.7"/>
    <n v="1.66"/>
    <n v="191"/>
    <n v="129"/>
    <n v="72"/>
    <x v="23"/>
    <x v="312"/>
    <x v="1"/>
    <n v="29.5"/>
    <n v="2.5"/>
    <n v="3"/>
    <x v="2"/>
    <n v="19.489999999999998"/>
    <s v="Normal Weight"/>
  </r>
  <r>
    <n v="40"/>
    <x v="0"/>
    <n v="63"/>
    <n v="2"/>
    <n v="176"/>
    <n v="161"/>
    <n v="71"/>
    <x v="24"/>
    <x v="448"/>
    <x v="3"/>
    <n v="26.8"/>
    <n v="2.9"/>
    <n v="4"/>
    <x v="1"/>
    <n v="15.75"/>
    <s v="Underweight"/>
  </r>
  <r>
    <n v="28"/>
    <x v="0"/>
    <n v="128.4"/>
    <n v="1.86"/>
    <n v="173"/>
    <n v="158"/>
    <n v="71"/>
    <x v="107"/>
    <x v="363"/>
    <x v="3"/>
    <n v="23.6"/>
    <n v="3.3"/>
    <n v="4"/>
    <x v="1"/>
    <n v="37.11"/>
    <s v="Obesity"/>
  </r>
  <r>
    <n v="29"/>
    <x v="0"/>
    <n v="88"/>
    <n v="1.89"/>
    <n v="199"/>
    <n v="137"/>
    <n v="54"/>
    <x v="46"/>
    <x v="449"/>
    <x v="2"/>
    <n v="13.3"/>
    <n v="3.5"/>
    <n v="5"/>
    <x v="0"/>
    <n v="24.64"/>
    <s v="Normal Weight"/>
  </r>
  <r>
    <n v="27"/>
    <x v="1"/>
    <n v="63.7"/>
    <n v="1.52"/>
    <n v="195"/>
    <n v="120"/>
    <n v="60"/>
    <x v="17"/>
    <x v="276"/>
    <x v="3"/>
    <n v="25.4"/>
    <n v="2.1"/>
    <n v="4"/>
    <x v="1"/>
    <n v="27.57"/>
    <s v="Overweight"/>
  </r>
  <r>
    <n v="49"/>
    <x v="0"/>
    <n v="83.7"/>
    <n v="1.87"/>
    <n v="183"/>
    <n v="158"/>
    <n v="53"/>
    <x v="28"/>
    <x v="242"/>
    <x v="1"/>
    <n v="23.9"/>
    <n v="2.2999999999999998"/>
    <n v="4"/>
    <x v="1"/>
    <n v="23.94"/>
    <s v="Normal Weight"/>
  </r>
  <r>
    <n v="33"/>
    <x v="0"/>
    <n v="102.6"/>
    <n v="1.75"/>
    <n v="186"/>
    <n v="140"/>
    <n v="53"/>
    <x v="44"/>
    <x v="450"/>
    <x v="1"/>
    <n v="27.9"/>
    <n v="2.2000000000000002"/>
    <n v="3"/>
    <x v="1"/>
    <n v="33.5"/>
    <s v="Obesity"/>
  </r>
  <r>
    <n v="25"/>
    <x v="1"/>
    <n v="77.7"/>
    <n v="1.55"/>
    <n v="184"/>
    <n v="120"/>
    <n v="52"/>
    <x v="72"/>
    <x v="451"/>
    <x v="0"/>
    <n v="33"/>
    <n v="1.7"/>
    <n v="2"/>
    <x v="2"/>
    <n v="32.340000000000003"/>
    <s v="Obesity"/>
  </r>
  <r>
    <n v="55"/>
    <x v="0"/>
    <n v="87.5"/>
    <n v="1.88"/>
    <n v="191"/>
    <n v="134"/>
    <n v="73"/>
    <x v="17"/>
    <x v="452"/>
    <x v="0"/>
    <n v="27.2"/>
    <n v="2.6"/>
    <n v="4"/>
    <x v="1"/>
    <n v="24.76"/>
    <s v="Normal Weight"/>
  </r>
  <r>
    <n v="29"/>
    <x v="0"/>
    <n v="87"/>
    <n v="1.86"/>
    <n v="177"/>
    <n v="123"/>
    <n v="72"/>
    <x v="30"/>
    <x v="453"/>
    <x v="0"/>
    <n v="11"/>
    <n v="3.5"/>
    <n v="4"/>
    <x v="0"/>
    <n v="25.15"/>
    <s v="Overweight"/>
  </r>
  <r>
    <n v="41"/>
    <x v="0"/>
    <n v="82.8"/>
    <n v="1.66"/>
    <n v="177"/>
    <n v="139"/>
    <n v="74"/>
    <x v="47"/>
    <x v="454"/>
    <x v="1"/>
    <n v="11.2"/>
    <n v="3.5"/>
    <n v="5"/>
    <x v="0"/>
    <n v="30.05"/>
    <s v="Obesity"/>
  </r>
  <r>
    <n v="45"/>
    <x v="1"/>
    <n v="65.400000000000006"/>
    <n v="1.68"/>
    <n v="196"/>
    <n v="129"/>
    <n v="66"/>
    <x v="134"/>
    <x v="91"/>
    <x v="1"/>
    <n v="35"/>
    <n v="2.6"/>
    <n v="3"/>
    <x v="2"/>
    <n v="23.17"/>
    <s v="Normal Weight"/>
  </r>
  <r>
    <n v="25"/>
    <x v="1"/>
    <n v="47.2"/>
    <n v="1.71"/>
    <n v="185"/>
    <n v="142"/>
    <n v="56"/>
    <x v="50"/>
    <x v="227"/>
    <x v="2"/>
    <n v="26"/>
    <n v="2.5"/>
    <n v="2"/>
    <x v="2"/>
    <n v="16.14"/>
    <s v="Underweight"/>
  </r>
  <r>
    <n v="45"/>
    <x v="1"/>
    <n v="58.2"/>
    <n v="1.7"/>
    <n v="168"/>
    <n v="160"/>
    <n v="53"/>
    <x v="142"/>
    <x v="268"/>
    <x v="0"/>
    <n v="26.8"/>
    <n v="2"/>
    <n v="3"/>
    <x v="2"/>
    <n v="20.14"/>
    <s v="Normal Weight"/>
  </r>
  <r>
    <n v="53"/>
    <x v="1"/>
    <n v="73.5"/>
    <n v="1.55"/>
    <n v="194"/>
    <n v="153"/>
    <n v="72"/>
    <x v="21"/>
    <x v="312"/>
    <x v="1"/>
    <n v="26.3"/>
    <n v="2.1"/>
    <n v="4"/>
    <x v="1"/>
    <n v="30.59"/>
    <s v="Obesity"/>
  </r>
  <r>
    <n v="43"/>
    <x v="1"/>
    <n v="55.2"/>
    <n v="1.73"/>
    <n v="167"/>
    <n v="165"/>
    <n v="62"/>
    <x v="41"/>
    <x v="455"/>
    <x v="2"/>
    <n v="16.600000000000001"/>
    <n v="2.7"/>
    <n v="5"/>
    <x v="0"/>
    <n v="18.440000000000001"/>
    <s v="Underweight"/>
  </r>
  <r>
    <n v="25"/>
    <x v="1"/>
    <n v="64.400000000000006"/>
    <n v="1.71"/>
    <n v="179"/>
    <n v="167"/>
    <n v="61"/>
    <x v="20"/>
    <x v="456"/>
    <x v="1"/>
    <n v="27.1"/>
    <n v="1.8"/>
    <n v="3"/>
    <x v="2"/>
    <n v="22.02"/>
    <s v="Normal Weight"/>
  </r>
  <r>
    <n v="45"/>
    <x v="1"/>
    <n v="73.5"/>
    <n v="1.74"/>
    <n v="181"/>
    <n v="152"/>
    <n v="50"/>
    <x v="13"/>
    <x v="457"/>
    <x v="2"/>
    <n v="30"/>
    <n v="2.2999999999999998"/>
    <n v="4"/>
    <x v="1"/>
    <n v="24.28"/>
    <s v="Normal Weight"/>
  </r>
  <r>
    <n v="45"/>
    <x v="0"/>
    <n v="89.6"/>
    <n v="1.81"/>
    <n v="178"/>
    <n v="153"/>
    <n v="70"/>
    <x v="119"/>
    <x v="458"/>
    <x v="0"/>
    <n v="12.4"/>
    <n v="3.5"/>
    <n v="5"/>
    <x v="0"/>
    <n v="27.35"/>
    <s v="Overweight"/>
  </r>
  <r>
    <n v="54"/>
    <x v="0"/>
    <n v="86.5"/>
    <n v="1.76"/>
    <n v="189"/>
    <n v="158"/>
    <n v="68"/>
    <x v="26"/>
    <x v="459"/>
    <x v="0"/>
    <n v="29"/>
    <n v="3.4"/>
    <n v="3"/>
    <x v="1"/>
    <n v="27.92"/>
    <s v="Overweight"/>
  </r>
  <r>
    <n v="58"/>
    <x v="1"/>
    <n v="46.1"/>
    <n v="1.67"/>
    <n v="187"/>
    <n v="129"/>
    <n v="70"/>
    <x v="76"/>
    <x v="71"/>
    <x v="0"/>
    <n v="25.3"/>
    <n v="1.8"/>
    <n v="4"/>
    <x v="1"/>
    <n v="16.53"/>
    <s v="Underweight"/>
  </r>
  <r>
    <n v="53"/>
    <x v="0"/>
    <n v="68.5"/>
    <n v="1.97"/>
    <n v="194"/>
    <n v="139"/>
    <n v="69"/>
    <x v="1"/>
    <x v="342"/>
    <x v="1"/>
    <n v="23.2"/>
    <n v="2.1"/>
    <n v="3"/>
    <x v="1"/>
    <n v="17.649999999999999"/>
    <s v="Underweight"/>
  </r>
  <r>
    <n v="44"/>
    <x v="0"/>
    <n v="94.6"/>
    <n v="1.84"/>
    <n v="170"/>
    <n v="120"/>
    <n v="67"/>
    <x v="32"/>
    <x v="460"/>
    <x v="1"/>
    <n v="26"/>
    <n v="3.1"/>
    <n v="4"/>
    <x v="1"/>
    <n v="27.94"/>
    <s v="Overweight"/>
  </r>
  <r>
    <n v="34"/>
    <x v="1"/>
    <n v="54.2"/>
    <n v="1.52"/>
    <n v="190"/>
    <n v="132"/>
    <n v="60"/>
    <x v="15"/>
    <x v="461"/>
    <x v="2"/>
    <n v="31"/>
    <n v="2.2000000000000002"/>
    <n v="3"/>
    <x v="2"/>
    <n v="23.46"/>
    <s v="Normal Weight"/>
  </r>
  <r>
    <n v="26"/>
    <x v="0"/>
    <n v="47.7"/>
    <n v="1.77"/>
    <n v="198"/>
    <n v="120"/>
    <n v="69"/>
    <x v="11"/>
    <x v="434"/>
    <x v="3"/>
    <n v="24.8"/>
    <n v="2.7"/>
    <n v="3"/>
    <x v="1"/>
    <n v="15.23"/>
    <s v="Underweight"/>
  </r>
  <r>
    <n v="50"/>
    <x v="0"/>
    <n v="52.2"/>
    <n v="1.84"/>
    <n v="195"/>
    <n v="124"/>
    <n v="52"/>
    <x v="82"/>
    <x v="462"/>
    <x v="3"/>
    <n v="28.2"/>
    <n v="3.1"/>
    <n v="4"/>
    <x v="1"/>
    <n v="15.42"/>
    <s v="Underweight"/>
  </r>
  <r>
    <n v="37"/>
    <x v="0"/>
    <n v="88.8"/>
    <n v="1.95"/>
    <n v="189"/>
    <n v="135"/>
    <n v="66"/>
    <x v="92"/>
    <x v="463"/>
    <x v="0"/>
    <n v="10.3"/>
    <n v="3.5"/>
    <n v="5"/>
    <x v="0"/>
    <n v="23.35"/>
    <s v="Normal Weight"/>
  </r>
  <r>
    <n v="30"/>
    <x v="0"/>
    <n v="101"/>
    <n v="1.68"/>
    <n v="182"/>
    <n v="134"/>
    <n v="61"/>
    <x v="85"/>
    <x v="464"/>
    <x v="3"/>
    <n v="28.2"/>
    <n v="2.9"/>
    <n v="4"/>
    <x v="1"/>
    <n v="35.79"/>
    <s v="Obesity"/>
  </r>
  <r>
    <n v="45"/>
    <x v="0"/>
    <n v="118.4"/>
    <n v="1.95"/>
    <n v="178"/>
    <n v="168"/>
    <n v="59"/>
    <x v="107"/>
    <x v="295"/>
    <x v="0"/>
    <n v="24.9"/>
    <n v="2.4"/>
    <n v="3"/>
    <x v="1"/>
    <n v="31.14"/>
    <s v="Obesity"/>
  </r>
  <r>
    <n v="46"/>
    <x v="1"/>
    <n v="47.9"/>
    <n v="1.72"/>
    <n v="171"/>
    <n v="147"/>
    <n v="57"/>
    <x v="39"/>
    <x v="399"/>
    <x v="2"/>
    <n v="26.3"/>
    <n v="2"/>
    <n v="3"/>
    <x v="2"/>
    <n v="16.190000000000001"/>
    <s v="Underweight"/>
  </r>
  <r>
    <n v="30"/>
    <x v="1"/>
    <n v="51.5"/>
    <n v="1.74"/>
    <n v="174"/>
    <n v="150"/>
    <n v="64"/>
    <x v="9"/>
    <x v="288"/>
    <x v="3"/>
    <n v="33.9"/>
    <n v="2"/>
    <n v="3"/>
    <x v="1"/>
    <n v="17.010000000000002"/>
    <s v="Underweight"/>
  </r>
  <r>
    <n v="52"/>
    <x v="1"/>
    <n v="79.900000000000006"/>
    <n v="1.51"/>
    <n v="190"/>
    <n v="142"/>
    <n v="54"/>
    <x v="143"/>
    <x v="465"/>
    <x v="3"/>
    <n v="31.5"/>
    <n v="2.6"/>
    <n v="3"/>
    <x v="2"/>
    <n v="35.04"/>
    <s v="Obesity"/>
  </r>
  <r>
    <n v="23"/>
    <x v="0"/>
    <n v="121.3"/>
    <n v="1.85"/>
    <n v="196"/>
    <n v="167"/>
    <n v="53"/>
    <x v="129"/>
    <x v="466"/>
    <x v="0"/>
    <n v="21.6"/>
    <n v="3.6"/>
    <n v="2"/>
    <x v="2"/>
    <n v="35.44"/>
    <s v="Obesity"/>
  </r>
  <r>
    <n v="35"/>
    <x v="1"/>
    <n v="78.900000000000006"/>
    <n v="1.64"/>
    <n v="196"/>
    <n v="164"/>
    <n v="70"/>
    <x v="76"/>
    <x v="467"/>
    <x v="2"/>
    <n v="25.3"/>
    <n v="2.6"/>
    <n v="4"/>
    <x v="1"/>
    <n v="29.34"/>
    <s v="Overweight"/>
  </r>
  <r>
    <n v="22"/>
    <x v="0"/>
    <n v="88.5"/>
    <n v="1.62"/>
    <n v="174"/>
    <n v="162"/>
    <n v="69"/>
    <x v="122"/>
    <x v="468"/>
    <x v="3"/>
    <n v="10.7"/>
    <n v="3.5"/>
    <n v="5"/>
    <x v="0"/>
    <n v="33.72"/>
    <s v="Obesity"/>
  </r>
  <r>
    <n v="42"/>
    <x v="0"/>
    <n v="73.5"/>
    <n v="1.63"/>
    <n v="188"/>
    <n v="136"/>
    <n v="68"/>
    <x v="106"/>
    <x v="469"/>
    <x v="3"/>
    <n v="26.1"/>
    <n v="3.2"/>
    <n v="3"/>
    <x v="2"/>
    <n v="27.66"/>
    <s v="Overweight"/>
  </r>
  <r>
    <n v="19"/>
    <x v="0"/>
    <n v="127.9"/>
    <n v="1.93"/>
    <n v="185"/>
    <n v="168"/>
    <n v="70"/>
    <x v="7"/>
    <x v="463"/>
    <x v="3"/>
    <n v="21.8"/>
    <n v="3"/>
    <n v="4"/>
    <x v="1"/>
    <n v="34.340000000000003"/>
    <s v="Obesity"/>
  </r>
  <r>
    <n v="27"/>
    <x v="0"/>
    <n v="88.5"/>
    <n v="1.98"/>
    <n v="161"/>
    <n v="153"/>
    <n v="53"/>
    <x v="60"/>
    <x v="470"/>
    <x v="2"/>
    <n v="11.1"/>
    <n v="3.5"/>
    <n v="4"/>
    <x v="0"/>
    <n v="22.57"/>
    <s v="Normal Weight"/>
  </r>
  <r>
    <n v="47"/>
    <x v="1"/>
    <n v="43.4"/>
    <n v="1.62"/>
    <n v="179"/>
    <n v="132"/>
    <n v="64"/>
    <x v="66"/>
    <x v="471"/>
    <x v="2"/>
    <n v="25.3"/>
    <n v="2.2999999999999998"/>
    <n v="3"/>
    <x v="2"/>
    <n v="16.54"/>
    <s v="Underweight"/>
  </r>
  <r>
    <n v="22"/>
    <x v="1"/>
    <n v="42.8"/>
    <n v="1.56"/>
    <n v="174"/>
    <n v="133"/>
    <n v="66"/>
    <x v="43"/>
    <x v="472"/>
    <x v="3"/>
    <n v="32.200000000000003"/>
    <n v="2.6"/>
    <n v="3"/>
    <x v="1"/>
    <n v="17.59"/>
    <s v="Underweight"/>
  </r>
  <r>
    <n v="50"/>
    <x v="0"/>
    <n v="64.5"/>
    <n v="1.79"/>
    <n v="163"/>
    <n v="130"/>
    <n v="61"/>
    <x v="21"/>
    <x v="368"/>
    <x v="0"/>
    <n v="28.1"/>
    <n v="2.4"/>
    <n v="4"/>
    <x v="1"/>
    <n v="20.13"/>
    <s v="Normal Weight"/>
  </r>
  <r>
    <n v="18"/>
    <x v="1"/>
    <n v="50.7"/>
    <n v="1.53"/>
    <n v="181"/>
    <n v="147"/>
    <n v="52"/>
    <x v="28"/>
    <x v="360"/>
    <x v="0"/>
    <n v="33"/>
    <n v="2.1"/>
    <n v="3"/>
    <x v="1"/>
    <n v="21.66"/>
    <s v="Normal Weight"/>
  </r>
  <r>
    <n v="35"/>
    <x v="0"/>
    <n v="59.2"/>
    <n v="1.66"/>
    <n v="197"/>
    <n v="161"/>
    <n v="59"/>
    <x v="1"/>
    <x v="151"/>
    <x v="3"/>
    <n v="21.3"/>
    <n v="3.2"/>
    <n v="3"/>
    <x v="2"/>
    <n v="21.48"/>
    <s v="Normal Weight"/>
  </r>
  <r>
    <n v="49"/>
    <x v="1"/>
    <n v="78.900000000000006"/>
    <n v="1.73"/>
    <n v="182"/>
    <n v="151"/>
    <n v="64"/>
    <x v="82"/>
    <x v="247"/>
    <x v="2"/>
    <n v="34"/>
    <n v="2.2999999999999998"/>
    <n v="2"/>
    <x v="2"/>
    <n v="26.36"/>
    <s v="Overweight"/>
  </r>
  <r>
    <n v="28"/>
    <x v="1"/>
    <n v="78.7"/>
    <n v="1.63"/>
    <n v="185"/>
    <n v="154"/>
    <n v="59"/>
    <x v="94"/>
    <x v="462"/>
    <x v="3"/>
    <n v="31.7"/>
    <n v="1.8"/>
    <n v="3"/>
    <x v="1"/>
    <n v="29.62"/>
    <s v="Overweight"/>
  </r>
  <r>
    <n v="38"/>
    <x v="0"/>
    <n v="68.7"/>
    <n v="1.92"/>
    <n v="170"/>
    <n v="150"/>
    <n v="73"/>
    <x v="34"/>
    <x v="473"/>
    <x v="2"/>
    <n v="29"/>
    <n v="3"/>
    <n v="4"/>
    <x v="1"/>
    <n v="18.64"/>
    <s v="Normal Weight"/>
  </r>
  <r>
    <n v="43"/>
    <x v="1"/>
    <n v="53.1"/>
    <n v="1.59"/>
    <n v="187"/>
    <n v="136"/>
    <n v="72"/>
    <x v="10"/>
    <x v="26"/>
    <x v="3"/>
    <n v="29.5"/>
    <n v="2.5"/>
    <n v="2"/>
    <x v="2"/>
    <n v="21"/>
    <s v="Normal Weight"/>
  </r>
  <r>
    <n v="42"/>
    <x v="0"/>
    <n v="64.8"/>
    <n v="1.65"/>
    <n v="161"/>
    <n v="166"/>
    <n v="67"/>
    <x v="94"/>
    <x v="416"/>
    <x v="2"/>
    <n v="24.4"/>
    <n v="2.8"/>
    <n v="3"/>
    <x v="1"/>
    <n v="23.8"/>
    <s v="Normal Weight"/>
  </r>
  <r>
    <n v="39"/>
    <x v="1"/>
    <n v="50.3"/>
    <n v="1.61"/>
    <n v="167"/>
    <n v="128"/>
    <n v="50"/>
    <x v="21"/>
    <x v="474"/>
    <x v="1"/>
    <n v="32.799999999999997"/>
    <n v="2.5"/>
    <n v="2"/>
    <x v="2"/>
    <n v="19.41"/>
    <s v="Normal Weight"/>
  </r>
  <r>
    <n v="44"/>
    <x v="0"/>
    <n v="102.3"/>
    <n v="1.63"/>
    <n v="188"/>
    <n v="129"/>
    <n v="52"/>
    <x v="33"/>
    <x v="475"/>
    <x v="0"/>
    <n v="20.9"/>
    <n v="2.6"/>
    <n v="4"/>
    <x v="1"/>
    <n v="38.5"/>
    <s v="Obesity"/>
  </r>
  <r>
    <n v="30"/>
    <x v="0"/>
    <n v="62.9"/>
    <n v="1.92"/>
    <n v="170"/>
    <n v="127"/>
    <n v="70"/>
    <x v="15"/>
    <x v="452"/>
    <x v="1"/>
    <n v="25.2"/>
    <n v="3.6"/>
    <n v="2"/>
    <x v="2"/>
    <n v="17.059999999999999"/>
    <s v="Underweight"/>
  </r>
  <r>
    <n v="50"/>
    <x v="1"/>
    <n v="56.5"/>
    <n v="1.6"/>
    <n v="196"/>
    <n v="140"/>
    <n v="61"/>
    <x v="122"/>
    <x v="476"/>
    <x v="0"/>
    <n v="19.2"/>
    <n v="2.7"/>
    <n v="5"/>
    <x v="0"/>
    <n v="22.07"/>
    <s v="Normal Weight"/>
  </r>
  <r>
    <n v="51"/>
    <x v="1"/>
    <n v="74.599999999999994"/>
    <n v="1.55"/>
    <n v="177"/>
    <n v="132"/>
    <n v="50"/>
    <x v="144"/>
    <x v="335"/>
    <x v="2"/>
    <n v="33.299999999999997"/>
    <n v="2.1"/>
    <n v="2"/>
    <x v="2"/>
    <n v="31.05"/>
    <s v="Obesity"/>
  </r>
  <r>
    <n v="58"/>
    <x v="0"/>
    <n v="52"/>
    <n v="1.79"/>
    <n v="173"/>
    <n v="169"/>
    <n v="52"/>
    <x v="20"/>
    <x v="172"/>
    <x v="1"/>
    <n v="29.6"/>
    <n v="3"/>
    <n v="3"/>
    <x v="2"/>
    <n v="16.23"/>
    <s v="Underweight"/>
  </r>
  <r>
    <n v="52"/>
    <x v="1"/>
    <n v="52.1"/>
    <n v="1.67"/>
    <n v="169"/>
    <n v="124"/>
    <n v="52"/>
    <x v="19"/>
    <x v="127"/>
    <x v="0"/>
    <n v="32"/>
    <n v="1.5"/>
    <n v="2"/>
    <x v="2"/>
    <n v="18.68"/>
    <s v="Normal Weight"/>
  </r>
  <r>
    <n v="18"/>
    <x v="1"/>
    <n v="72.2"/>
    <n v="1.54"/>
    <n v="194"/>
    <n v="125"/>
    <n v="54"/>
    <x v="64"/>
    <x v="477"/>
    <x v="3"/>
    <n v="27.1"/>
    <n v="1.7"/>
    <n v="2"/>
    <x v="2"/>
    <n v="30.44"/>
    <s v="Obesity"/>
  </r>
  <r>
    <n v="38"/>
    <x v="0"/>
    <n v="85.8"/>
    <n v="1.8"/>
    <n v="168"/>
    <n v="149"/>
    <n v="68"/>
    <x v="71"/>
    <x v="478"/>
    <x v="2"/>
    <n v="10.1"/>
    <n v="3.5"/>
    <n v="4"/>
    <x v="0"/>
    <n v="26.48"/>
    <s v="Overweight"/>
  </r>
  <r>
    <n v="23"/>
    <x v="0"/>
    <n v="81.400000000000006"/>
    <n v="1.85"/>
    <n v="194"/>
    <n v="150"/>
    <n v="74"/>
    <x v="102"/>
    <x v="479"/>
    <x v="2"/>
    <n v="12.4"/>
    <n v="3.5"/>
    <n v="4"/>
    <x v="0"/>
    <n v="23.78"/>
    <s v="Normal Weight"/>
  </r>
  <r>
    <n v="45"/>
    <x v="1"/>
    <n v="50.9"/>
    <n v="1.65"/>
    <n v="170"/>
    <n v="136"/>
    <n v="50"/>
    <x v="35"/>
    <x v="195"/>
    <x v="3"/>
    <n v="30.1"/>
    <n v="2.2999999999999998"/>
    <n v="2"/>
    <x v="2"/>
    <n v="18.7"/>
    <s v="Normal Weight"/>
  </r>
  <r>
    <n v="34"/>
    <x v="0"/>
    <n v="52"/>
    <n v="1.78"/>
    <n v="171"/>
    <n v="130"/>
    <n v="53"/>
    <x v="82"/>
    <x v="259"/>
    <x v="3"/>
    <n v="22.4"/>
    <n v="2.7"/>
    <n v="4"/>
    <x v="1"/>
    <n v="16.41"/>
    <s v="Underweight"/>
  </r>
  <r>
    <n v="22"/>
    <x v="0"/>
    <n v="71"/>
    <n v="1.93"/>
    <n v="162"/>
    <n v="139"/>
    <n v="53"/>
    <x v="24"/>
    <x v="287"/>
    <x v="0"/>
    <n v="21.2"/>
    <n v="2.9"/>
    <n v="4"/>
    <x v="1"/>
    <n v="19.059999999999999"/>
    <s v="Normal Weight"/>
  </r>
  <r>
    <n v="48"/>
    <x v="0"/>
    <n v="80.599999999999994"/>
    <n v="1.77"/>
    <n v="198"/>
    <n v="167"/>
    <n v="66"/>
    <x v="132"/>
    <x v="480"/>
    <x v="2"/>
    <n v="12.9"/>
    <n v="3.5"/>
    <n v="4"/>
    <x v="0"/>
    <n v="25.73"/>
    <s v="Overweight"/>
  </r>
  <r>
    <n v="22"/>
    <x v="1"/>
    <n v="58.3"/>
    <n v="1.72"/>
    <n v="173"/>
    <n v="128"/>
    <n v="63"/>
    <x v="75"/>
    <x v="481"/>
    <x v="0"/>
    <n v="32.6"/>
    <n v="1.6"/>
    <n v="3"/>
    <x v="1"/>
    <n v="19.71"/>
    <s v="Normal Weight"/>
  </r>
  <r>
    <n v="55"/>
    <x v="1"/>
    <n v="63"/>
    <n v="1.7"/>
    <n v="187"/>
    <n v="121"/>
    <n v="67"/>
    <x v="31"/>
    <x v="8"/>
    <x v="3"/>
    <n v="34.9"/>
    <n v="2.5"/>
    <n v="3"/>
    <x v="2"/>
    <n v="21.8"/>
    <s v="Normal Weight"/>
  </r>
  <r>
    <n v="20"/>
    <x v="0"/>
    <n v="111"/>
    <n v="1.94"/>
    <n v="170"/>
    <n v="156"/>
    <n v="50"/>
    <x v="73"/>
    <x v="21"/>
    <x v="2"/>
    <n v="27.6"/>
    <n v="3.3"/>
    <n v="4"/>
    <x v="1"/>
    <n v="29.49"/>
    <s v="Overweight"/>
  </r>
  <r>
    <n v="40"/>
    <x v="1"/>
    <n v="52.6"/>
    <n v="1.66"/>
    <n v="198"/>
    <n v="120"/>
    <n v="71"/>
    <x v="7"/>
    <x v="482"/>
    <x v="3"/>
    <n v="32.9"/>
    <n v="1.7"/>
    <n v="3"/>
    <x v="1"/>
    <n v="19.09"/>
    <s v="Normal Weight"/>
  </r>
  <r>
    <n v="54"/>
    <x v="0"/>
    <n v="116.4"/>
    <n v="2"/>
    <n v="184"/>
    <n v="123"/>
    <n v="65"/>
    <x v="15"/>
    <x v="210"/>
    <x v="0"/>
    <n v="26.2"/>
    <n v="3.1"/>
    <n v="3"/>
    <x v="2"/>
    <n v="29.1"/>
    <s v="Overweight"/>
  </r>
  <r>
    <n v="54"/>
    <x v="1"/>
    <n v="75.599999999999994"/>
    <n v="1.61"/>
    <n v="180"/>
    <n v="155"/>
    <n v="52"/>
    <x v="39"/>
    <x v="435"/>
    <x v="0"/>
    <n v="34.9"/>
    <n v="2.5"/>
    <n v="4"/>
    <x v="1"/>
    <n v="29.17"/>
    <s v="Overweight"/>
  </r>
  <r>
    <n v="27"/>
    <x v="0"/>
    <n v="61.6"/>
    <n v="1.8"/>
    <n v="169"/>
    <n v="144"/>
    <n v="72"/>
    <x v="26"/>
    <x v="483"/>
    <x v="0"/>
    <n v="26.4"/>
    <n v="3.1"/>
    <n v="2"/>
    <x v="2"/>
    <n v="19.010000000000002"/>
    <s v="Normal Weight"/>
  </r>
  <r>
    <n v="27"/>
    <x v="0"/>
    <n v="108"/>
    <n v="1.8"/>
    <n v="174"/>
    <n v="122"/>
    <n v="70"/>
    <x v="82"/>
    <x v="174"/>
    <x v="2"/>
    <n v="28.6"/>
    <n v="2.5"/>
    <n v="4"/>
    <x v="1"/>
    <n v="33.33"/>
    <s v="Obesity"/>
  </r>
  <r>
    <n v="36"/>
    <x v="1"/>
    <n v="59.3"/>
    <n v="1.75"/>
    <n v="178"/>
    <n v="128"/>
    <n v="58"/>
    <x v="103"/>
    <x v="339"/>
    <x v="3"/>
    <n v="34.5"/>
    <n v="2.2999999999999998"/>
    <n v="3"/>
    <x v="2"/>
    <n v="19.36"/>
    <s v="Normal Weight"/>
  </r>
  <r>
    <n v="34"/>
    <x v="0"/>
    <n v="75.7"/>
    <n v="1.94"/>
    <n v="181"/>
    <n v="141"/>
    <n v="72"/>
    <x v="13"/>
    <x v="484"/>
    <x v="3"/>
    <n v="29.3"/>
    <n v="2.4"/>
    <n v="4"/>
    <x v="1"/>
    <n v="20.11"/>
    <s v="Normal Weight"/>
  </r>
  <r>
    <n v="38"/>
    <x v="1"/>
    <n v="56.3"/>
    <n v="1.6"/>
    <n v="180"/>
    <n v="142"/>
    <n v="53"/>
    <x v="101"/>
    <x v="485"/>
    <x v="0"/>
    <n v="28.8"/>
    <n v="1.9"/>
    <n v="4"/>
    <x v="1"/>
    <n v="21.99"/>
    <s v="Normal Weight"/>
  </r>
  <r>
    <n v="31"/>
    <x v="1"/>
    <n v="58.2"/>
    <n v="1.73"/>
    <n v="191"/>
    <n v="131"/>
    <n v="70"/>
    <x v="21"/>
    <x v="486"/>
    <x v="0"/>
    <n v="25.8"/>
    <n v="1.8"/>
    <n v="3"/>
    <x v="1"/>
    <n v="19.45"/>
    <s v="Normal Weight"/>
  </r>
  <r>
    <n v="26"/>
    <x v="0"/>
    <n v="55.7"/>
    <n v="1.68"/>
    <n v="182"/>
    <n v="129"/>
    <n v="54"/>
    <x v="15"/>
    <x v="171"/>
    <x v="0"/>
    <n v="21.7"/>
    <n v="2.9"/>
    <n v="3"/>
    <x v="2"/>
    <n v="19.73"/>
    <s v="Normal Weight"/>
  </r>
  <r>
    <n v="18"/>
    <x v="0"/>
    <n v="125.9"/>
    <n v="1.67"/>
    <n v="172"/>
    <n v="153"/>
    <n v="60"/>
    <x v="85"/>
    <x v="487"/>
    <x v="0"/>
    <n v="20.6"/>
    <n v="2.2000000000000002"/>
    <n v="3"/>
    <x v="1"/>
    <n v="45.14"/>
    <s v="Obesity"/>
  </r>
  <r>
    <n v="30"/>
    <x v="1"/>
    <n v="62.7"/>
    <n v="1.67"/>
    <n v="164"/>
    <n v="162"/>
    <n v="70"/>
    <x v="73"/>
    <x v="440"/>
    <x v="1"/>
    <n v="26.1"/>
    <n v="2.6"/>
    <n v="4"/>
    <x v="1"/>
    <n v="22.48"/>
    <s v="Normal Weight"/>
  </r>
  <r>
    <n v="21"/>
    <x v="0"/>
    <n v="86.6"/>
    <n v="1.86"/>
    <n v="163"/>
    <n v="129"/>
    <n v="58"/>
    <x v="18"/>
    <x v="423"/>
    <x v="1"/>
    <n v="21.8"/>
    <n v="2.6"/>
    <n v="3"/>
    <x v="1"/>
    <n v="25.03"/>
    <s v="Overweight"/>
  </r>
  <r>
    <n v="18"/>
    <x v="0"/>
    <n v="64.5"/>
    <n v="1.82"/>
    <n v="187"/>
    <n v="149"/>
    <n v="52"/>
    <x v="37"/>
    <x v="435"/>
    <x v="1"/>
    <n v="23.4"/>
    <n v="2.4"/>
    <n v="3"/>
    <x v="1"/>
    <n v="19.47"/>
    <s v="Normal Weight"/>
  </r>
  <r>
    <n v="57"/>
    <x v="0"/>
    <n v="76.599999999999994"/>
    <n v="1.86"/>
    <n v="173"/>
    <n v="141"/>
    <n v="55"/>
    <x v="36"/>
    <x v="188"/>
    <x v="0"/>
    <n v="25.4"/>
    <n v="2.8"/>
    <n v="4"/>
    <x v="1"/>
    <n v="22.14"/>
    <s v="Normal Weight"/>
  </r>
  <r>
    <n v="49"/>
    <x v="0"/>
    <n v="81.400000000000006"/>
    <n v="1.83"/>
    <n v="167"/>
    <n v="125"/>
    <n v="73"/>
    <x v="77"/>
    <x v="488"/>
    <x v="0"/>
    <n v="13.6"/>
    <n v="3.5"/>
    <n v="5"/>
    <x v="0"/>
    <n v="24.31"/>
    <s v="Normal Weight"/>
  </r>
  <r>
    <n v="51"/>
    <x v="0"/>
    <n v="60.7"/>
    <n v="1.71"/>
    <n v="168"/>
    <n v="169"/>
    <n v="60"/>
    <x v="36"/>
    <x v="489"/>
    <x v="3"/>
    <n v="22.1"/>
    <n v="2.5"/>
    <n v="2"/>
    <x v="2"/>
    <n v="20.76"/>
    <s v="Normal Weight"/>
  </r>
  <r>
    <n v="45"/>
    <x v="1"/>
    <n v="57.2"/>
    <n v="1.55"/>
    <n v="194"/>
    <n v="121"/>
    <n v="58"/>
    <x v="41"/>
    <x v="490"/>
    <x v="2"/>
    <n v="18.399999999999999"/>
    <n v="2.7"/>
    <n v="5"/>
    <x v="0"/>
    <n v="23.81"/>
    <s v="Normal Weight"/>
  </r>
  <r>
    <n v="48"/>
    <x v="1"/>
    <n v="73"/>
    <n v="1.59"/>
    <n v="196"/>
    <n v="149"/>
    <n v="64"/>
    <x v="17"/>
    <x v="491"/>
    <x v="3"/>
    <n v="32"/>
    <n v="2.1"/>
    <n v="3"/>
    <x v="1"/>
    <n v="28.88"/>
    <s v="Overweight"/>
  </r>
  <r>
    <n v="25"/>
    <x v="0"/>
    <n v="123.8"/>
    <n v="1.99"/>
    <n v="180"/>
    <n v="121"/>
    <n v="72"/>
    <x v="15"/>
    <x v="492"/>
    <x v="1"/>
    <n v="25.6"/>
    <n v="2.6"/>
    <n v="3"/>
    <x v="2"/>
    <n v="31.26"/>
    <s v="Obesity"/>
  </r>
  <r>
    <n v="56"/>
    <x v="0"/>
    <n v="93.6"/>
    <n v="1.66"/>
    <n v="177"/>
    <n v="151"/>
    <n v="52"/>
    <x v="18"/>
    <x v="304"/>
    <x v="3"/>
    <n v="29"/>
    <n v="2.2000000000000002"/>
    <n v="2"/>
    <x v="2"/>
    <n v="33.97"/>
    <s v="Obesity"/>
  </r>
  <r>
    <n v="43"/>
    <x v="0"/>
    <n v="76.8"/>
    <n v="1.92"/>
    <n v="192"/>
    <n v="161"/>
    <n v="50"/>
    <x v="12"/>
    <x v="176"/>
    <x v="0"/>
    <n v="21.1"/>
    <n v="2.5"/>
    <n v="3"/>
    <x v="2"/>
    <n v="20.83"/>
    <s v="Normal Weight"/>
  </r>
  <r>
    <n v="51"/>
    <x v="1"/>
    <n v="54.7"/>
    <n v="1.53"/>
    <n v="167"/>
    <n v="135"/>
    <n v="69"/>
    <x v="2"/>
    <x v="493"/>
    <x v="1"/>
    <n v="26.8"/>
    <n v="2"/>
    <n v="4"/>
    <x v="1"/>
    <n v="23.37"/>
    <s v="Normal Weight"/>
  </r>
  <r>
    <n v="20"/>
    <x v="0"/>
    <n v="92.3"/>
    <n v="1.94"/>
    <n v="176"/>
    <n v="131"/>
    <n v="71"/>
    <x v="36"/>
    <x v="494"/>
    <x v="1"/>
    <n v="24.3"/>
    <n v="2.1"/>
    <n v="3"/>
    <x v="1"/>
    <n v="24.52"/>
    <s v="Normal Weight"/>
  </r>
  <r>
    <n v="29"/>
    <x v="1"/>
    <n v="71.8"/>
    <n v="1.55"/>
    <n v="190"/>
    <n v="120"/>
    <n v="68"/>
    <x v="37"/>
    <x v="322"/>
    <x v="2"/>
    <n v="26.3"/>
    <n v="2.4"/>
    <n v="4"/>
    <x v="1"/>
    <n v="29.89"/>
    <s v="Overweight"/>
  </r>
  <r>
    <n v="18"/>
    <x v="1"/>
    <n v="66.900000000000006"/>
    <n v="1.57"/>
    <n v="193"/>
    <n v="127"/>
    <n v="63"/>
    <x v="53"/>
    <x v="495"/>
    <x v="2"/>
    <n v="30.7"/>
    <n v="2.2000000000000002"/>
    <n v="3"/>
    <x v="1"/>
    <n v="27.14"/>
    <s v="Overweight"/>
  </r>
  <r>
    <n v="22"/>
    <x v="1"/>
    <n v="48.7"/>
    <n v="1.76"/>
    <n v="165"/>
    <n v="167"/>
    <n v="66"/>
    <x v="18"/>
    <x v="385"/>
    <x v="1"/>
    <n v="29"/>
    <n v="2.2000000000000002"/>
    <n v="4"/>
    <x v="1"/>
    <n v="15.72"/>
    <s v="Underweight"/>
  </r>
  <r>
    <n v="47"/>
    <x v="0"/>
    <n v="66.2"/>
    <n v="1.71"/>
    <n v="181"/>
    <n v="169"/>
    <n v="71"/>
    <x v="24"/>
    <x v="496"/>
    <x v="1"/>
    <n v="22.8"/>
    <n v="2.9"/>
    <n v="3"/>
    <x v="2"/>
    <n v="22.64"/>
    <s v="Normal Weight"/>
  </r>
  <r>
    <n v="47"/>
    <x v="1"/>
    <n v="40"/>
    <n v="1.76"/>
    <n v="173"/>
    <n v="132"/>
    <n v="63"/>
    <x v="110"/>
    <x v="497"/>
    <x v="3"/>
    <n v="26.7"/>
    <n v="2.2000000000000002"/>
    <n v="3"/>
    <x v="2"/>
    <n v="12.91"/>
    <s v="Underweight"/>
  </r>
  <r>
    <n v="34"/>
    <x v="0"/>
    <n v="112.4"/>
    <n v="1.85"/>
    <n v="162"/>
    <n v="134"/>
    <n v="66"/>
    <x v="13"/>
    <x v="123"/>
    <x v="1"/>
    <n v="23.4"/>
    <n v="3.6"/>
    <n v="4"/>
    <x v="1"/>
    <n v="32.840000000000003"/>
    <s v="Obesity"/>
  </r>
  <r>
    <n v="40"/>
    <x v="1"/>
    <n v="70"/>
    <n v="1.55"/>
    <n v="171"/>
    <n v="163"/>
    <n v="74"/>
    <x v="124"/>
    <x v="498"/>
    <x v="0"/>
    <n v="31.1"/>
    <n v="1.5"/>
    <n v="3"/>
    <x v="2"/>
    <n v="29.14"/>
    <s v="Overweight"/>
  </r>
  <r>
    <n v="32"/>
    <x v="0"/>
    <n v="84"/>
    <n v="1.74"/>
    <n v="195"/>
    <n v="127"/>
    <n v="63"/>
    <x v="35"/>
    <x v="12"/>
    <x v="3"/>
    <n v="25.8"/>
    <n v="2.1"/>
    <n v="3"/>
    <x v="2"/>
    <n v="27.74"/>
    <s v="Overweight"/>
  </r>
  <r>
    <n v="54"/>
    <x v="1"/>
    <n v="43.8"/>
    <n v="1.65"/>
    <n v="171"/>
    <n v="129"/>
    <n v="61"/>
    <x v="28"/>
    <x v="474"/>
    <x v="0"/>
    <n v="26.6"/>
    <n v="1.7"/>
    <n v="4"/>
    <x v="1"/>
    <n v="16.09"/>
    <s v="Underweight"/>
  </r>
  <r>
    <n v="38"/>
    <x v="0"/>
    <n v="123.3"/>
    <n v="1.62"/>
    <n v="161"/>
    <n v="165"/>
    <n v="65"/>
    <x v="33"/>
    <x v="499"/>
    <x v="0"/>
    <n v="21.2"/>
    <n v="2.2999999999999998"/>
    <n v="4"/>
    <x v="1"/>
    <n v="46.98"/>
    <s v="Obesity"/>
  </r>
  <r>
    <n v="31"/>
    <x v="1"/>
    <n v="57.9"/>
    <n v="1.56"/>
    <n v="161"/>
    <n v="124"/>
    <n v="50"/>
    <x v="60"/>
    <x v="5"/>
    <x v="0"/>
    <n v="15.1"/>
    <n v="2.7"/>
    <n v="5"/>
    <x v="0"/>
    <n v="23.79"/>
    <s v="Normal Weight"/>
  </r>
  <r>
    <n v="19"/>
    <x v="0"/>
    <n v="82.4"/>
    <n v="1.96"/>
    <n v="174"/>
    <n v="169"/>
    <n v="62"/>
    <x v="125"/>
    <x v="500"/>
    <x v="1"/>
    <n v="10.1"/>
    <n v="3.5"/>
    <n v="5"/>
    <x v="0"/>
    <n v="21.45"/>
    <s v="Normal Weight"/>
  </r>
  <r>
    <n v="28"/>
    <x v="0"/>
    <n v="84.8"/>
    <n v="1.79"/>
    <n v="182"/>
    <n v="138"/>
    <n v="55"/>
    <x v="14"/>
    <x v="180"/>
    <x v="2"/>
    <n v="28.8"/>
    <n v="2.2999999999999998"/>
    <n v="4"/>
    <x v="1"/>
    <n v="26.47"/>
    <s v="Overweight"/>
  </r>
  <r>
    <n v="56"/>
    <x v="0"/>
    <n v="109.6"/>
    <n v="1.66"/>
    <n v="188"/>
    <n v="166"/>
    <n v="66"/>
    <x v="28"/>
    <x v="231"/>
    <x v="2"/>
    <n v="20.5"/>
    <n v="3.1"/>
    <n v="3"/>
    <x v="1"/>
    <n v="39.770000000000003"/>
    <s v="Obesity"/>
  </r>
  <r>
    <n v="55"/>
    <x v="0"/>
    <n v="86.4"/>
    <n v="1.77"/>
    <n v="176"/>
    <n v="157"/>
    <n v="61"/>
    <x v="75"/>
    <x v="72"/>
    <x v="0"/>
    <n v="27.3"/>
    <n v="2.8"/>
    <n v="3"/>
    <x v="1"/>
    <n v="27.58"/>
    <s v="Overweight"/>
  </r>
  <r>
    <n v="51"/>
    <x v="1"/>
    <n v="63.9"/>
    <n v="1.8"/>
    <n v="191"/>
    <n v="130"/>
    <n v="72"/>
    <x v="53"/>
    <x v="328"/>
    <x v="1"/>
    <n v="33.700000000000003"/>
    <n v="2.7"/>
    <n v="4"/>
    <x v="1"/>
    <n v="19.72"/>
    <s v="Normal Weight"/>
  </r>
  <r>
    <n v="55"/>
    <x v="1"/>
    <n v="70.8"/>
    <n v="1.62"/>
    <n v="166"/>
    <n v="162"/>
    <n v="68"/>
    <x v="63"/>
    <x v="501"/>
    <x v="3"/>
    <n v="26"/>
    <n v="1.8"/>
    <n v="3"/>
    <x v="2"/>
    <n v="26.98"/>
    <s v="Overweight"/>
  </r>
  <r>
    <n v="51"/>
    <x v="0"/>
    <n v="115.3"/>
    <n v="1.67"/>
    <n v="189"/>
    <n v="139"/>
    <n v="55"/>
    <x v="82"/>
    <x v="502"/>
    <x v="0"/>
    <n v="24.4"/>
    <n v="2.5"/>
    <n v="3"/>
    <x v="1"/>
    <n v="41.34"/>
    <s v="Obesity"/>
  </r>
  <r>
    <n v="35"/>
    <x v="1"/>
    <n v="55.3"/>
    <n v="1.56"/>
    <n v="187"/>
    <n v="139"/>
    <n v="56"/>
    <x v="98"/>
    <x v="496"/>
    <x v="3"/>
    <n v="19.8"/>
    <n v="2.7"/>
    <n v="5"/>
    <x v="0"/>
    <n v="22.72"/>
    <s v="Normal Weight"/>
  </r>
  <r>
    <n v="47"/>
    <x v="0"/>
    <n v="73.900000000000006"/>
    <n v="1.8"/>
    <n v="173"/>
    <n v="140"/>
    <n v="50"/>
    <x v="89"/>
    <x v="503"/>
    <x v="3"/>
    <n v="28.3"/>
    <n v="3.7"/>
    <n v="3"/>
    <x v="2"/>
    <n v="22.81"/>
    <s v="Normal Weight"/>
  </r>
  <r>
    <n v="32"/>
    <x v="0"/>
    <n v="97.3"/>
    <n v="1.96"/>
    <n v="189"/>
    <n v="137"/>
    <n v="50"/>
    <x v="89"/>
    <x v="180"/>
    <x v="1"/>
    <n v="24.9"/>
    <n v="3.4"/>
    <n v="3"/>
    <x v="1"/>
    <n v="25.33"/>
    <s v="Overweight"/>
  </r>
  <r>
    <n v="44"/>
    <x v="1"/>
    <n v="60.4"/>
    <n v="1.65"/>
    <n v="176"/>
    <n v="169"/>
    <n v="54"/>
    <x v="7"/>
    <x v="504"/>
    <x v="1"/>
    <n v="32.6"/>
    <n v="2.1"/>
    <n v="4"/>
    <x v="1"/>
    <n v="22.19"/>
    <s v="Normal Weight"/>
  </r>
  <r>
    <n v="51"/>
    <x v="0"/>
    <n v="49.3"/>
    <n v="1.61"/>
    <n v="191"/>
    <n v="129"/>
    <n v="55"/>
    <x v="89"/>
    <x v="338"/>
    <x v="2"/>
    <n v="28.3"/>
    <n v="2.9"/>
    <n v="2"/>
    <x v="2"/>
    <n v="19.02"/>
    <s v="Normal Weight"/>
  </r>
  <r>
    <n v="55"/>
    <x v="0"/>
    <n v="91.8"/>
    <n v="1.78"/>
    <n v="165"/>
    <n v="153"/>
    <n v="65"/>
    <x v="70"/>
    <x v="433"/>
    <x v="2"/>
    <n v="23.5"/>
    <n v="3.4"/>
    <n v="3"/>
    <x v="2"/>
    <n v="28.97"/>
    <s v="Overweight"/>
  </r>
  <r>
    <n v="50"/>
    <x v="1"/>
    <n v="73.599999999999994"/>
    <n v="1.55"/>
    <n v="183"/>
    <n v="145"/>
    <n v="74"/>
    <x v="50"/>
    <x v="505"/>
    <x v="1"/>
    <n v="33.9"/>
    <n v="2.1"/>
    <n v="3"/>
    <x v="2"/>
    <n v="30.63"/>
    <s v="Obesity"/>
  </r>
  <r>
    <n v="41"/>
    <x v="0"/>
    <n v="47.1"/>
    <n v="1.78"/>
    <n v="165"/>
    <n v="149"/>
    <n v="65"/>
    <x v="32"/>
    <x v="181"/>
    <x v="0"/>
    <n v="24.7"/>
    <n v="2.4"/>
    <n v="3"/>
    <x v="2"/>
    <n v="14.87"/>
    <s v="Underweight"/>
  </r>
  <r>
    <n v="32"/>
    <x v="0"/>
    <n v="65.2"/>
    <n v="1.62"/>
    <n v="186"/>
    <n v="128"/>
    <n v="63"/>
    <x v="61"/>
    <x v="119"/>
    <x v="2"/>
    <n v="25.3"/>
    <n v="3.4"/>
    <n v="2"/>
    <x v="2"/>
    <n v="24.84"/>
    <s v="Normal Weight"/>
  </r>
  <r>
    <n v="47"/>
    <x v="0"/>
    <n v="87.2"/>
    <n v="1.64"/>
    <n v="177"/>
    <n v="165"/>
    <n v="50"/>
    <x v="145"/>
    <x v="506"/>
    <x v="3"/>
    <n v="15"/>
    <n v="3.5"/>
    <n v="4"/>
    <x v="0"/>
    <n v="32.42"/>
    <s v="Obesity"/>
  </r>
  <r>
    <n v="59"/>
    <x v="0"/>
    <n v="96.7"/>
    <n v="1.71"/>
    <n v="183"/>
    <n v="150"/>
    <n v="62"/>
    <x v="121"/>
    <x v="507"/>
    <x v="0"/>
    <n v="28.4"/>
    <n v="2.9"/>
    <n v="3"/>
    <x v="2"/>
    <n v="33.07"/>
    <s v="Obesity"/>
  </r>
  <r>
    <n v="34"/>
    <x v="1"/>
    <n v="46.9"/>
    <n v="1.61"/>
    <n v="196"/>
    <n v="161"/>
    <n v="69"/>
    <x v="73"/>
    <x v="494"/>
    <x v="3"/>
    <n v="28.6"/>
    <n v="1.7"/>
    <n v="3"/>
    <x v="1"/>
    <n v="18.09"/>
    <s v="Underweight"/>
  </r>
  <r>
    <n v="22"/>
    <x v="1"/>
    <n v="72.099999999999994"/>
    <n v="1.62"/>
    <n v="183"/>
    <n v="123"/>
    <n v="59"/>
    <x v="82"/>
    <x v="508"/>
    <x v="1"/>
    <n v="25.1"/>
    <n v="2.1"/>
    <n v="3"/>
    <x v="2"/>
    <n v="27.47"/>
    <s v="Overweight"/>
  </r>
  <r>
    <n v="46"/>
    <x v="1"/>
    <n v="62.5"/>
    <n v="1.54"/>
    <n v="197"/>
    <n v="125"/>
    <n v="73"/>
    <x v="79"/>
    <x v="438"/>
    <x v="3"/>
    <n v="18.100000000000001"/>
    <n v="2.7"/>
    <n v="4"/>
    <x v="0"/>
    <n v="26.35"/>
    <s v="Overweight"/>
  </r>
  <r>
    <n v="21"/>
    <x v="0"/>
    <n v="110.7"/>
    <n v="1.69"/>
    <n v="193"/>
    <n v="133"/>
    <n v="59"/>
    <x v="107"/>
    <x v="509"/>
    <x v="0"/>
    <n v="27"/>
    <n v="2.7"/>
    <n v="3"/>
    <x v="2"/>
    <n v="38.76"/>
    <s v="Obesity"/>
  </r>
  <r>
    <n v="27"/>
    <x v="0"/>
    <n v="102.6"/>
    <n v="1.83"/>
    <n v="199"/>
    <n v="123"/>
    <n v="58"/>
    <x v="39"/>
    <x v="489"/>
    <x v="1"/>
    <n v="26.5"/>
    <n v="3.5"/>
    <n v="3"/>
    <x v="1"/>
    <n v="30.64"/>
    <s v="Obesity"/>
  </r>
  <r>
    <n v="34"/>
    <x v="1"/>
    <n v="64.3"/>
    <n v="1.62"/>
    <n v="174"/>
    <n v="145"/>
    <n v="62"/>
    <x v="141"/>
    <x v="510"/>
    <x v="0"/>
    <n v="19.8"/>
    <n v="2.7"/>
    <n v="5"/>
    <x v="0"/>
    <n v="24.5"/>
    <s v="Normal Weight"/>
  </r>
  <r>
    <n v="27"/>
    <x v="0"/>
    <n v="80.7"/>
    <n v="1.61"/>
    <n v="170"/>
    <n v="166"/>
    <n v="52"/>
    <x v="46"/>
    <x v="511"/>
    <x v="3"/>
    <n v="14.3"/>
    <n v="3.5"/>
    <n v="4"/>
    <x v="0"/>
    <n v="31.13"/>
    <s v="Obesity"/>
  </r>
  <r>
    <n v="34"/>
    <x v="0"/>
    <n v="115.3"/>
    <n v="1.81"/>
    <n v="181"/>
    <n v="167"/>
    <n v="67"/>
    <x v="89"/>
    <x v="167"/>
    <x v="0"/>
    <n v="24.5"/>
    <n v="2.2000000000000002"/>
    <n v="2"/>
    <x v="2"/>
    <n v="35.19"/>
    <s v="Obesity"/>
  </r>
  <r>
    <n v="37"/>
    <x v="0"/>
    <n v="87.8"/>
    <n v="1.69"/>
    <n v="183"/>
    <n v="158"/>
    <n v="69"/>
    <x v="51"/>
    <x v="512"/>
    <x v="1"/>
    <n v="10.3"/>
    <n v="3.5"/>
    <n v="5"/>
    <x v="0"/>
    <n v="30.74"/>
    <s v="Obesity"/>
  </r>
  <r>
    <n v="41"/>
    <x v="0"/>
    <n v="74.3"/>
    <n v="1.61"/>
    <n v="160"/>
    <n v="136"/>
    <n v="51"/>
    <x v="107"/>
    <x v="276"/>
    <x v="3"/>
    <n v="24.8"/>
    <n v="3.5"/>
    <n v="4"/>
    <x v="1"/>
    <n v="28.66"/>
    <s v="Overweight"/>
  </r>
  <r>
    <n v="22"/>
    <x v="1"/>
    <n v="78.5"/>
    <n v="1.7"/>
    <n v="177"/>
    <n v="138"/>
    <n v="66"/>
    <x v="89"/>
    <x v="247"/>
    <x v="3"/>
    <n v="31.9"/>
    <n v="2.1"/>
    <n v="4"/>
    <x v="1"/>
    <n v="27.16"/>
    <s v="Overweight"/>
  </r>
  <r>
    <n v="51"/>
    <x v="1"/>
    <n v="77.3"/>
    <n v="1.58"/>
    <n v="171"/>
    <n v="168"/>
    <n v="68"/>
    <x v="64"/>
    <x v="513"/>
    <x v="2"/>
    <n v="31.1"/>
    <n v="2"/>
    <n v="2"/>
    <x v="2"/>
    <n v="30.96"/>
    <s v="Obesity"/>
  </r>
  <r>
    <n v="23"/>
    <x v="1"/>
    <n v="64.5"/>
    <n v="1.7"/>
    <n v="187"/>
    <n v="125"/>
    <n v="72"/>
    <x v="66"/>
    <x v="514"/>
    <x v="2"/>
    <n v="30.4"/>
    <n v="1.7"/>
    <n v="2"/>
    <x v="2"/>
    <n v="22.32"/>
    <s v="Normal Weight"/>
  </r>
  <r>
    <n v="19"/>
    <x v="0"/>
    <n v="72"/>
    <n v="1.94"/>
    <n v="199"/>
    <n v="148"/>
    <n v="62"/>
    <x v="21"/>
    <x v="234"/>
    <x v="0"/>
    <n v="24.7"/>
    <n v="3.2"/>
    <n v="3"/>
    <x v="1"/>
    <n v="19.13"/>
    <s v="Normal Weight"/>
  </r>
  <r>
    <n v="30"/>
    <x v="1"/>
    <n v="77.900000000000006"/>
    <n v="1.77"/>
    <n v="166"/>
    <n v="130"/>
    <n v="62"/>
    <x v="39"/>
    <x v="515"/>
    <x v="2"/>
    <n v="27.9"/>
    <n v="2.6"/>
    <n v="4"/>
    <x v="1"/>
    <n v="24.87"/>
    <s v="Normal Weight"/>
  </r>
  <r>
    <n v="28"/>
    <x v="1"/>
    <n v="69.599999999999994"/>
    <n v="1.58"/>
    <n v="182"/>
    <n v="135"/>
    <n v="50"/>
    <x v="6"/>
    <x v="211"/>
    <x v="2"/>
    <n v="27.8"/>
    <n v="2"/>
    <n v="3"/>
    <x v="1"/>
    <n v="27.88"/>
    <s v="Overweight"/>
  </r>
  <r>
    <n v="40"/>
    <x v="0"/>
    <n v="68.900000000000006"/>
    <n v="1.99"/>
    <n v="180"/>
    <n v="149"/>
    <n v="51"/>
    <x v="62"/>
    <x v="516"/>
    <x v="2"/>
    <n v="25"/>
    <n v="2.4"/>
    <n v="4"/>
    <x v="1"/>
    <n v="17.399999999999999"/>
    <s v="Underweight"/>
  </r>
  <r>
    <n v="33"/>
    <x v="0"/>
    <n v="45.9"/>
    <n v="1.89"/>
    <n v="193"/>
    <n v="144"/>
    <n v="50"/>
    <x v="35"/>
    <x v="517"/>
    <x v="2"/>
    <n v="21.6"/>
    <n v="2.9"/>
    <n v="3"/>
    <x v="1"/>
    <n v="12.85"/>
    <s v="Underweight"/>
  </r>
  <r>
    <n v="48"/>
    <x v="1"/>
    <n v="68.2"/>
    <n v="1.69"/>
    <n v="170"/>
    <n v="159"/>
    <n v="73"/>
    <x v="143"/>
    <x v="518"/>
    <x v="1"/>
    <n v="28.4"/>
    <n v="2.5"/>
    <n v="3"/>
    <x v="2"/>
    <n v="23.88"/>
    <s v="Normal Weight"/>
  </r>
  <r>
    <n v="28"/>
    <x v="1"/>
    <n v="79.599999999999994"/>
    <n v="1.59"/>
    <n v="181"/>
    <n v="130"/>
    <n v="54"/>
    <x v="6"/>
    <x v="519"/>
    <x v="1"/>
    <n v="28.2"/>
    <n v="1.5"/>
    <n v="3"/>
    <x v="1"/>
    <n v="31.49"/>
    <s v="Obesity"/>
  </r>
  <r>
    <n v="33"/>
    <x v="1"/>
    <n v="53.6"/>
    <n v="1.52"/>
    <n v="194"/>
    <n v="126"/>
    <n v="73"/>
    <x v="73"/>
    <x v="520"/>
    <x v="2"/>
    <n v="30.9"/>
    <n v="2.2999999999999998"/>
    <n v="2"/>
    <x v="2"/>
    <n v="23.2"/>
    <s v="Normal Weight"/>
  </r>
  <r>
    <n v="25"/>
    <x v="1"/>
    <n v="57.7"/>
    <n v="1.58"/>
    <n v="188"/>
    <n v="145"/>
    <n v="52"/>
    <x v="89"/>
    <x v="521"/>
    <x v="0"/>
    <n v="25.7"/>
    <n v="2.2000000000000002"/>
    <n v="3"/>
    <x v="1"/>
    <n v="23.11"/>
    <s v="Normal Weight"/>
  </r>
  <r>
    <n v="21"/>
    <x v="0"/>
    <n v="74.2"/>
    <n v="1.93"/>
    <n v="187"/>
    <n v="141"/>
    <n v="56"/>
    <x v="31"/>
    <x v="304"/>
    <x v="1"/>
    <n v="28.3"/>
    <n v="2.5"/>
    <n v="3"/>
    <x v="1"/>
    <n v="19.920000000000002"/>
    <s v="Normal Weight"/>
  </r>
  <r>
    <n v="57"/>
    <x v="1"/>
    <n v="64.400000000000006"/>
    <n v="1.56"/>
    <n v="177"/>
    <n v="144"/>
    <n v="73"/>
    <x v="30"/>
    <x v="522"/>
    <x v="2"/>
    <n v="17.8"/>
    <n v="2.7"/>
    <n v="5"/>
    <x v="0"/>
    <n v="26.46"/>
    <s v="Overweight"/>
  </r>
  <r>
    <n v="21"/>
    <x v="1"/>
    <n v="54.9"/>
    <n v="1.78"/>
    <n v="173"/>
    <n v="138"/>
    <n v="71"/>
    <x v="72"/>
    <x v="523"/>
    <x v="1"/>
    <n v="31.7"/>
    <n v="2"/>
    <n v="2"/>
    <x v="2"/>
    <n v="17.329999999999998"/>
    <s v="Underweight"/>
  </r>
  <r>
    <n v="42"/>
    <x v="0"/>
    <n v="50.3"/>
    <n v="1.64"/>
    <n v="177"/>
    <n v="150"/>
    <n v="62"/>
    <x v="54"/>
    <x v="524"/>
    <x v="3"/>
    <n v="27"/>
    <n v="2.4"/>
    <n v="3"/>
    <x v="2"/>
    <n v="18.7"/>
    <s v="Normal Weight"/>
  </r>
  <r>
    <n v="20"/>
    <x v="1"/>
    <n v="46.5"/>
    <n v="1.68"/>
    <n v="187"/>
    <n v="145"/>
    <n v="72"/>
    <x v="135"/>
    <x v="221"/>
    <x v="1"/>
    <n v="27.9"/>
    <n v="2.4"/>
    <n v="2"/>
    <x v="2"/>
    <n v="16.48"/>
    <s v="Underweight"/>
  </r>
  <r>
    <n v="49"/>
    <x v="0"/>
    <n v="57.8"/>
    <n v="1.99"/>
    <n v="183"/>
    <n v="161"/>
    <n v="67"/>
    <x v="105"/>
    <x v="525"/>
    <x v="1"/>
    <n v="24.7"/>
    <n v="3.1"/>
    <n v="3"/>
    <x v="2"/>
    <n v="14.6"/>
    <s v="Underweight"/>
  </r>
  <r>
    <n v="20"/>
    <x v="0"/>
    <n v="83"/>
    <n v="1.8"/>
    <n v="167"/>
    <n v="160"/>
    <n v="73"/>
    <x v="146"/>
    <x v="526"/>
    <x v="0"/>
    <n v="29.6"/>
    <n v="2.9"/>
    <n v="2"/>
    <x v="2"/>
    <n v="25.62"/>
    <s v="Overweight"/>
  </r>
  <r>
    <n v="44"/>
    <x v="0"/>
    <n v="82.5"/>
    <n v="1.79"/>
    <n v="167"/>
    <n v="155"/>
    <n v="70"/>
    <x v="132"/>
    <x v="346"/>
    <x v="1"/>
    <n v="13.8"/>
    <n v="3.5"/>
    <n v="5"/>
    <x v="0"/>
    <n v="25.75"/>
    <s v="Overweight"/>
  </r>
  <r>
    <n v="46"/>
    <x v="1"/>
    <n v="66.5"/>
    <n v="1.73"/>
    <n v="163"/>
    <n v="142"/>
    <n v="56"/>
    <x v="2"/>
    <x v="527"/>
    <x v="0"/>
    <n v="34.700000000000003"/>
    <n v="2"/>
    <n v="3"/>
    <x v="2"/>
    <n v="22.22"/>
    <s v="Normal Weight"/>
  </r>
  <r>
    <n v="49"/>
    <x v="1"/>
    <n v="70.2"/>
    <n v="1.67"/>
    <n v="186"/>
    <n v="166"/>
    <n v="50"/>
    <x v="105"/>
    <x v="526"/>
    <x v="3"/>
    <n v="32.5"/>
    <n v="1.8"/>
    <n v="3"/>
    <x v="2"/>
    <n v="25.17"/>
    <s v="Overweight"/>
  </r>
  <r>
    <n v="36"/>
    <x v="0"/>
    <n v="121.9"/>
    <n v="1.93"/>
    <n v="195"/>
    <n v="132"/>
    <n v="54"/>
    <x v="6"/>
    <x v="144"/>
    <x v="2"/>
    <n v="21.8"/>
    <n v="3.4"/>
    <n v="3"/>
    <x v="1"/>
    <n v="32.729999999999997"/>
    <s v="Obesity"/>
  </r>
  <r>
    <n v="38"/>
    <x v="1"/>
    <n v="70.3"/>
    <n v="1.52"/>
    <n v="164"/>
    <n v="144"/>
    <n v="66"/>
    <x v="17"/>
    <x v="528"/>
    <x v="0"/>
    <n v="25.6"/>
    <n v="2"/>
    <n v="4"/>
    <x v="1"/>
    <n v="30.43"/>
    <s v="Obesity"/>
  </r>
  <r>
    <n v="22"/>
    <x v="1"/>
    <n v="40.299999999999997"/>
    <n v="1.56"/>
    <n v="192"/>
    <n v="121"/>
    <n v="57"/>
    <x v="35"/>
    <x v="138"/>
    <x v="1"/>
    <n v="30.8"/>
    <n v="2.1"/>
    <n v="4"/>
    <x v="1"/>
    <n v="16.559999999999999"/>
    <s v="Underweight"/>
  </r>
  <r>
    <n v="35"/>
    <x v="0"/>
    <n v="101.4"/>
    <n v="1.76"/>
    <n v="193"/>
    <n v="121"/>
    <n v="64"/>
    <x v="38"/>
    <x v="529"/>
    <x v="1"/>
    <n v="23.6"/>
    <n v="2.9"/>
    <n v="2"/>
    <x v="2"/>
    <n v="32.74"/>
    <s v="Obesity"/>
  </r>
  <r>
    <n v="45"/>
    <x v="0"/>
    <n v="79.2"/>
    <n v="1.95"/>
    <n v="189"/>
    <n v="135"/>
    <n v="69"/>
    <x v="43"/>
    <x v="228"/>
    <x v="0"/>
    <n v="22.8"/>
    <n v="2.8"/>
    <n v="3"/>
    <x v="1"/>
    <n v="20.83"/>
    <s v="Normal Weight"/>
  </r>
  <r>
    <n v="59"/>
    <x v="1"/>
    <n v="75.8"/>
    <n v="1.77"/>
    <n v="167"/>
    <n v="128"/>
    <n v="53"/>
    <x v="85"/>
    <x v="530"/>
    <x v="3"/>
    <n v="33.1"/>
    <n v="1.8"/>
    <n v="3"/>
    <x v="2"/>
    <n v="24.19"/>
    <s v="Normal Weight"/>
  </r>
  <r>
    <n v="39"/>
    <x v="0"/>
    <n v="71.7"/>
    <n v="1.88"/>
    <n v="198"/>
    <n v="147"/>
    <n v="51"/>
    <x v="72"/>
    <x v="531"/>
    <x v="2"/>
    <n v="23.7"/>
    <n v="2.2000000000000002"/>
    <n v="2"/>
    <x v="2"/>
    <n v="20.29"/>
    <s v="Normal Weight"/>
  </r>
  <r>
    <n v="38"/>
    <x v="1"/>
    <n v="57.7"/>
    <n v="1.56"/>
    <n v="185"/>
    <n v="132"/>
    <n v="54"/>
    <x v="27"/>
    <x v="144"/>
    <x v="1"/>
    <n v="16.600000000000001"/>
    <n v="2.7"/>
    <n v="5"/>
    <x v="0"/>
    <n v="23.71"/>
    <s v="Normal Weight"/>
  </r>
  <r>
    <n v="23"/>
    <x v="1"/>
    <n v="47.4"/>
    <n v="1.6"/>
    <n v="196"/>
    <n v="154"/>
    <n v="50"/>
    <x v="134"/>
    <x v="267"/>
    <x v="3"/>
    <n v="33.5"/>
    <n v="1.6"/>
    <n v="3"/>
    <x v="2"/>
    <n v="18.52"/>
    <s v="Normal Weight"/>
  </r>
  <r>
    <n v="18"/>
    <x v="1"/>
    <n v="57.2"/>
    <n v="1.75"/>
    <n v="193"/>
    <n v="160"/>
    <n v="74"/>
    <x v="28"/>
    <x v="532"/>
    <x v="2"/>
    <n v="33.5"/>
    <n v="2.4"/>
    <n v="3"/>
    <x v="1"/>
    <n v="18.68"/>
    <s v="Normal Weight"/>
  </r>
  <r>
    <n v="22"/>
    <x v="1"/>
    <n v="44.8"/>
    <n v="1.72"/>
    <n v="166"/>
    <n v="132"/>
    <n v="54"/>
    <x v="26"/>
    <x v="533"/>
    <x v="2"/>
    <n v="28.6"/>
    <n v="1.8"/>
    <n v="4"/>
    <x v="1"/>
    <n v="15.14"/>
    <s v="Underweight"/>
  </r>
  <r>
    <n v="58"/>
    <x v="0"/>
    <n v="90.2"/>
    <n v="1.72"/>
    <n v="199"/>
    <n v="150"/>
    <n v="55"/>
    <x v="111"/>
    <x v="534"/>
    <x v="1"/>
    <n v="28.3"/>
    <n v="2.1"/>
    <n v="2"/>
    <x v="2"/>
    <n v="30.49"/>
    <s v="Obesity"/>
  </r>
  <r>
    <n v="29"/>
    <x v="0"/>
    <n v="84.9"/>
    <n v="1.72"/>
    <n v="187"/>
    <n v="140"/>
    <n v="51"/>
    <x v="65"/>
    <x v="535"/>
    <x v="0"/>
    <n v="14.3"/>
    <n v="3.5"/>
    <n v="4"/>
    <x v="0"/>
    <n v="28.7"/>
    <s v="Overweight"/>
  </r>
  <r>
    <n v="43"/>
    <x v="0"/>
    <n v="95.7"/>
    <n v="1.77"/>
    <n v="198"/>
    <n v="151"/>
    <n v="50"/>
    <x v="9"/>
    <x v="457"/>
    <x v="1"/>
    <n v="24.2"/>
    <n v="3.4"/>
    <n v="3"/>
    <x v="2"/>
    <n v="30.55"/>
    <s v="Obesity"/>
  </r>
  <r>
    <n v="51"/>
    <x v="0"/>
    <n v="59"/>
    <n v="1.65"/>
    <n v="198"/>
    <n v="153"/>
    <n v="53"/>
    <x v="74"/>
    <x v="89"/>
    <x v="1"/>
    <n v="20.7"/>
    <n v="2.2999999999999998"/>
    <n v="3"/>
    <x v="1"/>
    <n v="21.67"/>
    <s v="Normal Weight"/>
  </r>
  <r>
    <n v="31"/>
    <x v="1"/>
    <n v="60.5"/>
    <n v="1.77"/>
    <n v="187"/>
    <n v="127"/>
    <n v="56"/>
    <x v="71"/>
    <x v="536"/>
    <x v="1"/>
    <n v="15"/>
    <n v="2.7"/>
    <n v="4"/>
    <x v="0"/>
    <n v="19.309999999999999"/>
    <s v="Normal Weight"/>
  </r>
  <r>
    <n v="43"/>
    <x v="1"/>
    <n v="53.8"/>
    <n v="1.72"/>
    <n v="173"/>
    <n v="160"/>
    <n v="71"/>
    <x v="8"/>
    <x v="18"/>
    <x v="3"/>
    <n v="30.2"/>
    <n v="2.2999999999999998"/>
    <n v="4"/>
    <x v="1"/>
    <n v="18.190000000000001"/>
    <s v="Underweight"/>
  </r>
  <r>
    <n v="44"/>
    <x v="0"/>
    <n v="86.6"/>
    <n v="1.97"/>
    <n v="197"/>
    <n v="167"/>
    <n v="50"/>
    <x v="97"/>
    <x v="537"/>
    <x v="0"/>
    <n v="11.7"/>
    <n v="3.5"/>
    <n v="5"/>
    <x v="0"/>
    <n v="22.31"/>
    <s v="Normal Weight"/>
  </r>
  <r>
    <n v="26"/>
    <x v="1"/>
    <n v="72.8"/>
    <n v="1.67"/>
    <n v="163"/>
    <n v="121"/>
    <n v="50"/>
    <x v="18"/>
    <x v="538"/>
    <x v="3"/>
    <n v="35"/>
    <n v="1.9"/>
    <n v="2"/>
    <x v="2"/>
    <n v="26.1"/>
    <s v="Overweight"/>
  </r>
  <r>
    <n v="43"/>
    <x v="1"/>
    <n v="66.3"/>
    <n v="1.77"/>
    <n v="177"/>
    <n v="157"/>
    <n v="57"/>
    <x v="26"/>
    <x v="32"/>
    <x v="1"/>
    <n v="32.700000000000003"/>
    <n v="1.7"/>
    <n v="4"/>
    <x v="1"/>
    <n v="21.16"/>
    <s v="Normal Weight"/>
  </r>
  <r>
    <n v="39"/>
    <x v="1"/>
    <n v="56"/>
    <n v="1.6"/>
    <n v="184"/>
    <n v="151"/>
    <n v="69"/>
    <x v="50"/>
    <x v="422"/>
    <x v="0"/>
    <n v="32.6"/>
    <n v="2"/>
    <n v="2"/>
    <x v="2"/>
    <n v="21.87"/>
    <s v="Normal Weight"/>
  </r>
  <r>
    <n v="47"/>
    <x v="0"/>
    <n v="45.9"/>
    <n v="1.93"/>
    <n v="166"/>
    <n v="159"/>
    <n v="65"/>
    <x v="28"/>
    <x v="539"/>
    <x v="2"/>
    <n v="29.6"/>
    <n v="2"/>
    <n v="3"/>
    <x v="1"/>
    <n v="12.32"/>
    <s v="Underweight"/>
  </r>
  <r>
    <n v="34"/>
    <x v="0"/>
    <n v="88"/>
    <n v="1.64"/>
    <n v="197"/>
    <n v="147"/>
    <n v="70"/>
    <x v="125"/>
    <x v="540"/>
    <x v="0"/>
    <n v="14.4"/>
    <n v="3.5"/>
    <n v="4"/>
    <x v="0"/>
    <n v="32.72"/>
    <s v="Obesity"/>
  </r>
  <r>
    <n v="43"/>
    <x v="0"/>
    <n v="94"/>
    <n v="1.79"/>
    <n v="187"/>
    <n v="156"/>
    <n v="62"/>
    <x v="34"/>
    <x v="222"/>
    <x v="1"/>
    <n v="23.2"/>
    <n v="3.4"/>
    <n v="2"/>
    <x v="2"/>
    <n v="29.34"/>
    <s v="Overweight"/>
  </r>
  <r>
    <n v="53"/>
    <x v="1"/>
    <n v="44.7"/>
    <n v="1.79"/>
    <n v="164"/>
    <n v="160"/>
    <n v="72"/>
    <x v="33"/>
    <x v="541"/>
    <x v="0"/>
    <n v="26.7"/>
    <n v="2.1"/>
    <n v="3"/>
    <x v="1"/>
    <n v="13.95"/>
    <s v="Underweight"/>
  </r>
  <r>
    <n v="18"/>
    <x v="0"/>
    <n v="63.2"/>
    <n v="1.63"/>
    <n v="162"/>
    <n v="120"/>
    <n v="73"/>
    <x v="78"/>
    <x v="542"/>
    <x v="2"/>
    <n v="27.5"/>
    <n v="2.2000000000000002"/>
    <n v="3"/>
    <x v="2"/>
    <n v="23.79"/>
    <s v="Normal Weight"/>
  </r>
  <r>
    <n v="25"/>
    <x v="0"/>
    <n v="95.6"/>
    <n v="1.9"/>
    <n v="190"/>
    <n v="160"/>
    <n v="72"/>
    <x v="43"/>
    <x v="543"/>
    <x v="2"/>
    <n v="23.8"/>
    <n v="2.4"/>
    <n v="4"/>
    <x v="1"/>
    <n v="26.48"/>
    <s v="Overweight"/>
  </r>
  <r>
    <n v="52"/>
    <x v="0"/>
    <n v="47.8"/>
    <n v="1.86"/>
    <n v="179"/>
    <n v="129"/>
    <n v="67"/>
    <x v="69"/>
    <x v="544"/>
    <x v="0"/>
    <n v="24.7"/>
    <n v="2.8"/>
    <n v="3"/>
    <x v="1"/>
    <n v="13.82"/>
    <s v="Underweight"/>
  </r>
  <r>
    <n v="32"/>
    <x v="0"/>
    <n v="85.3"/>
    <n v="1.64"/>
    <n v="178"/>
    <n v="123"/>
    <n v="69"/>
    <x v="127"/>
    <x v="545"/>
    <x v="2"/>
    <n v="13.2"/>
    <n v="3.5"/>
    <n v="4"/>
    <x v="0"/>
    <n v="31.71"/>
    <s v="Obesity"/>
  </r>
  <r>
    <n v="39"/>
    <x v="0"/>
    <n v="59.7"/>
    <n v="1.83"/>
    <n v="170"/>
    <n v="154"/>
    <n v="59"/>
    <x v="14"/>
    <x v="424"/>
    <x v="3"/>
    <n v="29.1"/>
    <n v="2.2999999999999998"/>
    <n v="4"/>
    <x v="1"/>
    <n v="17.829999999999998"/>
    <s v="Underweight"/>
  </r>
  <r>
    <n v="31"/>
    <x v="0"/>
    <n v="70.2"/>
    <n v="1.98"/>
    <n v="199"/>
    <n v="129"/>
    <n v="61"/>
    <x v="144"/>
    <x v="546"/>
    <x v="0"/>
    <n v="24.2"/>
    <n v="2.5"/>
    <n v="2"/>
    <x v="2"/>
    <n v="17.91"/>
    <s v="Underweight"/>
  </r>
  <r>
    <n v="43"/>
    <x v="1"/>
    <n v="72.7"/>
    <n v="1.8"/>
    <n v="162"/>
    <n v="166"/>
    <n v="50"/>
    <x v="146"/>
    <x v="547"/>
    <x v="2"/>
    <n v="32.799999999999997"/>
    <n v="2.1"/>
    <n v="3"/>
    <x v="2"/>
    <n v="22.44"/>
    <s v="Normal Weight"/>
  </r>
  <r>
    <n v="45"/>
    <x v="1"/>
    <n v="50.4"/>
    <n v="1.79"/>
    <n v="182"/>
    <n v="130"/>
    <n v="59"/>
    <x v="136"/>
    <x v="548"/>
    <x v="2"/>
    <n v="27.7"/>
    <n v="2.5"/>
    <n v="2"/>
    <x v="2"/>
    <n v="15.73"/>
    <s v="Underweight"/>
  </r>
  <r>
    <n v="40"/>
    <x v="0"/>
    <n v="81.7"/>
    <n v="1.74"/>
    <n v="166"/>
    <n v="133"/>
    <n v="58"/>
    <x v="135"/>
    <x v="59"/>
    <x v="0"/>
    <n v="27"/>
    <n v="2.7"/>
    <n v="2"/>
    <x v="2"/>
    <n v="26.99"/>
    <s v="Overweight"/>
  </r>
  <r>
    <n v="31"/>
    <x v="0"/>
    <n v="49.3"/>
    <n v="1.62"/>
    <n v="182"/>
    <n v="157"/>
    <n v="52"/>
    <x v="45"/>
    <x v="549"/>
    <x v="3"/>
    <n v="20"/>
    <n v="3.2"/>
    <n v="2"/>
    <x v="2"/>
    <n v="18.79"/>
    <s v="Normal Weight"/>
  </r>
  <r>
    <n v="41"/>
    <x v="1"/>
    <n v="61.9"/>
    <n v="1.64"/>
    <n v="166"/>
    <n v="131"/>
    <n v="68"/>
    <x v="59"/>
    <x v="179"/>
    <x v="0"/>
    <n v="19.399999999999999"/>
    <n v="2.7"/>
    <n v="4"/>
    <x v="0"/>
    <n v="23.01"/>
    <s v="Normal Weight"/>
  </r>
  <r>
    <n v="19"/>
    <x v="1"/>
    <n v="49.1"/>
    <n v="1.68"/>
    <n v="193"/>
    <n v="164"/>
    <n v="58"/>
    <x v="24"/>
    <x v="550"/>
    <x v="2"/>
    <n v="25.3"/>
    <n v="2.6"/>
    <n v="4"/>
    <x v="1"/>
    <n v="17.399999999999999"/>
    <s v="Underweight"/>
  </r>
  <r>
    <n v="43"/>
    <x v="0"/>
    <n v="66.5"/>
    <n v="1.83"/>
    <n v="178"/>
    <n v="136"/>
    <n v="59"/>
    <x v="2"/>
    <x v="551"/>
    <x v="0"/>
    <n v="27.1"/>
    <n v="2.4"/>
    <n v="3"/>
    <x v="1"/>
    <n v="19.86"/>
    <s v="Normal Weight"/>
  </r>
  <r>
    <n v="31"/>
    <x v="0"/>
    <n v="75.5"/>
    <n v="1.93"/>
    <n v="168"/>
    <n v="135"/>
    <n v="68"/>
    <x v="126"/>
    <x v="109"/>
    <x v="2"/>
    <n v="20.5"/>
    <n v="3.4"/>
    <n v="2"/>
    <x v="2"/>
    <n v="20.27"/>
    <s v="Normal Weight"/>
  </r>
  <r>
    <n v="24"/>
    <x v="0"/>
    <n v="88.2"/>
    <n v="1.79"/>
    <n v="177"/>
    <n v="154"/>
    <n v="65"/>
    <x v="141"/>
    <x v="552"/>
    <x v="1"/>
    <n v="11.3"/>
    <n v="3.5"/>
    <n v="4"/>
    <x v="0"/>
    <n v="27.53"/>
    <s v="Overweight"/>
  </r>
  <r>
    <n v="20"/>
    <x v="0"/>
    <n v="74.8"/>
    <n v="1.75"/>
    <n v="184"/>
    <n v="121"/>
    <n v="73"/>
    <x v="16"/>
    <x v="139"/>
    <x v="0"/>
    <n v="25"/>
    <n v="3.3"/>
    <n v="3"/>
    <x v="1"/>
    <n v="24.42"/>
    <s v="Normal Weight"/>
  </r>
  <r>
    <n v="40"/>
    <x v="1"/>
    <n v="72.2"/>
    <n v="1.6"/>
    <n v="173"/>
    <n v="130"/>
    <n v="67"/>
    <x v="137"/>
    <x v="340"/>
    <x v="0"/>
    <n v="29.2"/>
    <n v="1.9"/>
    <n v="3"/>
    <x v="2"/>
    <n v="28.2"/>
    <s v="Overweight"/>
  </r>
  <r>
    <n v="35"/>
    <x v="0"/>
    <n v="62.8"/>
    <n v="1.63"/>
    <n v="184"/>
    <n v="160"/>
    <n v="63"/>
    <x v="39"/>
    <x v="189"/>
    <x v="2"/>
    <n v="21.9"/>
    <n v="3.7"/>
    <n v="4"/>
    <x v="1"/>
    <n v="23.64"/>
    <s v="Normal Weight"/>
  </r>
  <r>
    <n v="55"/>
    <x v="0"/>
    <n v="84.7"/>
    <n v="1.79"/>
    <n v="178"/>
    <n v="122"/>
    <n v="52"/>
    <x v="17"/>
    <x v="8"/>
    <x v="2"/>
    <n v="23.3"/>
    <n v="2.4"/>
    <n v="3"/>
    <x v="1"/>
    <n v="26.43"/>
    <s v="Overweight"/>
  </r>
  <r>
    <n v="52"/>
    <x v="0"/>
    <n v="116.5"/>
    <n v="1.69"/>
    <n v="198"/>
    <n v="148"/>
    <n v="51"/>
    <x v="112"/>
    <x v="553"/>
    <x v="2"/>
    <n v="27.3"/>
    <n v="2.4"/>
    <n v="2"/>
    <x v="2"/>
    <n v="40.79"/>
    <s v="Obesity"/>
  </r>
  <r>
    <n v="32"/>
    <x v="0"/>
    <n v="77.400000000000006"/>
    <n v="1.92"/>
    <n v="174"/>
    <n v="137"/>
    <n v="50"/>
    <x v="68"/>
    <x v="252"/>
    <x v="2"/>
    <n v="26.7"/>
    <n v="3.3"/>
    <n v="3"/>
    <x v="1"/>
    <n v="21"/>
    <s v="Normal Weight"/>
  </r>
  <r>
    <n v="42"/>
    <x v="1"/>
    <n v="72.900000000000006"/>
    <n v="1.62"/>
    <n v="175"/>
    <n v="139"/>
    <n v="67"/>
    <x v="21"/>
    <x v="196"/>
    <x v="0"/>
    <n v="25.7"/>
    <n v="2"/>
    <n v="4"/>
    <x v="1"/>
    <n v="27.78"/>
    <s v="Overweight"/>
  </r>
  <r>
    <n v="54"/>
    <x v="1"/>
    <n v="58.4"/>
    <n v="1.59"/>
    <n v="186"/>
    <n v="166"/>
    <n v="73"/>
    <x v="9"/>
    <x v="457"/>
    <x v="2"/>
    <n v="32.5"/>
    <n v="1.9"/>
    <n v="2"/>
    <x v="2"/>
    <n v="23.1"/>
    <s v="Normal Weight"/>
  </r>
  <r>
    <n v="45"/>
    <x v="1"/>
    <n v="64.3"/>
    <n v="1.54"/>
    <n v="199"/>
    <n v="133"/>
    <n v="58"/>
    <x v="41"/>
    <x v="554"/>
    <x v="0"/>
    <n v="15.3"/>
    <n v="2.7"/>
    <n v="4"/>
    <x v="0"/>
    <n v="27.11"/>
    <s v="Overweight"/>
  </r>
  <r>
    <n v="27"/>
    <x v="0"/>
    <n v="89.3"/>
    <n v="1.87"/>
    <n v="169"/>
    <n v="153"/>
    <n v="62"/>
    <x v="113"/>
    <x v="555"/>
    <x v="3"/>
    <n v="12.7"/>
    <n v="3.5"/>
    <n v="5"/>
    <x v="0"/>
    <n v="25.54"/>
    <s v="Overweight"/>
  </r>
  <r>
    <n v="56"/>
    <x v="0"/>
    <n v="90.2"/>
    <n v="1.61"/>
    <n v="163"/>
    <n v="168"/>
    <n v="51"/>
    <x v="82"/>
    <x v="517"/>
    <x v="0"/>
    <n v="22.6"/>
    <n v="2.2999999999999998"/>
    <n v="3"/>
    <x v="1"/>
    <n v="34.799999999999997"/>
    <s v="Obesity"/>
  </r>
  <r>
    <n v="34"/>
    <x v="1"/>
    <n v="59"/>
    <n v="1.62"/>
    <n v="178"/>
    <n v="150"/>
    <n v="56"/>
    <x v="15"/>
    <x v="462"/>
    <x v="2"/>
    <n v="30.9"/>
    <n v="2.4"/>
    <n v="4"/>
    <x v="1"/>
    <n v="22.48"/>
    <s v="Normal Weight"/>
  </r>
  <r>
    <n v="56"/>
    <x v="0"/>
    <n v="58.7"/>
    <n v="1.86"/>
    <n v="187"/>
    <n v="159"/>
    <n v="65"/>
    <x v="58"/>
    <x v="113"/>
    <x v="2"/>
    <n v="22.6"/>
    <n v="3.3"/>
    <n v="3"/>
    <x v="1"/>
    <n v="16.97"/>
    <s v="Underweight"/>
  </r>
  <r>
    <n v="39"/>
    <x v="0"/>
    <n v="127.5"/>
    <n v="1.82"/>
    <n v="180"/>
    <n v="161"/>
    <n v="70"/>
    <x v="32"/>
    <x v="5"/>
    <x v="3"/>
    <n v="29.8"/>
    <n v="3"/>
    <n v="3"/>
    <x v="1"/>
    <n v="38.49"/>
    <s v="Obesity"/>
  </r>
  <r>
    <n v="43"/>
    <x v="1"/>
    <n v="68.599999999999994"/>
    <n v="1.52"/>
    <n v="173"/>
    <n v="137"/>
    <n v="68"/>
    <x v="24"/>
    <x v="21"/>
    <x v="0"/>
    <n v="28.1"/>
    <n v="2.6"/>
    <n v="4"/>
    <x v="1"/>
    <n v="29.69"/>
    <s v="Overweight"/>
  </r>
  <r>
    <n v="42"/>
    <x v="1"/>
    <n v="56.7"/>
    <n v="1.53"/>
    <n v="192"/>
    <n v="149"/>
    <n v="74"/>
    <x v="53"/>
    <x v="556"/>
    <x v="3"/>
    <n v="27.4"/>
    <n v="1.9"/>
    <n v="3"/>
    <x v="2"/>
    <n v="24.22"/>
    <s v="Normal Weight"/>
  </r>
  <r>
    <n v="34"/>
    <x v="1"/>
    <n v="64.5"/>
    <n v="1.78"/>
    <n v="169"/>
    <n v="144"/>
    <n v="64"/>
    <x v="16"/>
    <x v="135"/>
    <x v="0"/>
    <n v="27.8"/>
    <n v="1.8"/>
    <n v="4"/>
    <x v="1"/>
    <n v="20.36"/>
    <s v="Normal Weight"/>
  </r>
  <r>
    <n v="30"/>
    <x v="1"/>
    <n v="61.6"/>
    <n v="1.52"/>
    <n v="178"/>
    <n v="138"/>
    <n v="71"/>
    <x v="56"/>
    <x v="557"/>
    <x v="2"/>
    <n v="19.5"/>
    <n v="2.7"/>
    <n v="4"/>
    <x v="0"/>
    <n v="26.66"/>
    <s v="Overweight"/>
  </r>
  <r>
    <n v="37"/>
    <x v="0"/>
    <n v="75.099999999999994"/>
    <n v="1.82"/>
    <n v="189"/>
    <n v="127"/>
    <n v="60"/>
    <x v="40"/>
    <x v="485"/>
    <x v="0"/>
    <n v="26.4"/>
    <n v="3.2"/>
    <n v="4"/>
    <x v="1"/>
    <n v="22.67"/>
    <s v="Normal Weight"/>
  </r>
  <r>
    <n v="42"/>
    <x v="0"/>
    <n v="79.3"/>
    <n v="1.93"/>
    <n v="181"/>
    <n v="147"/>
    <n v="50"/>
    <x v="74"/>
    <x v="110"/>
    <x v="2"/>
    <n v="27.3"/>
    <n v="3.3"/>
    <n v="2"/>
    <x v="2"/>
    <n v="21.29"/>
    <s v="Normal Weight"/>
  </r>
  <r>
    <n v="21"/>
    <x v="1"/>
    <n v="72.599999999999994"/>
    <n v="1.68"/>
    <n v="162"/>
    <n v="127"/>
    <n v="70"/>
    <x v="17"/>
    <x v="131"/>
    <x v="2"/>
    <n v="34.200000000000003"/>
    <n v="1.8"/>
    <n v="3"/>
    <x v="1"/>
    <n v="25.72"/>
    <s v="Overweight"/>
  </r>
  <r>
    <n v="27"/>
    <x v="0"/>
    <n v="76.7"/>
    <n v="1.7"/>
    <n v="196"/>
    <n v="150"/>
    <n v="56"/>
    <x v="108"/>
    <x v="254"/>
    <x v="1"/>
    <n v="29.1"/>
    <n v="2.1"/>
    <n v="3"/>
    <x v="2"/>
    <n v="26.54"/>
    <s v="Overweight"/>
  </r>
  <r>
    <n v="20"/>
    <x v="1"/>
    <n v="44.2"/>
    <n v="1.61"/>
    <n v="177"/>
    <n v="122"/>
    <n v="69"/>
    <x v="9"/>
    <x v="558"/>
    <x v="1"/>
    <n v="32.4"/>
    <n v="2.5"/>
    <n v="2"/>
    <x v="2"/>
    <n v="17.05"/>
    <s v="Underweight"/>
  </r>
  <r>
    <n v="58"/>
    <x v="1"/>
    <n v="56.5"/>
    <n v="1.7"/>
    <n v="170"/>
    <n v="122"/>
    <n v="57"/>
    <x v="136"/>
    <x v="559"/>
    <x v="0"/>
    <n v="27"/>
    <n v="2.7"/>
    <n v="2"/>
    <x v="2"/>
    <n v="19.55"/>
    <s v="Normal Weight"/>
  </r>
  <r>
    <n v="35"/>
    <x v="0"/>
    <n v="100.9"/>
    <n v="1.63"/>
    <n v="161"/>
    <n v="163"/>
    <n v="59"/>
    <x v="94"/>
    <x v="521"/>
    <x v="2"/>
    <n v="28.4"/>
    <n v="3.1"/>
    <n v="2"/>
    <x v="2"/>
    <n v="37.979999999999997"/>
    <s v="Obesity"/>
  </r>
  <r>
    <n v="53"/>
    <x v="1"/>
    <n v="55.8"/>
    <n v="1.55"/>
    <n v="171"/>
    <n v="141"/>
    <n v="54"/>
    <x v="20"/>
    <x v="150"/>
    <x v="3"/>
    <n v="27"/>
    <n v="1.8"/>
    <n v="4"/>
    <x v="1"/>
    <n v="23.23"/>
    <s v="Normal Weight"/>
  </r>
  <r>
    <n v="39"/>
    <x v="0"/>
    <n v="58.3"/>
    <n v="1.93"/>
    <n v="165"/>
    <n v="136"/>
    <n v="58"/>
    <x v="14"/>
    <x v="229"/>
    <x v="2"/>
    <n v="27.4"/>
    <n v="3.7"/>
    <n v="4"/>
    <x v="1"/>
    <n v="15.65"/>
    <s v="Underweight"/>
  </r>
  <r>
    <n v="51"/>
    <x v="0"/>
    <n v="48.6"/>
    <n v="1.77"/>
    <n v="199"/>
    <n v="155"/>
    <n v="74"/>
    <x v="43"/>
    <x v="560"/>
    <x v="3"/>
    <n v="26.9"/>
    <n v="3.5"/>
    <n v="2"/>
    <x v="2"/>
    <n v="15.51"/>
    <s v="Underweight"/>
  </r>
  <r>
    <n v="25"/>
    <x v="0"/>
    <n v="81.7"/>
    <n v="1.95"/>
    <n v="188"/>
    <n v="136"/>
    <n v="74"/>
    <x v="114"/>
    <x v="293"/>
    <x v="0"/>
    <n v="13.8"/>
    <n v="3.5"/>
    <n v="4"/>
    <x v="0"/>
    <n v="21.49"/>
    <s v="Normal Weight"/>
  </r>
  <r>
    <n v="57"/>
    <x v="0"/>
    <n v="85.6"/>
    <n v="1.69"/>
    <n v="189"/>
    <n v="133"/>
    <n v="50"/>
    <x v="141"/>
    <x v="346"/>
    <x v="0"/>
    <n v="12.7"/>
    <n v="3.5"/>
    <n v="5"/>
    <x v="0"/>
    <n v="29.97"/>
    <s v="Overweight"/>
  </r>
  <r>
    <n v="36"/>
    <x v="1"/>
    <n v="60"/>
    <n v="1.72"/>
    <n v="161"/>
    <n v="128"/>
    <n v="51"/>
    <x v="109"/>
    <x v="192"/>
    <x v="3"/>
    <n v="18.2"/>
    <n v="2.7"/>
    <n v="5"/>
    <x v="0"/>
    <n v="20.28"/>
    <s v="Normal Weight"/>
  </r>
  <r>
    <n v="59"/>
    <x v="0"/>
    <n v="126.4"/>
    <n v="1.69"/>
    <n v="168"/>
    <n v="149"/>
    <n v="68"/>
    <x v="12"/>
    <x v="484"/>
    <x v="3"/>
    <n v="29.5"/>
    <n v="2.9"/>
    <n v="3"/>
    <x v="2"/>
    <n v="44.26"/>
    <s v="Obesity"/>
  </r>
  <r>
    <n v="58"/>
    <x v="1"/>
    <n v="75.400000000000006"/>
    <n v="1.78"/>
    <n v="161"/>
    <n v="140"/>
    <n v="63"/>
    <x v="95"/>
    <x v="236"/>
    <x v="2"/>
    <n v="26"/>
    <n v="2.5"/>
    <n v="4"/>
    <x v="1"/>
    <n v="23.8"/>
    <s v="Normal Weight"/>
  </r>
  <r>
    <n v="54"/>
    <x v="1"/>
    <n v="64.2"/>
    <n v="1.69"/>
    <n v="188"/>
    <n v="131"/>
    <n v="69"/>
    <x v="0"/>
    <x v="325"/>
    <x v="0"/>
    <n v="16.5"/>
    <n v="2.7"/>
    <n v="4"/>
    <x v="0"/>
    <n v="22.48"/>
    <s v="Normal Weight"/>
  </r>
  <r>
    <n v="23"/>
    <x v="1"/>
    <n v="65.2"/>
    <n v="1.62"/>
    <n v="192"/>
    <n v="156"/>
    <n v="59"/>
    <x v="18"/>
    <x v="37"/>
    <x v="2"/>
    <n v="31.1"/>
    <n v="2.5"/>
    <n v="3"/>
    <x v="1"/>
    <n v="24.84"/>
    <s v="Normal Weight"/>
  </r>
  <r>
    <n v="43"/>
    <x v="1"/>
    <n v="70.099999999999994"/>
    <n v="1.66"/>
    <n v="169"/>
    <n v="151"/>
    <n v="58"/>
    <x v="103"/>
    <x v="561"/>
    <x v="3"/>
    <n v="34.6"/>
    <n v="2.6"/>
    <n v="2"/>
    <x v="2"/>
    <n v="25.44"/>
    <s v="Overweight"/>
  </r>
  <r>
    <n v="51"/>
    <x v="0"/>
    <n v="102.6"/>
    <n v="1.77"/>
    <n v="193"/>
    <n v="130"/>
    <n v="59"/>
    <x v="101"/>
    <x v="371"/>
    <x v="1"/>
    <n v="21"/>
    <n v="3.4"/>
    <n v="2"/>
    <x v="2"/>
    <n v="32.75"/>
    <s v="Obesity"/>
  </r>
  <r>
    <n v="23"/>
    <x v="0"/>
    <n v="107.2"/>
    <n v="1.93"/>
    <n v="167"/>
    <n v="139"/>
    <n v="55"/>
    <x v="11"/>
    <x v="36"/>
    <x v="1"/>
    <n v="20.2"/>
    <n v="3.1"/>
    <n v="4"/>
    <x v="1"/>
    <n v="28.78"/>
    <s v="Overweight"/>
  </r>
  <r>
    <n v="54"/>
    <x v="1"/>
    <n v="56.5"/>
    <n v="1.75"/>
    <n v="196"/>
    <n v="154"/>
    <n v="66"/>
    <x v="141"/>
    <x v="562"/>
    <x v="1"/>
    <n v="15.3"/>
    <n v="2.7"/>
    <n v="5"/>
    <x v="0"/>
    <n v="18.45"/>
    <s v="Underweight"/>
  </r>
  <r>
    <n v="50"/>
    <x v="1"/>
    <n v="61.6"/>
    <n v="1.75"/>
    <n v="192"/>
    <n v="166"/>
    <n v="74"/>
    <x v="74"/>
    <x v="262"/>
    <x v="3"/>
    <n v="25.5"/>
    <n v="2.2000000000000002"/>
    <n v="4"/>
    <x v="1"/>
    <n v="20.11"/>
    <s v="Normal Weight"/>
  </r>
  <r>
    <n v="39"/>
    <x v="0"/>
    <n v="81.7"/>
    <n v="1.75"/>
    <n v="165"/>
    <n v="165"/>
    <n v="55"/>
    <x v="31"/>
    <x v="337"/>
    <x v="2"/>
    <n v="29.1"/>
    <n v="2.8"/>
    <n v="4"/>
    <x v="1"/>
    <n v="26.68"/>
    <s v="Overweight"/>
  </r>
  <r>
    <n v="38"/>
    <x v="1"/>
    <n v="76.599999999999994"/>
    <n v="1.58"/>
    <n v="199"/>
    <n v="130"/>
    <n v="53"/>
    <x v="136"/>
    <x v="563"/>
    <x v="0"/>
    <n v="32.200000000000003"/>
    <n v="2.2999999999999998"/>
    <n v="2"/>
    <x v="2"/>
    <n v="30.68"/>
    <s v="Obesity"/>
  </r>
  <r>
    <n v="23"/>
    <x v="0"/>
    <n v="116.8"/>
    <n v="1.79"/>
    <n v="178"/>
    <n v="127"/>
    <n v="69"/>
    <x v="75"/>
    <x v="564"/>
    <x v="3"/>
    <n v="26.8"/>
    <n v="3.4"/>
    <n v="4"/>
    <x v="1"/>
    <n v="36.450000000000003"/>
    <s v="Obesity"/>
  </r>
  <r>
    <n v="23"/>
    <x v="1"/>
    <n v="60.1"/>
    <n v="1.59"/>
    <n v="191"/>
    <n v="123"/>
    <n v="52"/>
    <x v="60"/>
    <x v="404"/>
    <x v="1"/>
    <n v="17.600000000000001"/>
    <n v="2.7"/>
    <n v="4"/>
    <x v="0"/>
    <n v="23.77"/>
    <s v="Normal Weight"/>
  </r>
  <r>
    <n v="21"/>
    <x v="0"/>
    <n v="93.7"/>
    <n v="1.73"/>
    <n v="186"/>
    <n v="146"/>
    <n v="72"/>
    <x v="75"/>
    <x v="232"/>
    <x v="2"/>
    <n v="27.8"/>
    <n v="3.6"/>
    <n v="2"/>
    <x v="2"/>
    <n v="31.31"/>
    <s v="Obesity"/>
  </r>
  <r>
    <n v="47"/>
    <x v="1"/>
    <n v="41.6"/>
    <n v="1.58"/>
    <n v="160"/>
    <n v="163"/>
    <n v="68"/>
    <x v="8"/>
    <x v="131"/>
    <x v="0"/>
    <n v="26.6"/>
    <n v="2.1"/>
    <n v="4"/>
    <x v="1"/>
    <n v="16.66"/>
    <s v="Underweight"/>
  </r>
  <r>
    <n v="28"/>
    <x v="1"/>
    <n v="55.1"/>
    <n v="1.79"/>
    <n v="192"/>
    <n v="159"/>
    <n v="67"/>
    <x v="49"/>
    <x v="565"/>
    <x v="0"/>
    <n v="17"/>
    <n v="2.7"/>
    <n v="5"/>
    <x v="0"/>
    <n v="17.2"/>
    <s v="Underweight"/>
  </r>
  <r>
    <n v="47"/>
    <x v="0"/>
    <n v="127.1"/>
    <n v="1.76"/>
    <n v="199"/>
    <n v="157"/>
    <n v="73"/>
    <x v="144"/>
    <x v="566"/>
    <x v="3"/>
    <n v="24.9"/>
    <n v="3"/>
    <n v="2"/>
    <x v="2"/>
    <n v="41.03"/>
    <s v="Obesity"/>
  </r>
  <r>
    <n v="48"/>
    <x v="1"/>
    <n v="69.099999999999994"/>
    <n v="1.6"/>
    <n v="191"/>
    <n v="166"/>
    <n v="53"/>
    <x v="33"/>
    <x v="567"/>
    <x v="3"/>
    <n v="26.1"/>
    <n v="2"/>
    <n v="4"/>
    <x v="1"/>
    <n v="26.99"/>
    <s v="Overweight"/>
  </r>
  <r>
    <n v="41"/>
    <x v="1"/>
    <n v="66.8"/>
    <n v="1.74"/>
    <n v="164"/>
    <n v="149"/>
    <n v="57"/>
    <x v="33"/>
    <x v="379"/>
    <x v="0"/>
    <n v="29.2"/>
    <n v="2.2999999999999998"/>
    <n v="3"/>
    <x v="2"/>
    <n v="22.06"/>
    <s v="Normal Weight"/>
  </r>
  <r>
    <n v="26"/>
    <x v="0"/>
    <n v="125.5"/>
    <n v="1.76"/>
    <n v="176"/>
    <n v="163"/>
    <n v="66"/>
    <x v="11"/>
    <x v="568"/>
    <x v="0"/>
    <n v="23.2"/>
    <n v="3.1"/>
    <n v="4"/>
    <x v="1"/>
    <n v="40.520000000000003"/>
    <s v="Obesity"/>
  </r>
  <r>
    <n v="20"/>
    <x v="1"/>
    <n v="71.3"/>
    <n v="1.58"/>
    <n v="167"/>
    <n v="167"/>
    <n v="54"/>
    <x v="53"/>
    <x v="569"/>
    <x v="1"/>
    <n v="25.4"/>
    <n v="1.5"/>
    <n v="3"/>
    <x v="1"/>
    <n v="28.56"/>
    <s v="Overweight"/>
  </r>
  <r>
    <n v="48"/>
    <x v="0"/>
    <n v="129.19999999999999"/>
    <n v="1.61"/>
    <n v="193"/>
    <n v="167"/>
    <n v="62"/>
    <x v="107"/>
    <x v="253"/>
    <x v="0"/>
    <n v="21.4"/>
    <n v="2.9"/>
    <n v="4"/>
    <x v="1"/>
    <n v="49.84"/>
    <s v="Obesity"/>
  </r>
  <r>
    <n v="57"/>
    <x v="0"/>
    <n v="96.3"/>
    <n v="1.86"/>
    <n v="168"/>
    <n v="146"/>
    <n v="74"/>
    <x v="94"/>
    <x v="358"/>
    <x v="3"/>
    <n v="27.6"/>
    <n v="2.2000000000000002"/>
    <n v="3"/>
    <x v="1"/>
    <n v="27.84"/>
    <s v="Overweight"/>
  </r>
  <r>
    <n v="54"/>
    <x v="1"/>
    <n v="67.5"/>
    <n v="1.54"/>
    <n v="182"/>
    <n v="140"/>
    <n v="50"/>
    <x v="129"/>
    <x v="570"/>
    <x v="2"/>
    <n v="25.2"/>
    <n v="1.5"/>
    <n v="3"/>
    <x v="2"/>
    <n v="28.46"/>
    <s v="Overweight"/>
  </r>
  <r>
    <n v="53"/>
    <x v="1"/>
    <n v="64.400000000000006"/>
    <n v="1.55"/>
    <n v="194"/>
    <n v="139"/>
    <n v="62"/>
    <x v="127"/>
    <x v="404"/>
    <x v="1"/>
    <n v="19.7"/>
    <n v="2.7"/>
    <n v="4"/>
    <x v="0"/>
    <n v="26.81"/>
    <s v="Overweight"/>
  </r>
  <r>
    <n v="41"/>
    <x v="1"/>
    <n v="64.900000000000006"/>
    <n v="1.57"/>
    <n v="166"/>
    <n v="123"/>
    <n v="53"/>
    <x v="29"/>
    <x v="571"/>
    <x v="1"/>
    <n v="25.9"/>
    <n v="2.4"/>
    <n v="4"/>
    <x v="1"/>
    <n v="26.33"/>
    <s v="Overweight"/>
  </r>
  <r>
    <n v="48"/>
    <x v="1"/>
    <n v="52.3"/>
    <n v="1.66"/>
    <n v="174"/>
    <n v="130"/>
    <n v="71"/>
    <x v="136"/>
    <x v="548"/>
    <x v="0"/>
    <n v="33"/>
    <n v="1.8"/>
    <n v="3"/>
    <x v="2"/>
    <n v="18.98"/>
    <s v="Normal Weight"/>
  </r>
  <r>
    <n v="23"/>
    <x v="1"/>
    <n v="56.7"/>
    <n v="1.55"/>
    <n v="179"/>
    <n v="132"/>
    <n v="73"/>
    <x v="82"/>
    <x v="262"/>
    <x v="2"/>
    <n v="34"/>
    <n v="1.9"/>
    <n v="4"/>
    <x v="1"/>
    <n v="23.6"/>
    <s v="Normal Weight"/>
  </r>
  <r>
    <n v="19"/>
    <x v="1"/>
    <n v="46.8"/>
    <n v="1.63"/>
    <n v="184"/>
    <n v="128"/>
    <n v="63"/>
    <x v="14"/>
    <x v="75"/>
    <x v="1"/>
    <n v="34.4"/>
    <n v="1.6"/>
    <n v="4"/>
    <x v="1"/>
    <n v="17.61"/>
    <s v="Underweight"/>
  </r>
  <r>
    <n v="37"/>
    <x v="1"/>
    <n v="70.3"/>
    <n v="1.77"/>
    <n v="162"/>
    <n v="123"/>
    <n v="52"/>
    <x v="69"/>
    <x v="572"/>
    <x v="3"/>
    <n v="33.700000000000003"/>
    <n v="1.7"/>
    <n v="2"/>
    <x v="2"/>
    <n v="22.44"/>
    <s v="Normal Weight"/>
  </r>
  <r>
    <n v="45"/>
    <x v="0"/>
    <n v="80.8"/>
    <n v="1.76"/>
    <n v="183"/>
    <n v="131"/>
    <n v="54"/>
    <x v="119"/>
    <x v="573"/>
    <x v="0"/>
    <n v="11.4"/>
    <n v="3.5"/>
    <n v="4"/>
    <x v="0"/>
    <n v="26.08"/>
    <s v="Overweight"/>
  </r>
  <r>
    <n v="28"/>
    <x v="1"/>
    <n v="56"/>
    <n v="1.5"/>
    <n v="193"/>
    <n v="128"/>
    <n v="56"/>
    <x v="114"/>
    <x v="574"/>
    <x v="3"/>
    <n v="16.7"/>
    <n v="2.7"/>
    <n v="5"/>
    <x v="0"/>
    <n v="24.89"/>
    <s v="Normal Weight"/>
  </r>
  <r>
    <n v="21"/>
    <x v="0"/>
    <n v="101.2"/>
    <n v="1.84"/>
    <n v="181"/>
    <n v="132"/>
    <n v="50"/>
    <x v="1"/>
    <x v="278"/>
    <x v="0"/>
    <n v="24.3"/>
    <n v="3.3"/>
    <n v="2"/>
    <x v="2"/>
    <n v="29.89"/>
    <s v="Overweight"/>
  </r>
  <r>
    <n v="32"/>
    <x v="1"/>
    <n v="56.6"/>
    <n v="1.57"/>
    <n v="170"/>
    <n v="167"/>
    <n v="72"/>
    <x v="131"/>
    <x v="535"/>
    <x v="1"/>
    <n v="15.7"/>
    <n v="2.7"/>
    <n v="4"/>
    <x v="0"/>
    <n v="22.96"/>
    <s v="Normal Weight"/>
  </r>
  <r>
    <n v="23"/>
    <x v="1"/>
    <n v="40.9"/>
    <n v="1.75"/>
    <n v="167"/>
    <n v="145"/>
    <n v="61"/>
    <x v="10"/>
    <x v="218"/>
    <x v="0"/>
    <n v="25.2"/>
    <n v="2.1"/>
    <n v="3"/>
    <x v="2"/>
    <n v="13.36"/>
    <s v="Underweight"/>
  </r>
  <r>
    <n v="47"/>
    <x v="0"/>
    <n v="127.8"/>
    <n v="1.65"/>
    <n v="198"/>
    <n v="157"/>
    <n v="60"/>
    <x v="104"/>
    <x v="184"/>
    <x v="2"/>
    <n v="28.7"/>
    <n v="3.5"/>
    <n v="2"/>
    <x v="2"/>
    <n v="46.94"/>
    <s v="Obesity"/>
  </r>
  <r>
    <n v="55"/>
    <x v="1"/>
    <n v="49.3"/>
    <n v="1.76"/>
    <n v="194"/>
    <n v="161"/>
    <n v="73"/>
    <x v="76"/>
    <x v="292"/>
    <x v="3"/>
    <n v="30.5"/>
    <n v="2"/>
    <n v="2"/>
    <x v="2"/>
    <n v="15.92"/>
    <s v="Underweight"/>
  </r>
  <r>
    <n v="19"/>
    <x v="1"/>
    <n v="64.3"/>
    <n v="1.63"/>
    <n v="197"/>
    <n v="132"/>
    <n v="57"/>
    <x v="55"/>
    <x v="575"/>
    <x v="2"/>
    <n v="18"/>
    <n v="2.7"/>
    <n v="5"/>
    <x v="0"/>
    <n v="24.2"/>
    <s v="Normal Weight"/>
  </r>
  <r>
    <n v="32"/>
    <x v="0"/>
    <n v="49.3"/>
    <n v="1.62"/>
    <n v="167"/>
    <n v="158"/>
    <n v="74"/>
    <x v="13"/>
    <x v="180"/>
    <x v="3"/>
    <n v="29.3"/>
    <n v="2.5"/>
    <n v="3"/>
    <x v="1"/>
    <n v="18.79"/>
    <s v="Normal Weight"/>
  </r>
  <r>
    <n v="28"/>
    <x v="1"/>
    <n v="63"/>
    <n v="1.62"/>
    <n v="196"/>
    <n v="147"/>
    <n v="55"/>
    <x v="80"/>
    <x v="121"/>
    <x v="3"/>
    <n v="31.7"/>
    <n v="1.9"/>
    <n v="2"/>
    <x v="2"/>
    <n v="24.01"/>
    <s v="Normal Weight"/>
  </r>
  <r>
    <n v="25"/>
    <x v="1"/>
    <n v="41.1"/>
    <n v="1.67"/>
    <n v="186"/>
    <n v="138"/>
    <n v="71"/>
    <x v="8"/>
    <x v="150"/>
    <x v="0"/>
    <n v="31.9"/>
    <n v="2.4"/>
    <n v="3"/>
    <x v="1"/>
    <n v="14.74"/>
    <s v="Underweight"/>
  </r>
  <r>
    <n v="43"/>
    <x v="1"/>
    <n v="40.5"/>
    <n v="1.74"/>
    <n v="187"/>
    <n v="143"/>
    <n v="51"/>
    <x v="19"/>
    <x v="541"/>
    <x v="1"/>
    <n v="32.9"/>
    <n v="2.2000000000000002"/>
    <n v="3"/>
    <x v="1"/>
    <n v="13.38"/>
    <s v="Underweight"/>
  </r>
  <r>
    <n v="22"/>
    <x v="0"/>
    <n v="71"/>
    <n v="1.62"/>
    <n v="199"/>
    <n v="138"/>
    <n v="68"/>
    <x v="135"/>
    <x v="576"/>
    <x v="1"/>
    <n v="21.2"/>
    <n v="3.5"/>
    <n v="2"/>
    <x v="2"/>
    <n v="27.05"/>
    <s v="Overweight"/>
  </r>
  <r>
    <n v="23"/>
    <x v="1"/>
    <n v="60.9"/>
    <n v="1.62"/>
    <n v="193"/>
    <n v="168"/>
    <n v="69"/>
    <x v="5"/>
    <x v="577"/>
    <x v="2"/>
    <n v="16.8"/>
    <n v="2.7"/>
    <n v="5"/>
    <x v="0"/>
    <n v="23.21"/>
    <s v="Normal Weight"/>
  </r>
  <r>
    <n v="43"/>
    <x v="1"/>
    <n v="64.7"/>
    <n v="1.66"/>
    <n v="191"/>
    <n v="132"/>
    <n v="69"/>
    <x v="122"/>
    <x v="578"/>
    <x v="0"/>
    <n v="19.8"/>
    <n v="2.7"/>
    <n v="4"/>
    <x v="0"/>
    <n v="23.48"/>
    <s v="Normal Weight"/>
  </r>
  <r>
    <n v="21"/>
    <x v="1"/>
    <n v="51"/>
    <n v="1.71"/>
    <n v="174"/>
    <n v="132"/>
    <n v="73"/>
    <x v="53"/>
    <x v="579"/>
    <x v="1"/>
    <n v="34.200000000000003"/>
    <n v="2.2000000000000002"/>
    <n v="3"/>
    <x v="1"/>
    <n v="17.440000000000001"/>
    <s v="Underweight"/>
  </r>
  <r>
    <n v="36"/>
    <x v="1"/>
    <n v="57.7"/>
    <n v="1.77"/>
    <n v="176"/>
    <n v="147"/>
    <n v="63"/>
    <x v="131"/>
    <x v="580"/>
    <x v="3"/>
    <n v="19.399999999999999"/>
    <n v="2.7"/>
    <n v="4"/>
    <x v="0"/>
    <n v="18.420000000000002"/>
    <s v="Underweight"/>
  </r>
  <r>
    <n v="37"/>
    <x v="0"/>
    <n v="76.900000000000006"/>
    <n v="1.82"/>
    <n v="192"/>
    <n v="121"/>
    <n v="50"/>
    <x v="6"/>
    <x v="341"/>
    <x v="3"/>
    <n v="24.5"/>
    <n v="2.8"/>
    <n v="4"/>
    <x v="1"/>
    <n v="23.22"/>
    <s v="Normal Weight"/>
  </r>
  <r>
    <n v="50"/>
    <x v="0"/>
    <n v="80.5"/>
    <n v="1.77"/>
    <n v="175"/>
    <n v="129"/>
    <n v="59"/>
    <x v="115"/>
    <x v="263"/>
    <x v="0"/>
    <n v="14.3"/>
    <n v="3.5"/>
    <n v="4"/>
    <x v="0"/>
    <n v="25.7"/>
    <s v="Overweight"/>
  </r>
  <r>
    <n v="37"/>
    <x v="1"/>
    <n v="73.3"/>
    <n v="1.74"/>
    <n v="188"/>
    <n v="141"/>
    <n v="65"/>
    <x v="8"/>
    <x v="581"/>
    <x v="2"/>
    <n v="25.5"/>
    <n v="2.4"/>
    <n v="3"/>
    <x v="1"/>
    <n v="24.21"/>
    <s v="Normal Weight"/>
  </r>
  <r>
    <n v="29"/>
    <x v="1"/>
    <n v="49"/>
    <n v="1.57"/>
    <n v="168"/>
    <n v="132"/>
    <n v="53"/>
    <x v="16"/>
    <x v="224"/>
    <x v="0"/>
    <n v="26.5"/>
    <n v="2.6"/>
    <n v="3"/>
    <x v="1"/>
    <n v="19.88"/>
    <s v="Normal Weight"/>
  </r>
  <r>
    <n v="18"/>
    <x v="0"/>
    <n v="114.5"/>
    <n v="1.97"/>
    <n v="192"/>
    <n v="128"/>
    <n v="60"/>
    <x v="8"/>
    <x v="317"/>
    <x v="2"/>
    <n v="24.1"/>
    <n v="2.6"/>
    <n v="3"/>
    <x v="2"/>
    <n v="29.5"/>
    <s v="Overweight"/>
  </r>
  <r>
    <n v="43"/>
    <x v="0"/>
    <n v="81"/>
    <n v="1.78"/>
    <n v="188"/>
    <n v="152"/>
    <n v="65"/>
    <x v="92"/>
    <x v="582"/>
    <x v="0"/>
    <n v="12.4"/>
    <n v="3.5"/>
    <n v="5"/>
    <x v="0"/>
    <n v="25.56"/>
    <s v="Overweight"/>
  </r>
  <r>
    <n v="31"/>
    <x v="1"/>
    <n v="53.5"/>
    <n v="1.76"/>
    <n v="172"/>
    <n v="133"/>
    <n v="69"/>
    <x v="74"/>
    <x v="128"/>
    <x v="3"/>
    <n v="27.6"/>
    <n v="1.8"/>
    <n v="4"/>
    <x v="1"/>
    <n v="17.27"/>
    <s v="Underweight"/>
  </r>
  <r>
    <n v="55"/>
    <x v="0"/>
    <n v="52.1"/>
    <n v="1.68"/>
    <n v="180"/>
    <n v="167"/>
    <n v="50"/>
    <x v="104"/>
    <x v="420"/>
    <x v="0"/>
    <n v="23.6"/>
    <n v="3"/>
    <n v="3"/>
    <x v="2"/>
    <n v="18.46"/>
    <s v="Underweight"/>
  </r>
  <r>
    <n v="54"/>
    <x v="1"/>
    <n v="70.099999999999994"/>
    <n v="1.52"/>
    <n v="180"/>
    <n v="139"/>
    <n v="65"/>
    <x v="134"/>
    <x v="497"/>
    <x v="1"/>
    <n v="26.6"/>
    <n v="2.1"/>
    <n v="2"/>
    <x v="2"/>
    <n v="30.34"/>
    <s v="Obesity"/>
  </r>
  <r>
    <n v="28"/>
    <x v="0"/>
    <n v="86.9"/>
    <n v="1.78"/>
    <n v="164"/>
    <n v="134"/>
    <n v="68"/>
    <x v="28"/>
    <x v="516"/>
    <x v="1"/>
    <n v="24.9"/>
    <n v="3.7"/>
    <n v="4"/>
    <x v="1"/>
    <n v="27.43"/>
    <s v="Overweight"/>
  </r>
  <r>
    <n v="53"/>
    <x v="0"/>
    <n v="73.400000000000006"/>
    <n v="1.76"/>
    <n v="169"/>
    <n v="151"/>
    <n v="70"/>
    <x v="58"/>
    <x v="208"/>
    <x v="0"/>
    <n v="27.9"/>
    <n v="2.8"/>
    <n v="3"/>
    <x v="1"/>
    <n v="23.7"/>
    <s v="Normal Weight"/>
  </r>
  <r>
    <n v="30"/>
    <x v="0"/>
    <n v="90"/>
    <n v="1.66"/>
    <n v="165"/>
    <n v="152"/>
    <n v="71"/>
    <x v="31"/>
    <x v="28"/>
    <x v="2"/>
    <n v="26.6"/>
    <n v="2.1"/>
    <n v="4"/>
    <x v="1"/>
    <n v="32.659999999999997"/>
    <s v="Obesity"/>
  </r>
  <r>
    <n v="20"/>
    <x v="0"/>
    <n v="85.7"/>
    <n v="1.92"/>
    <n v="172"/>
    <n v="136"/>
    <n v="58"/>
    <x v="71"/>
    <x v="458"/>
    <x v="2"/>
    <n v="10.5"/>
    <n v="3.5"/>
    <n v="5"/>
    <x v="0"/>
    <n v="23.25"/>
    <s v="Normal Weight"/>
  </r>
  <r>
    <n v="50"/>
    <x v="1"/>
    <n v="70.400000000000006"/>
    <n v="1.55"/>
    <n v="160"/>
    <n v="143"/>
    <n v="58"/>
    <x v="25"/>
    <x v="583"/>
    <x v="3"/>
    <n v="29.9"/>
    <n v="2.7"/>
    <n v="2"/>
    <x v="2"/>
    <n v="29.3"/>
    <s v="Overweight"/>
  </r>
  <r>
    <n v="23"/>
    <x v="0"/>
    <n v="57.7"/>
    <n v="1.71"/>
    <n v="179"/>
    <n v="149"/>
    <n v="58"/>
    <x v="11"/>
    <x v="503"/>
    <x v="3"/>
    <n v="27"/>
    <n v="3.4"/>
    <n v="3"/>
    <x v="1"/>
    <n v="19.73"/>
    <s v="Normal Weight"/>
  </r>
  <r>
    <n v="27"/>
    <x v="0"/>
    <n v="75.7"/>
    <n v="1.76"/>
    <n v="167"/>
    <n v="132"/>
    <n v="66"/>
    <x v="80"/>
    <x v="584"/>
    <x v="2"/>
    <n v="25.3"/>
    <n v="2.2999999999999998"/>
    <n v="3"/>
    <x v="2"/>
    <n v="24.44"/>
    <s v="Normal Weight"/>
  </r>
  <r>
    <n v="22"/>
    <x v="1"/>
    <n v="61.8"/>
    <n v="1.52"/>
    <n v="169"/>
    <n v="166"/>
    <n v="61"/>
    <x v="100"/>
    <x v="585"/>
    <x v="0"/>
    <n v="17"/>
    <n v="2.7"/>
    <n v="5"/>
    <x v="0"/>
    <n v="26.75"/>
    <s v="Overweight"/>
  </r>
  <r>
    <n v="40"/>
    <x v="0"/>
    <n v="80.3"/>
    <n v="1.76"/>
    <n v="168"/>
    <n v="167"/>
    <n v="74"/>
    <x v="109"/>
    <x v="586"/>
    <x v="3"/>
    <n v="13.1"/>
    <n v="3.5"/>
    <n v="5"/>
    <x v="0"/>
    <n v="25.92"/>
    <s v="Overweight"/>
  </r>
  <r>
    <n v="27"/>
    <x v="0"/>
    <n v="104.3"/>
    <n v="1.68"/>
    <n v="162"/>
    <n v="135"/>
    <n v="62"/>
    <x v="76"/>
    <x v="502"/>
    <x v="2"/>
    <n v="29.7"/>
    <n v="3.5"/>
    <n v="3"/>
    <x v="1"/>
    <n v="36.950000000000003"/>
    <s v="Obesity"/>
  </r>
  <r>
    <n v="19"/>
    <x v="1"/>
    <n v="65.7"/>
    <n v="1.58"/>
    <n v="170"/>
    <n v="121"/>
    <n v="57"/>
    <x v="85"/>
    <x v="1"/>
    <x v="2"/>
    <n v="25.9"/>
    <n v="1.9"/>
    <n v="3"/>
    <x v="1"/>
    <n v="26.32"/>
    <s v="Overweight"/>
  </r>
  <r>
    <n v="30"/>
    <x v="0"/>
    <n v="120.3"/>
    <n v="1.96"/>
    <n v="171"/>
    <n v="136"/>
    <n v="65"/>
    <x v="78"/>
    <x v="584"/>
    <x v="0"/>
    <n v="23.9"/>
    <n v="2.6"/>
    <n v="2"/>
    <x v="2"/>
    <n v="31.32"/>
    <s v="Obesity"/>
  </r>
  <r>
    <n v="57"/>
    <x v="1"/>
    <n v="51.9"/>
    <n v="1.57"/>
    <n v="169"/>
    <n v="151"/>
    <n v="67"/>
    <x v="95"/>
    <x v="230"/>
    <x v="1"/>
    <n v="29.1"/>
    <n v="2.6"/>
    <n v="3"/>
    <x v="1"/>
    <n v="21.06"/>
    <s v="Normal Weight"/>
  </r>
  <r>
    <n v="19"/>
    <x v="1"/>
    <n v="59.1"/>
    <n v="1.57"/>
    <n v="184"/>
    <n v="162"/>
    <n v="50"/>
    <x v="131"/>
    <x v="577"/>
    <x v="2"/>
    <n v="17.899999999999999"/>
    <n v="2.7"/>
    <n v="5"/>
    <x v="0"/>
    <n v="23.98"/>
    <s v="Normal Weight"/>
  </r>
  <r>
    <n v="37"/>
    <x v="1"/>
    <n v="66.900000000000006"/>
    <n v="1.75"/>
    <n v="184"/>
    <n v="127"/>
    <n v="50"/>
    <x v="82"/>
    <x v="253"/>
    <x v="3"/>
    <n v="26.5"/>
    <n v="2.1"/>
    <n v="4"/>
    <x v="1"/>
    <n v="21.84"/>
    <s v="Normal Weight"/>
  </r>
  <r>
    <n v="18"/>
    <x v="1"/>
    <n v="66.900000000000006"/>
    <n v="1.75"/>
    <n v="170"/>
    <n v="122"/>
    <n v="61"/>
    <x v="133"/>
    <x v="587"/>
    <x v="0"/>
    <n v="26.8"/>
    <n v="1.7"/>
    <n v="2"/>
    <x v="2"/>
    <n v="21.84"/>
    <s v="Normal Weight"/>
  </r>
  <r>
    <n v="54"/>
    <x v="0"/>
    <n v="78.7"/>
    <n v="1.66"/>
    <n v="195"/>
    <n v="131"/>
    <n v="55"/>
    <x v="24"/>
    <x v="363"/>
    <x v="0"/>
    <n v="22.9"/>
    <n v="2.6"/>
    <n v="3"/>
    <x v="1"/>
    <n v="28.56"/>
    <s v="Overweight"/>
  </r>
  <r>
    <n v="26"/>
    <x v="1"/>
    <n v="62.4"/>
    <n v="1.61"/>
    <n v="198"/>
    <n v="139"/>
    <n v="58"/>
    <x v="122"/>
    <x v="588"/>
    <x v="0"/>
    <n v="19.8"/>
    <n v="2.7"/>
    <n v="4"/>
    <x v="0"/>
    <n v="24.07"/>
    <s v="Normal Weight"/>
  </r>
  <r>
    <n v="34"/>
    <x v="0"/>
    <n v="102.1"/>
    <n v="1.71"/>
    <n v="185"/>
    <n v="135"/>
    <n v="72"/>
    <x v="108"/>
    <x v="230"/>
    <x v="1"/>
    <n v="27.3"/>
    <n v="3.2"/>
    <n v="2"/>
    <x v="2"/>
    <n v="34.92"/>
    <s v="Obesity"/>
  </r>
  <r>
    <n v="26"/>
    <x v="0"/>
    <n v="51.9"/>
    <n v="2"/>
    <n v="173"/>
    <n v="133"/>
    <n v="54"/>
    <x v="143"/>
    <x v="589"/>
    <x v="1"/>
    <n v="26.6"/>
    <n v="2.2999999999999998"/>
    <n v="2"/>
    <x v="2"/>
    <n v="12.97"/>
    <s v="Underweight"/>
  </r>
  <r>
    <n v="28"/>
    <x v="0"/>
    <n v="58.3"/>
    <n v="2"/>
    <n v="198"/>
    <n v="135"/>
    <n v="65"/>
    <x v="31"/>
    <x v="197"/>
    <x v="3"/>
    <n v="28.2"/>
    <n v="3"/>
    <n v="4"/>
    <x v="1"/>
    <n v="14.57"/>
    <s v="Underweight"/>
  </r>
  <r>
    <n v="32"/>
    <x v="0"/>
    <n v="89.8"/>
    <n v="1.92"/>
    <n v="199"/>
    <n v="168"/>
    <n v="67"/>
    <x v="59"/>
    <x v="590"/>
    <x v="3"/>
    <n v="10.6"/>
    <n v="3.5"/>
    <n v="4"/>
    <x v="0"/>
    <n v="24.36"/>
    <s v="Normal Weight"/>
  </r>
  <r>
    <n v="41"/>
    <x v="0"/>
    <n v="101.1"/>
    <n v="1.83"/>
    <n v="160"/>
    <n v="162"/>
    <n v="66"/>
    <x v="146"/>
    <x v="339"/>
    <x v="0"/>
    <n v="28.6"/>
    <n v="3.2"/>
    <n v="2"/>
    <x v="2"/>
    <n v="30.19"/>
    <s v="Obesity"/>
  </r>
  <r>
    <n v="55"/>
    <x v="0"/>
    <n v="118.6"/>
    <n v="1.72"/>
    <n v="163"/>
    <n v="168"/>
    <n v="67"/>
    <x v="104"/>
    <x v="481"/>
    <x v="3"/>
    <n v="25.9"/>
    <n v="2.6"/>
    <n v="3"/>
    <x v="2"/>
    <n v="40.090000000000003"/>
    <s v="Obesity"/>
  </r>
  <r>
    <n v="52"/>
    <x v="0"/>
    <n v="84.8"/>
    <n v="1.85"/>
    <n v="189"/>
    <n v="152"/>
    <n v="50"/>
    <x v="17"/>
    <x v="7"/>
    <x v="2"/>
    <n v="23.4"/>
    <n v="3.2"/>
    <n v="2"/>
    <x v="2"/>
    <n v="24.78"/>
    <s v="Normal Weight"/>
  </r>
  <r>
    <n v="47"/>
    <x v="0"/>
    <n v="80"/>
    <n v="1.77"/>
    <n v="171"/>
    <n v="149"/>
    <n v="68"/>
    <x v="129"/>
    <x v="591"/>
    <x v="1"/>
    <n v="28.2"/>
    <n v="3.5"/>
    <n v="3"/>
    <x v="2"/>
    <n v="25.54"/>
    <s v="Overweight"/>
  </r>
  <r>
    <n v="48"/>
    <x v="0"/>
    <n v="73.099999999999994"/>
    <n v="1.83"/>
    <n v="194"/>
    <n v="131"/>
    <n v="71"/>
    <x v="95"/>
    <x v="592"/>
    <x v="0"/>
    <n v="28"/>
    <n v="2.8"/>
    <n v="4"/>
    <x v="1"/>
    <n v="21.83"/>
    <s v="Normal Weight"/>
  </r>
  <r>
    <n v="22"/>
    <x v="0"/>
    <n v="117.3"/>
    <n v="1.68"/>
    <n v="172"/>
    <n v="134"/>
    <n v="57"/>
    <x v="12"/>
    <x v="353"/>
    <x v="0"/>
    <n v="28.5"/>
    <n v="2.7"/>
    <n v="3"/>
    <x v="1"/>
    <n v="41.56"/>
    <s v="Obesity"/>
  </r>
  <r>
    <n v="31"/>
    <x v="1"/>
    <n v="77.400000000000006"/>
    <n v="1.71"/>
    <n v="190"/>
    <n v="137"/>
    <n v="52"/>
    <x v="32"/>
    <x v="274"/>
    <x v="2"/>
    <n v="26.2"/>
    <n v="1.8"/>
    <n v="4"/>
    <x v="1"/>
    <n v="26.47"/>
    <s v="Overweight"/>
  </r>
  <r>
    <n v="28"/>
    <x v="1"/>
    <n v="72.900000000000006"/>
    <n v="1.67"/>
    <n v="197"/>
    <n v="147"/>
    <n v="74"/>
    <x v="15"/>
    <x v="398"/>
    <x v="2"/>
    <n v="34.700000000000003"/>
    <n v="2.2000000000000002"/>
    <n v="3"/>
    <x v="1"/>
    <n v="26.14"/>
    <s v="Overweight"/>
  </r>
  <r>
    <n v="26"/>
    <x v="1"/>
    <n v="71.2"/>
    <n v="1.5"/>
    <n v="182"/>
    <n v="142"/>
    <n v="54"/>
    <x v="11"/>
    <x v="33"/>
    <x v="2"/>
    <n v="34.6"/>
    <n v="2.6"/>
    <n v="2"/>
    <x v="2"/>
    <n v="31.64"/>
    <s v="Obesity"/>
  </r>
  <r>
    <n v="51"/>
    <x v="0"/>
    <n v="88.2"/>
    <n v="1.62"/>
    <n v="163"/>
    <n v="133"/>
    <n v="72"/>
    <x v="120"/>
    <x v="593"/>
    <x v="2"/>
    <n v="11.8"/>
    <n v="3.5"/>
    <n v="4"/>
    <x v="0"/>
    <n v="33.61"/>
    <s v="Obesity"/>
  </r>
  <r>
    <n v="29"/>
    <x v="1"/>
    <n v="75.599999999999994"/>
    <n v="1.8"/>
    <n v="175"/>
    <n v="149"/>
    <n v="57"/>
    <x v="34"/>
    <x v="594"/>
    <x v="0"/>
    <n v="25.7"/>
    <n v="1.9"/>
    <n v="4"/>
    <x v="1"/>
    <n v="23.33"/>
    <s v="Normal Weight"/>
  </r>
  <r>
    <n v="52"/>
    <x v="1"/>
    <n v="57.9"/>
    <n v="1.56"/>
    <n v="166"/>
    <n v="152"/>
    <n v="68"/>
    <x v="97"/>
    <x v="595"/>
    <x v="1"/>
    <n v="15.8"/>
    <n v="2.7"/>
    <n v="4"/>
    <x v="0"/>
    <n v="23.79"/>
    <s v="Normal Weight"/>
  </r>
  <r>
    <n v="52"/>
    <x v="1"/>
    <n v="70.599999999999994"/>
    <n v="1.58"/>
    <n v="181"/>
    <n v="164"/>
    <n v="67"/>
    <x v="73"/>
    <x v="368"/>
    <x v="1"/>
    <n v="34.9"/>
    <n v="2"/>
    <n v="3"/>
    <x v="1"/>
    <n v="28.28"/>
    <s v="Overweight"/>
  </r>
  <r>
    <n v="18"/>
    <x v="0"/>
    <n v="118.6"/>
    <n v="1.64"/>
    <n v="188"/>
    <n v="134"/>
    <n v="67"/>
    <x v="133"/>
    <x v="498"/>
    <x v="2"/>
    <n v="25.6"/>
    <n v="2.7"/>
    <n v="3"/>
    <x v="2"/>
    <n v="44.1"/>
    <s v="Obesity"/>
  </r>
  <r>
    <n v="57"/>
    <x v="0"/>
    <n v="55.7"/>
    <n v="1.99"/>
    <n v="170"/>
    <n v="126"/>
    <n v="70"/>
    <x v="15"/>
    <x v="408"/>
    <x v="3"/>
    <n v="23.6"/>
    <n v="3"/>
    <n v="3"/>
    <x v="1"/>
    <n v="14.07"/>
    <s v="Underweight"/>
  </r>
  <r>
    <n v="39"/>
    <x v="0"/>
    <n v="102.3"/>
    <n v="1.94"/>
    <n v="192"/>
    <n v="134"/>
    <n v="50"/>
    <x v="50"/>
    <x v="437"/>
    <x v="0"/>
    <n v="22.9"/>
    <n v="2.4"/>
    <n v="3"/>
    <x v="2"/>
    <n v="27.18"/>
    <s v="Overweight"/>
  </r>
  <r>
    <n v="46"/>
    <x v="0"/>
    <n v="72.599999999999994"/>
    <n v="1.87"/>
    <n v="188"/>
    <n v="161"/>
    <n v="64"/>
    <x v="34"/>
    <x v="596"/>
    <x v="1"/>
    <n v="22.6"/>
    <n v="3.4"/>
    <n v="4"/>
    <x v="1"/>
    <n v="20.76"/>
    <s v="Normal Weight"/>
  </r>
  <r>
    <n v="25"/>
    <x v="1"/>
    <n v="63.8"/>
    <n v="1.68"/>
    <n v="198"/>
    <n v="165"/>
    <n v="67"/>
    <x v="142"/>
    <x v="597"/>
    <x v="2"/>
    <n v="31.6"/>
    <n v="1.9"/>
    <n v="2"/>
    <x v="2"/>
    <n v="22.6"/>
    <s v="Normal Weight"/>
  </r>
  <r>
    <n v="28"/>
    <x v="1"/>
    <n v="67.3"/>
    <n v="1.67"/>
    <n v="171"/>
    <n v="157"/>
    <n v="74"/>
    <x v="138"/>
    <x v="465"/>
    <x v="3"/>
    <n v="29.2"/>
    <n v="2.2999999999999998"/>
    <n v="3"/>
    <x v="2"/>
    <n v="24.13"/>
    <s v="Normal Weight"/>
  </r>
  <r>
    <n v="58"/>
    <x v="1"/>
    <n v="59.3"/>
    <n v="1.58"/>
    <n v="166"/>
    <n v="165"/>
    <n v="56"/>
    <x v="47"/>
    <x v="598"/>
    <x v="3"/>
    <n v="19.8"/>
    <n v="2.7"/>
    <n v="4"/>
    <x v="0"/>
    <n v="23.75"/>
    <s v="Normal Weight"/>
  </r>
  <r>
    <n v="54"/>
    <x v="1"/>
    <n v="70.7"/>
    <n v="1.57"/>
    <n v="198"/>
    <n v="163"/>
    <n v="65"/>
    <x v="36"/>
    <x v="48"/>
    <x v="2"/>
    <n v="31.8"/>
    <n v="2.1"/>
    <n v="3"/>
    <x v="2"/>
    <n v="28.68"/>
    <s v="Overweight"/>
  </r>
  <r>
    <n v="31"/>
    <x v="0"/>
    <n v="86.9"/>
    <n v="1.69"/>
    <n v="185"/>
    <n v="130"/>
    <n v="65"/>
    <x v="71"/>
    <x v="599"/>
    <x v="0"/>
    <n v="14"/>
    <n v="3.5"/>
    <n v="4"/>
    <x v="0"/>
    <n v="30.43"/>
    <s v="Obesity"/>
  </r>
  <r>
    <n v="47"/>
    <x v="0"/>
    <n v="98.2"/>
    <n v="1.9"/>
    <n v="199"/>
    <n v="148"/>
    <n v="64"/>
    <x v="134"/>
    <x v="600"/>
    <x v="1"/>
    <n v="22.9"/>
    <n v="3"/>
    <n v="3"/>
    <x v="2"/>
    <n v="27.2"/>
    <s v="Overweight"/>
  </r>
  <r>
    <n v="52"/>
    <x v="0"/>
    <n v="63.6"/>
    <n v="1.62"/>
    <n v="168"/>
    <n v="150"/>
    <n v="55"/>
    <x v="1"/>
    <x v="541"/>
    <x v="3"/>
    <n v="20.8"/>
    <n v="2.2999999999999998"/>
    <n v="4"/>
    <x v="1"/>
    <n v="24.23"/>
    <s v="Normal Weight"/>
  </r>
  <r>
    <n v="38"/>
    <x v="1"/>
    <n v="45.2"/>
    <n v="1.68"/>
    <n v="193"/>
    <n v="144"/>
    <n v="58"/>
    <x v="69"/>
    <x v="601"/>
    <x v="1"/>
    <n v="29.9"/>
    <n v="2.4"/>
    <n v="3"/>
    <x v="1"/>
    <n v="16.010000000000002"/>
    <s v="Underweight"/>
  </r>
  <r>
    <n v="54"/>
    <x v="0"/>
    <n v="117.2"/>
    <n v="1.62"/>
    <n v="172"/>
    <n v="143"/>
    <n v="56"/>
    <x v="29"/>
    <x v="602"/>
    <x v="1"/>
    <n v="23.1"/>
    <n v="2.2999999999999998"/>
    <n v="4"/>
    <x v="1"/>
    <n v="44.66"/>
    <s v="Obesity"/>
  </r>
  <r>
    <n v="22"/>
    <x v="0"/>
    <n v="107.4"/>
    <n v="1.74"/>
    <n v="195"/>
    <n v="138"/>
    <n v="63"/>
    <x v="33"/>
    <x v="603"/>
    <x v="3"/>
    <n v="22"/>
    <n v="2.2000000000000002"/>
    <n v="2"/>
    <x v="2"/>
    <n v="35.47"/>
    <s v="Obesity"/>
  </r>
  <r>
    <n v="36"/>
    <x v="1"/>
    <n v="59.1"/>
    <n v="1.78"/>
    <n v="184"/>
    <n v="121"/>
    <n v="60"/>
    <x v="124"/>
    <x v="604"/>
    <x v="2"/>
    <n v="34.5"/>
    <n v="2.2000000000000002"/>
    <n v="2"/>
    <x v="2"/>
    <n v="18.649999999999999"/>
    <s v="Normal Weight"/>
  </r>
  <r>
    <n v="31"/>
    <x v="1"/>
    <n v="53.3"/>
    <n v="1.64"/>
    <n v="183"/>
    <n v="141"/>
    <n v="70"/>
    <x v="121"/>
    <x v="605"/>
    <x v="3"/>
    <n v="29.4"/>
    <n v="2.4"/>
    <n v="3"/>
    <x v="2"/>
    <n v="19.82"/>
    <s v="Normal Weight"/>
  </r>
  <r>
    <n v="43"/>
    <x v="0"/>
    <n v="46.2"/>
    <n v="1.63"/>
    <n v="176"/>
    <n v="139"/>
    <n v="65"/>
    <x v="13"/>
    <x v="606"/>
    <x v="3"/>
    <n v="21.7"/>
    <n v="2.1"/>
    <n v="2"/>
    <x v="2"/>
    <n v="17.39"/>
    <s v="Underweight"/>
  </r>
  <r>
    <n v="21"/>
    <x v="0"/>
    <n v="67"/>
    <n v="1.61"/>
    <n v="161"/>
    <n v="152"/>
    <n v="74"/>
    <x v="31"/>
    <x v="28"/>
    <x v="0"/>
    <n v="22"/>
    <n v="2.1"/>
    <n v="3"/>
    <x v="1"/>
    <n v="25.85"/>
    <s v="Overweight"/>
  </r>
  <r>
    <n v="42"/>
    <x v="0"/>
    <n v="86.3"/>
    <n v="1.77"/>
    <n v="172"/>
    <n v="127"/>
    <n v="55"/>
    <x v="127"/>
    <x v="607"/>
    <x v="1"/>
    <n v="11.4"/>
    <n v="3.5"/>
    <n v="4"/>
    <x v="0"/>
    <n v="27.55"/>
    <s v="Overweight"/>
  </r>
  <r>
    <n v="59"/>
    <x v="0"/>
    <n v="85.5"/>
    <n v="1.67"/>
    <n v="190"/>
    <n v="144"/>
    <n v="71"/>
    <x v="49"/>
    <x v="62"/>
    <x v="2"/>
    <n v="15"/>
    <n v="3.5"/>
    <n v="5"/>
    <x v="0"/>
    <n v="30.66"/>
    <s v="Obesity"/>
  </r>
  <r>
    <n v="42"/>
    <x v="0"/>
    <n v="70.2"/>
    <n v="1.87"/>
    <n v="188"/>
    <n v="165"/>
    <n v="65"/>
    <x v="82"/>
    <x v="608"/>
    <x v="1"/>
    <n v="22.7"/>
    <n v="3.4"/>
    <n v="3"/>
    <x v="1"/>
    <n v="20.07"/>
    <s v="Normal Weight"/>
  </r>
  <r>
    <n v="35"/>
    <x v="0"/>
    <n v="127.1"/>
    <n v="1.62"/>
    <n v="187"/>
    <n v="128"/>
    <n v="69"/>
    <x v="73"/>
    <x v="383"/>
    <x v="3"/>
    <n v="23.3"/>
    <n v="3.4"/>
    <n v="4"/>
    <x v="1"/>
    <n v="48.43"/>
    <s v="Obesity"/>
  </r>
  <r>
    <n v="57"/>
    <x v="1"/>
    <n v="75.599999999999994"/>
    <n v="1.67"/>
    <n v="186"/>
    <n v="153"/>
    <n v="65"/>
    <x v="95"/>
    <x v="609"/>
    <x v="2"/>
    <n v="31.6"/>
    <n v="1.8"/>
    <n v="3"/>
    <x v="1"/>
    <n v="27.11"/>
    <s v="Overweight"/>
  </r>
  <r>
    <n v="25"/>
    <x v="1"/>
    <n v="62.6"/>
    <n v="1.65"/>
    <n v="174"/>
    <n v="142"/>
    <n v="61"/>
    <x v="37"/>
    <x v="157"/>
    <x v="2"/>
    <n v="27.9"/>
    <n v="2.2000000000000002"/>
    <n v="3"/>
    <x v="2"/>
    <n v="22.99"/>
    <s v="Normal Weight"/>
  </r>
  <r>
    <n v="56"/>
    <x v="1"/>
    <n v="55.7"/>
    <n v="1.53"/>
    <n v="190"/>
    <n v="124"/>
    <n v="66"/>
    <x v="81"/>
    <x v="284"/>
    <x v="2"/>
    <n v="16.100000000000001"/>
    <n v="2.7"/>
    <n v="5"/>
    <x v="0"/>
    <n v="23.79"/>
    <s v="Normal Weight"/>
  </r>
  <r>
    <n v="57"/>
    <x v="0"/>
    <n v="96.1"/>
    <n v="1.74"/>
    <n v="199"/>
    <n v="144"/>
    <n v="54"/>
    <x v="101"/>
    <x v="610"/>
    <x v="2"/>
    <n v="21.6"/>
    <n v="2.8"/>
    <n v="3"/>
    <x v="1"/>
    <n v="31.74"/>
    <s v="Obesity"/>
  </r>
  <r>
    <n v="31"/>
    <x v="1"/>
    <n v="76.7"/>
    <n v="1.62"/>
    <n v="174"/>
    <n v="127"/>
    <n v="74"/>
    <x v="68"/>
    <x v="1"/>
    <x v="0"/>
    <n v="28.1"/>
    <n v="2.2999999999999998"/>
    <n v="4"/>
    <x v="1"/>
    <n v="29.23"/>
    <s v="Overweight"/>
  </r>
  <r>
    <n v="49"/>
    <x v="0"/>
    <n v="57.2"/>
    <n v="1.89"/>
    <n v="192"/>
    <n v="135"/>
    <n v="62"/>
    <x v="36"/>
    <x v="482"/>
    <x v="2"/>
    <n v="21.1"/>
    <n v="3.5"/>
    <n v="2"/>
    <x v="2"/>
    <n v="16.010000000000002"/>
    <s v="Underweight"/>
  </r>
  <r>
    <n v="55"/>
    <x v="0"/>
    <n v="69.900000000000006"/>
    <n v="1.81"/>
    <n v="179"/>
    <n v="167"/>
    <n v="57"/>
    <x v="37"/>
    <x v="341"/>
    <x v="3"/>
    <n v="20.2"/>
    <n v="2.1"/>
    <n v="4"/>
    <x v="1"/>
    <n v="21.34"/>
    <s v="Normal Weight"/>
  </r>
  <r>
    <n v="50"/>
    <x v="1"/>
    <n v="67.900000000000006"/>
    <n v="1.77"/>
    <n v="171"/>
    <n v="164"/>
    <n v="73"/>
    <x v="8"/>
    <x v="611"/>
    <x v="0"/>
    <n v="33"/>
    <n v="2.4"/>
    <n v="3"/>
    <x v="1"/>
    <n v="21.67"/>
    <s v="Normal Weight"/>
  </r>
  <r>
    <n v="40"/>
    <x v="0"/>
    <n v="87.9"/>
    <n v="1.87"/>
    <n v="196"/>
    <n v="134"/>
    <n v="54"/>
    <x v="139"/>
    <x v="612"/>
    <x v="3"/>
    <n v="10.7"/>
    <n v="3.5"/>
    <n v="5"/>
    <x v="0"/>
    <n v="25.14"/>
    <s v="Overweight"/>
  </r>
  <r>
    <n v="32"/>
    <x v="0"/>
    <n v="102.8"/>
    <n v="1.98"/>
    <n v="168"/>
    <n v="120"/>
    <n v="61"/>
    <x v="12"/>
    <x v="428"/>
    <x v="3"/>
    <n v="27.8"/>
    <n v="2.8"/>
    <n v="3"/>
    <x v="1"/>
    <n v="26.22"/>
    <s v="Overweight"/>
  </r>
  <r>
    <n v="50"/>
    <x v="1"/>
    <n v="51.8"/>
    <n v="1.5"/>
    <n v="182"/>
    <n v="141"/>
    <n v="58"/>
    <x v="31"/>
    <x v="327"/>
    <x v="1"/>
    <n v="33"/>
    <n v="2.2000000000000002"/>
    <n v="3"/>
    <x v="2"/>
    <n v="23.02"/>
    <s v="Normal Weight"/>
  </r>
  <r>
    <n v="42"/>
    <x v="1"/>
    <n v="57.7"/>
    <n v="1.57"/>
    <n v="167"/>
    <n v="122"/>
    <n v="52"/>
    <x v="100"/>
    <x v="336"/>
    <x v="2"/>
    <n v="17.7"/>
    <n v="2.7"/>
    <n v="4"/>
    <x v="0"/>
    <n v="23.41"/>
    <s v="Normal Weight"/>
  </r>
  <r>
    <n v="34"/>
    <x v="1"/>
    <n v="66.5"/>
    <n v="1.69"/>
    <n v="191"/>
    <n v="157"/>
    <n v="52"/>
    <x v="42"/>
    <x v="613"/>
    <x v="2"/>
    <n v="28.1"/>
    <n v="2.2999999999999998"/>
    <n v="3"/>
    <x v="2"/>
    <n v="23.28"/>
    <s v="Normal Weight"/>
  </r>
  <r>
    <n v="50"/>
    <x v="0"/>
    <n v="95.4"/>
    <n v="1.61"/>
    <n v="173"/>
    <n v="133"/>
    <n v="50"/>
    <x v="62"/>
    <x v="275"/>
    <x v="3"/>
    <n v="21.5"/>
    <n v="3.6"/>
    <n v="4"/>
    <x v="1"/>
    <n v="36.799999999999997"/>
    <s v="Obesity"/>
  </r>
  <r>
    <n v="19"/>
    <x v="1"/>
    <n v="69.2"/>
    <n v="1.6"/>
    <n v="186"/>
    <n v="155"/>
    <n v="74"/>
    <x v="21"/>
    <x v="390"/>
    <x v="2"/>
    <n v="32.4"/>
    <n v="1.6"/>
    <n v="3"/>
    <x v="2"/>
    <n v="27.03"/>
    <s v="Overweight"/>
  </r>
  <r>
    <n v="31"/>
    <x v="1"/>
    <n v="66.599999999999994"/>
    <n v="1.67"/>
    <n v="184"/>
    <n v="137"/>
    <n v="71"/>
    <x v="73"/>
    <x v="213"/>
    <x v="0"/>
    <n v="31"/>
    <n v="1.5"/>
    <n v="4"/>
    <x v="1"/>
    <n v="23.88"/>
    <s v="Normal Weight"/>
  </r>
  <r>
    <n v="57"/>
    <x v="0"/>
    <n v="83.4"/>
    <n v="1.65"/>
    <n v="172"/>
    <n v="166"/>
    <n v="67"/>
    <x v="90"/>
    <x v="614"/>
    <x v="1"/>
    <n v="13.3"/>
    <n v="3.5"/>
    <n v="4"/>
    <x v="0"/>
    <n v="30.63"/>
    <s v="Obesity"/>
  </r>
  <r>
    <n v="57"/>
    <x v="1"/>
    <n v="43.8"/>
    <n v="1.75"/>
    <n v="180"/>
    <n v="160"/>
    <n v="73"/>
    <x v="68"/>
    <x v="567"/>
    <x v="2"/>
    <n v="25.1"/>
    <n v="1.7"/>
    <n v="2"/>
    <x v="2"/>
    <n v="14.3"/>
    <s v="Underweight"/>
  </r>
  <r>
    <n v="56"/>
    <x v="1"/>
    <n v="64.2"/>
    <n v="1.69"/>
    <n v="190"/>
    <n v="137"/>
    <n v="61"/>
    <x v="49"/>
    <x v="615"/>
    <x v="2"/>
    <n v="19.600000000000001"/>
    <n v="2.7"/>
    <n v="5"/>
    <x v="0"/>
    <n v="22.48"/>
    <s v="Normal Weight"/>
  </r>
  <r>
    <n v="23"/>
    <x v="1"/>
    <n v="44.1"/>
    <n v="1.62"/>
    <n v="196"/>
    <n v="122"/>
    <n v="58"/>
    <x v="61"/>
    <x v="442"/>
    <x v="0"/>
    <n v="25.7"/>
    <n v="2.7"/>
    <n v="2"/>
    <x v="2"/>
    <n v="16.8"/>
    <s v="Underweight"/>
  </r>
  <r>
    <n v="23"/>
    <x v="0"/>
    <n v="87.3"/>
    <n v="1.91"/>
    <n v="164"/>
    <n v="129"/>
    <n v="58"/>
    <x v="55"/>
    <x v="616"/>
    <x v="1"/>
    <n v="11.8"/>
    <n v="3.5"/>
    <n v="5"/>
    <x v="0"/>
    <n v="23.93"/>
    <s v="Normal Weight"/>
  </r>
  <r>
    <n v="20"/>
    <x v="0"/>
    <n v="55"/>
    <n v="1.6"/>
    <n v="172"/>
    <n v="168"/>
    <n v="67"/>
    <x v="20"/>
    <x v="617"/>
    <x v="0"/>
    <n v="24"/>
    <n v="3.2"/>
    <n v="4"/>
    <x v="1"/>
    <n v="21.48"/>
    <s v="Normal Weight"/>
  </r>
  <r>
    <n v="24"/>
    <x v="0"/>
    <n v="87.1"/>
    <n v="1.74"/>
    <n v="187"/>
    <n v="158"/>
    <n v="67"/>
    <x v="90"/>
    <x v="618"/>
    <x v="3"/>
    <n v="10"/>
    <n v="3.5"/>
    <n v="4"/>
    <x v="0"/>
    <n v="28.77"/>
    <s v="Overweight"/>
  </r>
  <r>
    <n v="25"/>
    <x v="0"/>
    <n v="66.599999999999994"/>
    <n v="1.61"/>
    <n v="184"/>
    <n v="166"/>
    <n v="56"/>
    <x v="82"/>
    <x v="619"/>
    <x v="3"/>
    <n v="25"/>
    <n v="3"/>
    <n v="2"/>
    <x v="2"/>
    <n v="25.69"/>
    <s v="Overweight"/>
  </r>
  <r>
    <n v="59"/>
    <x v="1"/>
    <n v="60.4"/>
    <n v="1.76"/>
    <n v="194"/>
    <n v="120"/>
    <n v="53"/>
    <x v="71"/>
    <x v="181"/>
    <x v="2"/>
    <n v="18.8"/>
    <n v="2.7"/>
    <n v="5"/>
    <x v="0"/>
    <n v="19.5"/>
    <s v="Normal Weight"/>
  </r>
  <r>
    <n v="32"/>
    <x v="0"/>
    <n v="126.4"/>
    <n v="1.83"/>
    <n v="198"/>
    <n v="146"/>
    <n v="62"/>
    <x v="94"/>
    <x v="1"/>
    <x v="1"/>
    <n v="28.2"/>
    <n v="2.1"/>
    <n v="3"/>
    <x v="1"/>
    <n v="37.74"/>
    <s v="Obesity"/>
  </r>
  <r>
    <n v="46"/>
    <x v="0"/>
    <n v="88.7"/>
    <n v="1.63"/>
    <n v="166"/>
    <n v="146"/>
    <n v="66"/>
    <x v="143"/>
    <x v="620"/>
    <x v="3"/>
    <n v="28.8"/>
    <n v="3.5"/>
    <n v="2"/>
    <x v="2"/>
    <n v="33.380000000000003"/>
    <s v="Obesity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3">
  <r>
    <n v="1"/>
    <s v="Kolkata"/>
    <n v="56"/>
    <s v="Male"/>
    <n v="88.3"/>
    <n v="1.71"/>
    <n v="180"/>
    <n v="157"/>
    <n v="60"/>
    <n v="1.69"/>
    <n v="1313"/>
    <x v="0"/>
    <n v="12.6"/>
    <n v="3.5"/>
    <x v="0"/>
    <n v="3"/>
    <n v="30.2"/>
    <s v="Obesity"/>
    <n v="776.92307692307691"/>
  </r>
  <r>
    <n v="2"/>
    <s v="Hyderabad"/>
    <n v="46"/>
    <s v="Female"/>
    <n v="74.900000000000006"/>
    <n v="1.53"/>
    <n v="179"/>
    <n v="151"/>
    <n v="66"/>
    <n v="1.3"/>
    <n v="883"/>
    <x v="1"/>
    <n v="33.9"/>
    <n v="2.1"/>
    <x v="0"/>
    <n v="2"/>
    <n v="32"/>
    <s v="Obesity"/>
    <n v="679.23076923076917"/>
  </r>
  <r>
    <n v="3"/>
    <s v="Ahmedabad"/>
    <n v="32"/>
    <s v="Female"/>
    <n v="68.099999999999994"/>
    <n v="1.66"/>
    <n v="167"/>
    <n v="122"/>
    <n v="54"/>
    <n v="1.1100000000000001"/>
    <n v="677"/>
    <x v="2"/>
    <n v="33.4"/>
    <n v="2.2999999999999998"/>
    <x v="0"/>
    <n v="2"/>
    <n v="24.71"/>
    <s v="Normal Weight"/>
    <n v="609.90990990990986"/>
  </r>
  <r>
    <n v="4"/>
    <s v="Pune"/>
    <n v="25"/>
    <s v="Male"/>
    <n v="53.2"/>
    <n v="1.7"/>
    <n v="190"/>
    <n v="164"/>
    <n v="56"/>
    <n v="0.59"/>
    <n v="532"/>
    <x v="3"/>
    <n v="28.8"/>
    <n v="2.1"/>
    <x v="1"/>
    <n v="1"/>
    <n v="18.41"/>
    <s v="Underweight"/>
    <n v="901.69491525423734"/>
  </r>
  <r>
    <n v="5"/>
    <s v="Kolkata"/>
    <n v="38"/>
    <s v="Male"/>
    <n v="46.1"/>
    <n v="1.79"/>
    <n v="188"/>
    <n v="158"/>
    <n v="68"/>
    <n v="0.64"/>
    <n v="556"/>
    <x v="3"/>
    <n v="29.2"/>
    <n v="2.8"/>
    <x v="1"/>
    <n v="1"/>
    <n v="14.39"/>
    <s v="Underweight"/>
    <n v="868.75"/>
  </r>
  <r>
    <n v="6"/>
    <s v="Noida"/>
    <n v="56"/>
    <s v="Female"/>
    <n v="58"/>
    <n v="1.68"/>
    <n v="168"/>
    <n v="156"/>
    <n v="74"/>
    <n v="1.59"/>
    <n v="1116"/>
    <x v="1"/>
    <n v="15.5"/>
    <n v="2.7"/>
    <x v="2"/>
    <n v="3"/>
    <n v="20.55"/>
    <s v="Normal Weight"/>
    <n v="701.88679245283015"/>
  </r>
  <r>
    <n v="7"/>
    <s v="Bengaluru"/>
    <n v="36"/>
    <s v="Male"/>
    <n v="70.3"/>
    <n v="1.72"/>
    <n v="174"/>
    <n v="169"/>
    <n v="73"/>
    <n v="1.49"/>
    <n v="1385"/>
    <x v="2"/>
    <n v="21.3"/>
    <n v="2.2999999999999998"/>
    <x v="1"/>
    <n v="2"/>
    <n v="23.76"/>
    <s v="Normal Weight"/>
    <n v="929.53020134228188"/>
  </r>
  <r>
    <n v="8"/>
    <s v="Kolkata"/>
    <n v="40"/>
    <s v="Female"/>
    <n v="69.7"/>
    <n v="1.51"/>
    <n v="189"/>
    <n v="141"/>
    <n v="64"/>
    <n v="1.27"/>
    <n v="895"/>
    <x v="2"/>
    <n v="30.6"/>
    <n v="1.9"/>
    <x v="1"/>
    <n v="2"/>
    <n v="30.57"/>
    <s v="Obesity"/>
    <n v="704.72440944881885"/>
  </r>
  <r>
    <n v="9"/>
    <s v="Ahmedabad"/>
    <n v="28"/>
    <s v="Male"/>
    <n v="121.7"/>
    <n v="1.94"/>
    <n v="185"/>
    <n v="127"/>
    <n v="52"/>
    <n v="1.03"/>
    <n v="719"/>
    <x v="3"/>
    <n v="28.9"/>
    <n v="2.6"/>
    <x v="0"/>
    <n v="2"/>
    <n v="32.340000000000003"/>
    <s v="Obesity"/>
    <n v="698.05825242718447"/>
  </r>
  <r>
    <n v="10"/>
    <s v="Pune"/>
    <n v="28"/>
    <s v="Male"/>
    <n v="101.8"/>
    <n v="1.84"/>
    <n v="169"/>
    <n v="136"/>
    <n v="64"/>
    <n v="1.08"/>
    <n v="808"/>
    <x v="2"/>
    <n v="29.7"/>
    <n v="2.7"/>
    <x v="1"/>
    <n v="1"/>
    <n v="30.07"/>
    <s v="Obesity"/>
    <n v="748.14814814814815"/>
  </r>
  <r>
    <n v="11"/>
    <s v="Hyderabad"/>
    <n v="41"/>
    <s v="Male"/>
    <n v="120.8"/>
    <n v="1.67"/>
    <n v="188"/>
    <n v="146"/>
    <n v="54"/>
    <n v="0.82"/>
    <n v="593"/>
    <x v="1"/>
    <n v="20.5"/>
    <n v="3"/>
    <x v="3"/>
    <n v="1"/>
    <n v="43.31"/>
    <s v="Obesity"/>
    <n v="723.17073170731715"/>
  </r>
  <r>
    <n v="12"/>
    <s v="Ahmedabad"/>
    <n v="53"/>
    <s v="Male"/>
    <n v="51.7"/>
    <n v="1.7"/>
    <n v="175"/>
    <n v="152"/>
    <n v="72"/>
    <n v="1.1499999999999999"/>
    <n v="865"/>
    <x v="1"/>
    <n v="23.6"/>
    <n v="3.5"/>
    <x v="1"/>
    <n v="2"/>
    <n v="17.89"/>
    <s v="Underweight"/>
    <n v="752.17391304347836"/>
  </r>
  <r>
    <n v="13"/>
    <s v="Ahmedabad"/>
    <n v="57"/>
    <s v="Male"/>
    <n v="112.5"/>
    <n v="1.61"/>
    <n v="195"/>
    <n v="165"/>
    <n v="61"/>
    <n v="1.24"/>
    <n v="1013"/>
    <x v="2"/>
    <n v="22.1"/>
    <n v="2.7"/>
    <x v="1"/>
    <n v="2"/>
    <n v="43.4"/>
    <s v="Obesity"/>
    <n v="816.9354838709678"/>
  </r>
  <r>
    <n v="14"/>
    <s v="Bengaluru"/>
    <n v="41"/>
    <s v="Male"/>
    <n v="94.5"/>
    <n v="2"/>
    <n v="179"/>
    <n v="136"/>
    <n v="69"/>
    <n v="1.18"/>
    <n v="794"/>
    <x v="1"/>
    <n v="27.6"/>
    <n v="3.7"/>
    <x v="1"/>
    <n v="1"/>
    <n v="23.62"/>
    <s v="Normal Weight"/>
    <n v="672.88135593220341"/>
  </r>
  <r>
    <n v="15"/>
    <s v="Chennai"/>
    <n v="20"/>
    <s v="Male"/>
    <n v="117.7"/>
    <n v="1.81"/>
    <n v="196"/>
    <n v="161"/>
    <n v="54"/>
    <n v="1.35"/>
    <n v="1195"/>
    <x v="0"/>
    <n v="26.4"/>
    <n v="3.3"/>
    <x v="1"/>
    <n v="2"/>
    <n v="35.93"/>
    <s v="Obesity"/>
    <n v="885.18518518518511"/>
  </r>
  <r>
    <n v="16"/>
    <s v="Pune"/>
    <n v="39"/>
    <s v="Female"/>
    <n v="42.5"/>
    <n v="1.75"/>
    <n v="181"/>
    <n v="131"/>
    <n v="52"/>
    <n v="1.1299999999999999"/>
    <n v="740"/>
    <x v="3"/>
    <n v="26.2"/>
    <n v="2.1"/>
    <x v="3"/>
    <n v="1"/>
    <n v="13.88"/>
    <s v="Underweight"/>
    <n v="654.86725663716823"/>
  </r>
  <r>
    <n v="17"/>
    <s v="Delhi"/>
    <n v="19"/>
    <s v="Female"/>
    <n v="64"/>
    <n v="1.53"/>
    <n v="166"/>
    <n v="167"/>
    <n v="58"/>
    <n v="1.33"/>
    <n v="1111"/>
    <x v="1"/>
    <n v="29.8"/>
    <n v="2.2999999999999998"/>
    <x v="1"/>
    <n v="2"/>
    <n v="27.34"/>
    <s v="Overweight"/>
    <n v="835.33834586466162"/>
  </r>
  <r>
    <n v="18"/>
    <s v="Ahmedabad"/>
    <n v="41"/>
    <s v="Female"/>
    <n v="43.8"/>
    <n v="1.77"/>
    <n v="182"/>
    <n v="165"/>
    <n v="58"/>
    <n v="1.19"/>
    <n v="884"/>
    <x v="2"/>
    <n v="31.9"/>
    <n v="1.6"/>
    <x v="1"/>
    <n v="1"/>
    <n v="13.98"/>
    <s v="Underweight"/>
    <n v="742.85714285714289"/>
  </r>
  <r>
    <n v="19"/>
    <s v="Chennai"/>
    <n v="47"/>
    <s v="Female"/>
    <n v="66.8"/>
    <n v="1.75"/>
    <n v="199"/>
    <n v="146"/>
    <n v="56"/>
    <n v="1.1299999999999999"/>
    <n v="742"/>
    <x v="3"/>
    <n v="32.799999999999997"/>
    <n v="2.5"/>
    <x v="1"/>
    <n v="2"/>
    <n v="21.81"/>
    <s v="Normal Weight"/>
    <n v="656.63716814159295"/>
  </r>
  <r>
    <n v="20"/>
    <s v="Delhi"/>
    <n v="55"/>
    <s v="Female"/>
    <n v="75.2"/>
    <n v="1.67"/>
    <n v="188"/>
    <n v="167"/>
    <n v="51"/>
    <n v="1.37"/>
    <n v="1030"/>
    <x v="1"/>
    <n v="25.2"/>
    <n v="2.2000000000000002"/>
    <x v="3"/>
    <n v="1"/>
    <n v="26.96"/>
    <s v="Overweight"/>
    <n v="751.8248175182481"/>
  </r>
  <r>
    <n v="21"/>
    <s v="Pune"/>
    <n v="19"/>
    <s v="Male"/>
    <n v="89"/>
    <n v="1.77"/>
    <n v="175"/>
    <n v="127"/>
    <n v="72"/>
    <n v="1.5"/>
    <n v="1048"/>
    <x v="3"/>
    <n v="28.9"/>
    <n v="3.7"/>
    <x v="0"/>
    <n v="2"/>
    <n v="28.41"/>
    <s v="Overweight"/>
    <n v="698.66666666666663"/>
  </r>
  <r>
    <n v="22"/>
    <s v="Mumbai"/>
    <n v="38"/>
    <s v="Male"/>
    <n v="71.900000000000006"/>
    <n v="1.77"/>
    <n v="197"/>
    <n v="142"/>
    <n v="72"/>
    <n v="1.1200000000000001"/>
    <n v="875"/>
    <x v="2"/>
    <n v="25.7"/>
    <n v="3.1"/>
    <x v="3"/>
    <n v="1"/>
    <n v="22.95"/>
    <s v="Normal Weight"/>
    <n v="781.24999999999989"/>
  </r>
  <r>
    <n v="23"/>
    <s v="Noida"/>
    <n v="50"/>
    <s v="Female"/>
    <n v="71"/>
    <n v="1.68"/>
    <n v="187"/>
    <n v="161"/>
    <n v="70"/>
    <n v="1.17"/>
    <n v="848"/>
    <x v="0"/>
    <n v="33.1"/>
    <n v="2.5"/>
    <x v="3"/>
    <n v="1"/>
    <n v="25.16"/>
    <s v="Overweight"/>
    <n v="724.78632478632483"/>
  </r>
  <r>
    <n v="24"/>
    <s v="Chennai"/>
    <n v="29"/>
    <s v="Male"/>
    <n v="120.9"/>
    <n v="1.78"/>
    <n v="197"/>
    <n v="168"/>
    <n v="65"/>
    <n v="0.78"/>
    <n v="721"/>
    <x v="0"/>
    <n v="28.1"/>
    <n v="3.4"/>
    <x v="3"/>
    <n v="1"/>
    <n v="38.159999999999997"/>
    <s v="Obesity"/>
    <n v="924.35897435897436"/>
  </r>
  <r>
    <n v="25"/>
    <s v="Gurgaon"/>
    <n v="39"/>
    <s v="Female"/>
    <n v="64.3"/>
    <n v="1.69"/>
    <n v="190"/>
    <n v="148"/>
    <n v="58"/>
    <n v="1.25"/>
    <n v="925"/>
    <x v="1"/>
    <n v="26.9"/>
    <n v="1.9"/>
    <x v="0"/>
    <n v="2"/>
    <n v="22.51"/>
    <s v="Normal Weight"/>
    <n v="740"/>
  </r>
  <r>
    <n v="26"/>
    <s v="Mumbai"/>
    <n v="42"/>
    <s v="Female"/>
    <n v="63.7"/>
    <n v="1.71"/>
    <n v="173"/>
    <n v="169"/>
    <n v="62"/>
    <n v="1.42"/>
    <n v="1080"/>
    <x v="0"/>
    <n v="26.1"/>
    <n v="1.8"/>
    <x v="1"/>
    <n v="2"/>
    <n v="21.78"/>
    <s v="Normal Weight"/>
    <n v="760.56338028169023"/>
  </r>
  <r>
    <n v="27"/>
    <s v="Noida"/>
    <n v="44"/>
    <s v="Male"/>
    <n v="65.2"/>
    <n v="1.8"/>
    <n v="192"/>
    <n v="139"/>
    <n v="68"/>
    <n v="0.73"/>
    <n v="502"/>
    <x v="1"/>
    <n v="27.2"/>
    <n v="2.7"/>
    <x v="3"/>
    <n v="1"/>
    <n v="20.12"/>
    <s v="Normal Weight"/>
    <n v="687.67123287671234"/>
  </r>
  <r>
    <n v="28"/>
    <s v="Bengaluru"/>
    <n v="59"/>
    <s v="Male"/>
    <n v="53.9"/>
    <n v="1.75"/>
    <n v="168"/>
    <n v="135"/>
    <n v="69"/>
    <n v="1.48"/>
    <n v="989"/>
    <x v="3"/>
    <n v="21.6"/>
    <n v="2.8"/>
    <x v="0"/>
    <n v="2"/>
    <n v="17.600000000000001"/>
    <s v="Underweight"/>
    <n v="668.24324324324323"/>
  </r>
  <r>
    <n v="29"/>
    <s v="Kolkata"/>
    <n v="45"/>
    <s v="Male"/>
    <n v="84.9"/>
    <n v="1.86"/>
    <n v="186"/>
    <n v="136"/>
    <n v="66"/>
    <n v="1.64"/>
    <n v="1104"/>
    <x v="1"/>
    <n v="14.2"/>
    <n v="3.5"/>
    <x v="2"/>
    <n v="3"/>
    <n v="24.54"/>
    <s v="Normal Weight"/>
    <n v="673.17073170731715"/>
  </r>
  <r>
    <n v="30"/>
    <s v="Hyderabad"/>
    <n v="33"/>
    <s v="Female"/>
    <n v="78"/>
    <n v="1.68"/>
    <n v="183"/>
    <n v="135"/>
    <n v="55"/>
    <n v="1.29"/>
    <n v="871"/>
    <x v="1"/>
    <n v="32.299999999999997"/>
    <n v="1.8"/>
    <x v="1"/>
    <n v="2"/>
    <n v="27.64"/>
    <s v="Overweight"/>
    <n v="675.19379844961236"/>
  </r>
  <r>
    <n v="31"/>
    <s v="Gurgaon"/>
    <n v="32"/>
    <s v="Male"/>
    <n v="108.2"/>
    <n v="1.8"/>
    <n v="172"/>
    <n v="138"/>
    <n v="53"/>
    <n v="1.27"/>
    <n v="964"/>
    <x v="1"/>
    <n v="28.4"/>
    <n v="3.5"/>
    <x v="1"/>
    <n v="1"/>
    <n v="33.4"/>
    <s v="Obesity"/>
    <n v="759.05511811023621"/>
  </r>
  <r>
    <n v="32"/>
    <s v="Bengaluru"/>
    <n v="20"/>
    <s v="Female"/>
    <n v="65.400000000000006"/>
    <n v="1.52"/>
    <n v="185"/>
    <n v="127"/>
    <n v="50"/>
    <n v="1.03"/>
    <n v="654"/>
    <x v="0"/>
    <n v="28"/>
    <n v="2.2000000000000002"/>
    <x v="0"/>
    <n v="2"/>
    <n v="28.31"/>
    <s v="Overweight"/>
    <n v="634.95145631067965"/>
  </r>
  <r>
    <n v="33"/>
    <s v="Pune"/>
    <n v="54"/>
    <s v="Female"/>
    <n v="50.2"/>
    <n v="1.61"/>
    <n v="188"/>
    <n v="157"/>
    <n v="67"/>
    <n v="1.48"/>
    <n v="1046"/>
    <x v="1"/>
    <n v="28.2"/>
    <n v="2.7"/>
    <x v="3"/>
    <n v="1"/>
    <n v="19.37"/>
    <s v="Normal Weight"/>
    <n v="706.75675675675677"/>
  </r>
  <r>
    <n v="34"/>
    <s v="Bengaluru"/>
    <n v="24"/>
    <s v="Female"/>
    <n v="58.9"/>
    <n v="1.51"/>
    <n v="187"/>
    <n v="157"/>
    <n v="68"/>
    <n v="1.04"/>
    <n v="816"/>
    <x v="2"/>
    <n v="31.7"/>
    <n v="2.5"/>
    <x v="3"/>
    <n v="1"/>
    <n v="25.83"/>
    <s v="Overweight"/>
    <n v="784.61538461538464"/>
  </r>
  <r>
    <n v="35"/>
    <s v="Kolkata"/>
    <n v="38"/>
    <s v="Male"/>
    <n v="81.400000000000006"/>
    <n v="1.71"/>
    <n v="187"/>
    <n v="148"/>
    <n v="58"/>
    <n v="1.52"/>
    <n v="1237"/>
    <x v="1"/>
    <n v="10.199999999999999"/>
    <n v="3.5"/>
    <x v="2"/>
    <n v="3"/>
    <n v="27.84"/>
    <s v="Overweight"/>
    <n v="813.81578947368416"/>
  </r>
  <r>
    <n v="36"/>
    <s v="Pune"/>
    <n v="26"/>
    <s v="Male"/>
    <n v="127.6"/>
    <n v="1.73"/>
    <n v="167"/>
    <n v="160"/>
    <n v="62"/>
    <n v="1.32"/>
    <n v="1162"/>
    <x v="3"/>
    <n v="27.3"/>
    <n v="2.9"/>
    <x v="1"/>
    <n v="1"/>
    <n v="42.63"/>
    <s v="Obesity"/>
    <n v="880.30303030303025"/>
  </r>
  <r>
    <n v="37"/>
    <s v="Gurgaon"/>
    <n v="56"/>
    <s v="Female"/>
    <n v="59.3"/>
    <n v="1.56"/>
    <n v="182"/>
    <n v="155"/>
    <n v="57"/>
    <n v="1.26"/>
    <n v="879"/>
    <x v="2"/>
    <n v="33.4"/>
    <n v="2.6"/>
    <x v="0"/>
    <n v="2"/>
    <n v="24.37"/>
    <s v="Normal Weight"/>
    <n v="697.61904761904759"/>
  </r>
  <r>
    <n v="38"/>
    <s v="Kolkata"/>
    <n v="35"/>
    <s v="Male"/>
    <n v="96.9"/>
    <n v="1.71"/>
    <n v="188"/>
    <n v="145"/>
    <n v="72"/>
    <n v="1.34"/>
    <n v="1069"/>
    <x v="3"/>
    <n v="24.2"/>
    <n v="2.9"/>
    <x v="1"/>
    <n v="2"/>
    <n v="33.14"/>
    <s v="Obesity"/>
    <n v="797.76119402985069"/>
  </r>
  <r>
    <n v="39"/>
    <s v="Delhi"/>
    <n v="21"/>
    <s v="Male"/>
    <n v="62.6"/>
    <n v="1.81"/>
    <n v="164"/>
    <n v="150"/>
    <n v="62"/>
    <n v="1.3"/>
    <n v="1072"/>
    <x v="3"/>
    <n v="27.6"/>
    <n v="3.5"/>
    <x v="0"/>
    <n v="2"/>
    <n v="19.11"/>
    <s v="Normal Weight"/>
    <n v="824.61538461538464"/>
  </r>
  <r>
    <n v="40"/>
    <s v="Hyderabad"/>
    <n v="42"/>
    <s v="Male"/>
    <n v="45.5"/>
    <n v="1.6"/>
    <n v="166"/>
    <n v="163"/>
    <n v="64"/>
    <n v="1.31"/>
    <n v="1057"/>
    <x v="3"/>
    <n v="21.7"/>
    <n v="2.6"/>
    <x v="1"/>
    <n v="2"/>
    <n v="17.77"/>
    <s v="Underweight"/>
    <n v="806.87022900763361"/>
  </r>
  <r>
    <n v="41"/>
    <s v="Gurgaon"/>
    <n v="31"/>
    <s v="Female"/>
    <n v="48.8"/>
    <n v="1.51"/>
    <n v="195"/>
    <n v="131"/>
    <n v="60"/>
    <n v="1.48"/>
    <n v="969"/>
    <x v="2"/>
    <n v="28.2"/>
    <n v="2"/>
    <x v="3"/>
    <n v="1"/>
    <n v="21.4"/>
    <s v="Normal Weight"/>
    <n v="654.72972972972968"/>
  </r>
  <r>
    <n v="42"/>
    <s v="Delhi"/>
    <n v="26"/>
    <s v="Female"/>
    <n v="44.3"/>
    <n v="1.6"/>
    <n v="186"/>
    <n v="136"/>
    <n v="61"/>
    <n v="1.08"/>
    <n v="734"/>
    <x v="2"/>
    <n v="34.700000000000003"/>
    <n v="2"/>
    <x v="1"/>
    <n v="1"/>
    <n v="17.3"/>
    <s v="Underweight"/>
    <n v="679.62962962962956"/>
  </r>
  <r>
    <n v="43"/>
    <s v="Noida"/>
    <n v="43"/>
    <s v="Male"/>
    <n v="113.2"/>
    <n v="1.83"/>
    <n v="161"/>
    <n v="134"/>
    <n v="63"/>
    <n v="1.45"/>
    <n v="962"/>
    <x v="0"/>
    <n v="29.9"/>
    <n v="2.9"/>
    <x v="0"/>
    <n v="2"/>
    <n v="33.799999999999997"/>
    <s v="Obesity"/>
    <n v="663.44827586206895"/>
  </r>
  <r>
    <n v="44"/>
    <s v="Gurgaon"/>
    <n v="19"/>
    <s v="Female"/>
    <n v="60.5"/>
    <n v="1.59"/>
    <n v="184"/>
    <n v="128"/>
    <n v="53"/>
    <n v="1.1399999999999999"/>
    <n v="730"/>
    <x v="2"/>
    <n v="30.1"/>
    <n v="2.2000000000000002"/>
    <x v="3"/>
    <n v="1"/>
    <n v="23.93"/>
    <s v="Normal Weight"/>
    <n v="640.35087719298247"/>
  </r>
  <r>
    <n v="45"/>
    <s v="Noida"/>
    <n v="37"/>
    <s v="Male"/>
    <n v="124.2"/>
    <n v="1.76"/>
    <n v="168"/>
    <n v="158"/>
    <n v="50"/>
    <n v="1.5"/>
    <n v="1304"/>
    <x v="1"/>
    <n v="29.3"/>
    <n v="2.8"/>
    <x v="3"/>
    <n v="1"/>
    <n v="40.1"/>
    <s v="Obesity"/>
    <n v="869.33333333333337"/>
  </r>
  <r>
    <n v="46"/>
    <s v="Pune"/>
    <n v="45"/>
    <s v="Male"/>
    <n v="52.4"/>
    <n v="1.85"/>
    <n v="186"/>
    <n v="161"/>
    <n v="73"/>
    <n v="1.2"/>
    <n v="956"/>
    <x v="3"/>
    <n v="25.2"/>
    <n v="2.5"/>
    <x v="1"/>
    <n v="1"/>
    <n v="15.31"/>
    <s v="Underweight"/>
    <n v="796.66666666666674"/>
  </r>
  <r>
    <n v="47"/>
    <s v="Delhi"/>
    <n v="24"/>
    <s v="Male"/>
    <n v="54.7"/>
    <n v="1.74"/>
    <n v="160"/>
    <n v="167"/>
    <n v="53"/>
    <n v="0.84"/>
    <n v="772"/>
    <x v="0"/>
    <n v="22.9"/>
    <n v="3.6"/>
    <x v="1"/>
    <n v="1"/>
    <n v="18.07"/>
    <s v="Underweight"/>
    <n v="919.04761904761904"/>
  </r>
  <r>
    <n v="48"/>
    <s v="Hyderabad"/>
    <n v="25"/>
    <s v="Male"/>
    <n v="88.1"/>
    <n v="1.95"/>
    <n v="182"/>
    <n v="131"/>
    <n v="68"/>
    <n v="1.41"/>
    <n v="1016"/>
    <x v="2"/>
    <n v="22.7"/>
    <n v="3"/>
    <x v="3"/>
    <n v="1"/>
    <n v="23.17"/>
    <s v="Normal Weight"/>
    <n v="720.56737588652481"/>
  </r>
  <r>
    <n v="49"/>
    <s v="Kolkata"/>
    <n v="52"/>
    <s v="Female"/>
    <n v="59.7"/>
    <n v="1.71"/>
    <n v="169"/>
    <n v="151"/>
    <n v="58"/>
    <n v="1.23"/>
    <n v="836"/>
    <x v="3"/>
    <n v="34.299999999999997"/>
    <n v="2"/>
    <x v="1"/>
    <n v="1"/>
    <n v="20.420000000000002"/>
    <s v="Normal Weight"/>
    <n v="679.67479674796743"/>
  </r>
  <r>
    <n v="50"/>
    <s v="Ahmedabad"/>
    <n v="31"/>
    <s v="Female"/>
    <n v="79.7"/>
    <n v="1.54"/>
    <n v="184"/>
    <n v="144"/>
    <n v="59"/>
    <n v="1.03"/>
    <n v="742"/>
    <x v="2"/>
    <n v="26.7"/>
    <n v="2.2999999999999998"/>
    <x v="0"/>
    <n v="2"/>
    <n v="33.61"/>
    <s v="Obesity"/>
    <n v="720.38834951456306"/>
  </r>
  <r>
    <n v="51"/>
    <s v="Bengaluru"/>
    <n v="34"/>
    <s v="Female"/>
    <n v="51"/>
    <n v="1.62"/>
    <n v="162"/>
    <n v="158"/>
    <n v="53"/>
    <n v="1.42"/>
    <n v="1122"/>
    <x v="0"/>
    <n v="30.8"/>
    <n v="2.4"/>
    <x v="1"/>
    <n v="2"/>
    <n v="19.43"/>
    <s v="Normal Weight"/>
    <n v="790.14084507042253"/>
  </r>
  <r>
    <n v="52"/>
    <s v="Mumbai"/>
    <n v="53"/>
    <s v="Male"/>
    <n v="84.2"/>
    <n v="1.76"/>
    <n v="165"/>
    <n v="137"/>
    <n v="69"/>
    <n v="1.67"/>
    <n v="1133"/>
    <x v="2"/>
    <n v="12.8"/>
    <n v="3.5"/>
    <x v="2"/>
    <n v="3"/>
    <n v="27.18"/>
    <s v="Overweight"/>
    <n v="678.44311377245515"/>
  </r>
  <r>
    <n v="53"/>
    <s v="Hyderabad"/>
    <n v="57"/>
    <s v="Male"/>
    <n v="122.1"/>
    <n v="1.89"/>
    <n v="165"/>
    <n v="134"/>
    <n v="58"/>
    <n v="1.1299999999999999"/>
    <n v="750"/>
    <x v="2"/>
    <n v="27.4"/>
    <n v="3.6"/>
    <x v="1"/>
    <n v="1"/>
    <n v="34.18"/>
    <s v="Obesity"/>
    <n v="663.71681415929208"/>
  </r>
  <r>
    <n v="54"/>
    <s v="Delhi"/>
    <n v="21"/>
    <s v="Male"/>
    <n v="96.7"/>
    <n v="1.72"/>
    <n v="161"/>
    <n v="151"/>
    <n v="62"/>
    <n v="1.26"/>
    <n v="1046"/>
    <x v="3"/>
    <n v="25"/>
    <n v="2.8"/>
    <x v="1"/>
    <n v="1"/>
    <n v="32.69"/>
    <s v="Obesity"/>
    <n v="830.15873015873012"/>
  </r>
  <r>
    <n v="55"/>
    <s v="Ahmedabad"/>
    <n v="19"/>
    <s v="Female"/>
    <n v="73"/>
    <n v="1.79"/>
    <n v="177"/>
    <n v="125"/>
    <n v="61"/>
    <n v="0.81"/>
    <n v="506"/>
    <x v="1"/>
    <n v="27.7"/>
    <n v="1.6"/>
    <x v="1"/>
    <n v="1"/>
    <n v="22.78"/>
    <s v="Normal Weight"/>
    <n v="624.69135802469134"/>
  </r>
  <r>
    <n v="56"/>
    <s v="Hyderabad"/>
    <n v="23"/>
    <s v="Male"/>
    <n v="114.8"/>
    <n v="1.6"/>
    <n v="182"/>
    <n v="163"/>
    <n v="60"/>
    <n v="1.47"/>
    <n v="1318"/>
    <x v="2"/>
    <n v="21.7"/>
    <n v="2.7"/>
    <x v="0"/>
    <n v="2"/>
    <n v="44.84"/>
    <s v="Obesity"/>
    <n v="896.59863945578229"/>
  </r>
  <r>
    <n v="57"/>
    <s v="Delhi"/>
    <n v="59"/>
    <s v="Female"/>
    <n v="65.5"/>
    <n v="1.52"/>
    <n v="161"/>
    <n v="162"/>
    <n v="61"/>
    <n v="1.4"/>
    <n v="1021"/>
    <x v="0"/>
    <n v="31.2"/>
    <n v="2.1"/>
    <x v="1"/>
    <n v="2"/>
    <n v="28.35"/>
    <s v="Overweight"/>
    <n v="729.28571428571433"/>
  </r>
  <r>
    <n v="58"/>
    <s v="Chennai"/>
    <n v="21"/>
    <s v="Female"/>
    <n v="50.3"/>
    <n v="1.52"/>
    <n v="171"/>
    <n v="154"/>
    <n v="67"/>
    <n v="1.08"/>
    <n v="832"/>
    <x v="2"/>
    <n v="32.200000000000003"/>
    <n v="2.6"/>
    <x v="1"/>
    <n v="1"/>
    <n v="21.77"/>
    <s v="Normal Weight"/>
    <n v="770.37037037037032"/>
  </r>
  <r>
    <n v="59"/>
    <s v="Chennai"/>
    <n v="46"/>
    <s v="Female"/>
    <n v="61"/>
    <n v="1.71"/>
    <n v="181"/>
    <n v="153"/>
    <n v="61"/>
    <n v="1.67"/>
    <n v="1150"/>
    <x v="2"/>
    <n v="17.8"/>
    <n v="2.7"/>
    <x v="0"/>
    <n v="3"/>
    <n v="20.86"/>
    <s v="Normal Weight"/>
    <n v="688.62275449101799"/>
  </r>
  <r>
    <n v="60"/>
    <s v="Noida"/>
    <n v="35"/>
    <s v="Female"/>
    <n v="44.6"/>
    <n v="1.62"/>
    <n v="196"/>
    <n v="157"/>
    <n v="65"/>
    <n v="0.56000000000000005"/>
    <n v="440"/>
    <x v="1"/>
    <n v="32.4"/>
    <n v="2"/>
    <x v="3"/>
    <n v="1"/>
    <n v="16.989999999999998"/>
    <s v="Underweight"/>
    <n v="785.71428571428567"/>
  </r>
  <r>
    <n v="61"/>
    <s v="Hyderabad"/>
    <n v="43"/>
    <s v="Female"/>
    <n v="58.2"/>
    <n v="1.61"/>
    <n v="179"/>
    <n v="124"/>
    <n v="54"/>
    <n v="1.04"/>
    <n v="580"/>
    <x v="3"/>
    <n v="26.4"/>
    <n v="2.6"/>
    <x v="1"/>
    <n v="2"/>
    <n v="22.45"/>
    <s v="Normal Weight"/>
    <n v="557.69230769230762"/>
  </r>
  <r>
    <n v="62"/>
    <s v="Chennai"/>
    <n v="51"/>
    <s v="Female"/>
    <n v="44.8"/>
    <n v="1.63"/>
    <n v="198"/>
    <n v="137"/>
    <n v="69"/>
    <n v="1.08"/>
    <n v="666"/>
    <x v="0"/>
    <n v="33.799999999999997"/>
    <n v="2.1"/>
    <x v="0"/>
    <n v="2"/>
    <n v="16.86"/>
    <s v="Underweight"/>
    <n v="616.66666666666663"/>
  </r>
  <r>
    <n v="63"/>
    <s v="Delhi"/>
    <n v="27"/>
    <s v="Male"/>
    <n v="87.5"/>
    <n v="1.63"/>
    <n v="183"/>
    <n v="135"/>
    <n v="74"/>
    <n v="1.75"/>
    <n v="1299"/>
    <x v="3"/>
    <n v="12.9"/>
    <n v="3.5"/>
    <x v="2"/>
    <n v="3"/>
    <n v="32.93"/>
    <s v="Obesity"/>
    <n v="742.28571428571433"/>
  </r>
  <r>
    <n v="64"/>
    <s v="Noida"/>
    <n v="53"/>
    <s v="Male"/>
    <n v="51.8"/>
    <n v="1.74"/>
    <n v="179"/>
    <n v="127"/>
    <n v="61"/>
    <n v="1.23"/>
    <n v="773"/>
    <x v="3"/>
    <n v="21.3"/>
    <n v="3.7"/>
    <x v="1"/>
    <n v="2"/>
    <n v="17.11"/>
    <s v="Underweight"/>
    <n v="628.45528455284557"/>
  </r>
  <r>
    <n v="65"/>
    <s v="Delhi"/>
    <n v="31"/>
    <s v="Female"/>
    <n v="64.400000000000006"/>
    <n v="1.7"/>
    <n v="160"/>
    <n v="144"/>
    <n v="70"/>
    <n v="1.97"/>
    <n v="1418"/>
    <x v="3"/>
    <n v="17.3"/>
    <n v="2.7"/>
    <x v="2"/>
    <n v="3"/>
    <n v="22.28"/>
    <s v="Normal Weight"/>
    <n v="719.79695431472078"/>
  </r>
  <r>
    <n v="66"/>
    <s v="Noida"/>
    <n v="48"/>
    <s v="Female"/>
    <n v="67.099999999999994"/>
    <n v="1.61"/>
    <n v="160"/>
    <n v="151"/>
    <n v="74"/>
    <n v="0.62"/>
    <n v="421"/>
    <x v="2"/>
    <n v="33.4"/>
    <n v="1.5"/>
    <x v="3"/>
    <n v="1"/>
    <n v="25.89"/>
    <s v="Overweight"/>
    <n v="679.0322580645161"/>
  </r>
  <r>
    <n v="67"/>
    <s v="Hyderabad"/>
    <n v="32"/>
    <s v="Male"/>
    <n v="85.9"/>
    <n v="1.6"/>
    <n v="176"/>
    <n v="145"/>
    <n v="60"/>
    <n v="1.99"/>
    <n v="1587"/>
    <x v="1"/>
    <n v="14.5"/>
    <n v="3.5"/>
    <x v="2"/>
    <n v="3"/>
    <n v="33.549999999999997"/>
    <s v="Obesity"/>
    <n v="797.48743718592971"/>
  </r>
  <r>
    <n v="68"/>
    <s v="Ahmedabad"/>
    <n v="25"/>
    <s v="Female"/>
    <n v="65.400000000000006"/>
    <n v="1.77"/>
    <n v="160"/>
    <n v="141"/>
    <n v="58"/>
    <n v="0.89"/>
    <n v="627"/>
    <x v="2"/>
    <n v="27.6"/>
    <n v="2.6"/>
    <x v="1"/>
    <n v="1"/>
    <n v="20.88"/>
    <s v="Normal Weight"/>
    <n v="704.49438202247188"/>
  </r>
  <r>
    <n v="69"/>
    <s v="Kolkata"/>
    <n v="31"/>
    <s v="Female"/>
    <n v="61.1"/>
    <n v="1.76"/>
    <n v="189"/>
    <n v="150"/>
    <n v="67"/>
    <n v="1.81"/>
    <n v="1358"/>
    <x v="0"/>
    <n v="18.600000000000001"/>
    <n v="2.7"/>
    <x v="0"/>
    <n v="3"/>
    <n v="19.72"/>
    <s v="Normal Weight"/>
    <n v="750.27624309392263"/>
  </r>
  <r>
    <n v="70"/>
    <s v="Gurgaon"/>
    <n v="40"/>
    <s v="Male"/>
    <n v="106.5"/>
    <n v="1.65"/>
    <n v="162"/>
    <n v="162"/>
    <n v="74"/>
    <n v="1.32"/>
    <n v="1176"/>
    <x v="1"/>
    <n v="21"/>
    <n v="3.6"/>
    <x v="0"/>
    <n v="2"/>
    <n v="39.119999999999997"/>
    <s v="Obesity"/>
    <n v="890.90909090909088"/>
  </r>
  <r>
    <n v="71"/>
    <s v="Ahmedabad"/>
    <n v="57"/>
    <s v="Female"/>
    <n v="64"/>
    <n v="1.52"/>
    <n v="170"/>
    <n v="129"/>
    <n v="52"/>
    <n v="1.73"/>
    <n v="1004"/>
    <x v="3"/>
    <n v="15.2"/>
    <n v="2.7"/>
    <x v="2"/>
    <n v="3"/>
    <n v="27.7"/>
    <s v="Overweight"/>
    <n v="580.34682080924858"/>
  </r>
  <r>
    <n v="72"/>
    <s v="Pune"/>
    <n v="38"/>
    <s v="Female"/>
    <n v="61.4"/>
    <n v="1.54"/>
    <n v="183"/>
    <n v="131"/>
    <n v="69"/>
    <n v="1.47"/>
    <n v="963"/>
    <x v="1"/>
    <n v="30.6"/>
    <n v="2.7"/>
    <x v="1"/>
    <n v="2"/>
    <n v="25.89"/>
    <s v="Overweight"/>
    <n v="655.10204081632651"/>
  </r>
  <r>
    <n v="73"/>
    <s v="Delhi"/>
    <n v="33"/>
    <s v="Female"/>
    <n v="40.5"/>
    <n v="1.63"/>
    <n v="181"/>
    <n v="147"/>
    <n v="66"/>
    <n v="1.07"/>
    <n v="786"/>
    <x v="0"/>
    <n v="31.9"/>
    <n v="1.5"/>
    <x v="0"/>
    <n v="2"/>
    <n v="15.24"/>
    <s v="Underweight"/>
    <n v="734.57943925233644"/>
  </r>
  <r>
    <n v="74"/>
    <s v="Pune"/>
    <n v="35"/>
    <s v="Male"/>
    <n v="70.099999999999994"/>
    <n v="1.79"/>
    <n v="185"/>
    <n v="125"/>
    <n v="63"/>
    <n v="1.08"/>
    <n v="743"/>
    <x v="2"/>
    <n v="28"/>
    <n v="2.2999999999999998"/>
    <x v="1"/>
    <n v="2"/>
    <n v="21.88"/>
    <s v="Normal Weight"/>
    <n v="687.96296296296293"/>
  </r>
  <r>
    <n v="75"/>
    <s v="Ahmedabad"/>
    <n v="41"/>
    <s v="Male"/>
    <n v="94.1"/>
    <n v="1.62"/>
    <n v="172"/>
    <n v="139"/>
    <n v="50"/>
    <n v="1.1299999999999999"/>
    <n v="777"/>
    <x v="2"/>
    <n v="23.4"/>
    <n v="3.1"/>
    <x v="0"/>
    <n v="2"/>
    <n v="35.86"/>
    <s v="Obesity"/>
    <n v="687.61061946902657"/>
  </r>
  <r>
    <n v="76"/>
    <s v="Noida"/>
    <n v="43"/>
    <s v="Male"/>
    <n v="55.5"/>
    <n v="1.82"/>
    <n v="160"/>
    <n v="124"/>
    <n v="66"/>
    <n v="1.08"/>
    <n v="663"/>
    <x v="3"/>
    <n v="20.100000000000001"/>
    <n v="2"/>
    <x v="1"/>
    <n v="1"/>
    <n v="16.760000000000002"/>
    <s v="Underweight"/>
    <n v="613.8888888888888"/>
  </r>
  <r>
    <n v="77"/>
    <s v="Gurgaon"/>
    <n v="42"/>
    <s v="Female"/>
    <n v="53.7"/>
    <n v="1.72"/>
    <n v="183"/>
    <n v="142"/>
    <n v="74"/>
    <n v="1.37"/>
    <n v="875"/>
    <x v="2"/>
    <n v="29.8"/>
    <n v="1.6"/>
    <x v="1"/>
    <n v="1"/>
    <n v="18.149999999999999"/>
    <s v="Underweight"/>
    <n v="638.68613138686123"/>
  </r>
  <r>
    <n v="78"/>
    <s v="Gurgaon"/>
    <n v="58"/>
    <s v="Female"/>
    <n v="66.099999999999994"/>
    <n v="1.75"/>
    <n v="169"/>
    <n v="128"/>
    <n v="57"/>
    <n v="0.63"/>
    <n v="363"/>
    <x v="2"/>
    <n v="25.2"/>
    <n v="1.8"/>
    <x v="3"/>
    <n v="1"/>
    <n v="21.58"/>
    <s v="Normal Weight"/>
    <n v="576.19047619047615"/>
  </r>
  <r>
    <n v="79"/>
    <s v="Mumbai"/>
    <n v="46"/>
    <s v="Male"/>
    <n v="103.9"/>
    <n v="1.77"/>
    <n v="194"/>
    <n v="148"/>
    <n v="54"/>
    <n v="1.18"/>
    <n v="864"/>
    <x v="0"/>
    <n v="20.9"/>
    <n v="2.9"/>
    <x v="3"/>
    <n v="1"/>
    <n v="33.159999999999997"/>
    <s v="Obesity"/>
    <n v="732.20338983050851"/>
  </r>
  <r>
    <n v="80"/>
    <s v="Gurgaon"/>
    <n v="32"/>
    <s v="Female"/>
    <n v="61.7"/>
    <n v="1.58"/>
    <n v="183"/>
    <n v="135"/>
    <n v="54"/>
    <n v="1.87"/>
    <n v="1262"/>
    <x v="1"/>
    <n v="16.600000000000001"/>
    <n v="2.7"/>
    <x v="2"/>
    <n v="3"/>
    <n v="24.72"/>
    <s v="Normal Weight"/>
    <n v="674.86631016042782"/>
  </r>
  <r>
    <n v="81"/>
    <s v="Kolkata"/>
    <n v="18"/>
    <s v="Female"/>
    <n v="52.3"/>
    <n v="1.74"/>
    <n v="187"/>
    <n v="165"/>
    <n v="58"/>
    <n v="1.2"/>
    <n v="990"/>
    <x v="2"/>
    <n v="29.4"/>
    <n v="2.2000000000000002"/>
    <x v="3"/>
    <n v="1"/>
    <n v="17.27"/>
    <s v="Underweight"/>
    <n v="825"/>
  </r>
  <r>
    <n v="82"/>
    <s v="Gurgaon"/>
    <n v="42"/>
    <s v="Female"/>
    <n v="59.5"/>
    <n v="1.74"/>
    <n v="195"/>
    <n v="141"/>
    <n v="52"/>
    <n v="1.78"/>
    <n v="1129"/>
    <x v="0"/>
    <n v="16.399999999999999"/>
    <n v="2.7"/>
    <x v="2"/>
    <n v="3"/>
    <n v="19.649999999999999"/>
    <s v="Normal Weight"/>
    <n v="634.2696629213483"/>
  </r>
  <r>
    <n v="83"/>
    <s v="Ahmedabad"/>
    <n v="24"/>
    <s v="Female"/>
    <n v="72.900000000000006"/>
    <n v="1.76"/>
    <n v="175"/>
    <n v="127"/>
    <n v="68"/>
    <n v="0.86"/>
    <n v="546"/>
    <x v="0"/>
    <n v="30.8"/>
    <n v="1.5"/>
    <x v="1"/>
    <n v="1"/>
    <n v="23.53"/>
    <s v="Normal Weight"/>
    <n v="634.88372093023258"/>
  </r>
  <r>
    <n v="84"/>
    <s v="Mumbai"/>
    <n v="26"/>
    <s v="Female"/>
    <n v="76.7"/>
    <n v="1.63"/>
    <n v="199"/>
    <n v="139"/>
    <n v="72"/>
    <n v="1.08"/>
    <n v="751"/>
    <x v="3"/>
    <n v="25.6"/>
    <n v="1.7"/>
    <x v="3"/>
    <n v="1"/>
    <n v="28.87"/>
    <s v="Overweight"/>
    <n v="695.37037037037032"/>
  </r>
  <r>
    <n v="85"/>
    <s v="Ahmedabad"/>
    <n v="41"/>
    <s v="Male"/>
    <n v="72.099999999999994"/>
    <n v="1.83"/>
    <n v="175"/>
    <n v="133"/>
    <n v="58"/>
    <n v="1.1299999999999999"/>
    <n v="744"/>
    <x v="0"/>
    <n v="21.4"/>
    <n v="2.8"/>
    <x v="1"/>
    <n v="2"/>
    <n v="21.53"/>
    <s v="Normal Weight"/>
    <n v="658.40707964601779"/>
  </r>
  <r>
    <n v="86"/>
    <s v="Ahmedabad"/>
    <n v="18"/>
    <s v="Female"/>
    <n v="54.8"/>
    <n v="1.68"/>
    <n v="176"/>
    <n v="158"/>
    <n v="71"/>
    <n v="1.27"/>
    <n v="1003"/>
    <x v="3"/>
    <n v="32"/>
    <n v="2.2000000000000002"/>
    <x v="0"/>
    <n v="2"/>
    <n v="19.420000000000002"/>
    <s v="Normal Weight"/>
    <n v="789.763779527559"/>
  </r>
  <r>
    <n v="87"/>
    <s v="Bengaluru"/>
    <n v="25"/>
    <s v="Male"/>
    <n v="105"/>
    <n v="1.88"/>
    <n v="174"/>
    <n v="156"/>
    <n v="67"/>
    <n v="1.34"/>
    <n v="1150"/>
    <x v="2"/>
    <n v="21.4"/>
    <n v="2.2999999999999998"/>
    <x v="1"/>
    <n v="2"/>
    <n v="29.71"/>
    <s v="Overweight"/>
    <n v="858.20895522388059"/>
  </r>
  <r>
    <n v="88"/>
    <s v="Mumbai"/>
    <n v="41"/>
    <s v="Female"/>
    <n v="55"/>
    <n v="1.55"/>
    <n v="175"/>
    <n v="169"/>
    <n v="65"/>
    <n v="1.45"/>
    <n v="1103"/>
    <x v="3"/>
    <n v="31.4"/>
    <n v="2"/>
    <x v="0"/>
    <n v="2"/>
    <n v="22.89"/>
    <s v="Normal Weight"/>
    <n v="760.68965517241384"/>
  </r>
  <r>
    <n v="89"/>
    <s v="Ahmedabad"/>
    <n v="28"/>
    <s v="Male"/>
    <n v="81.599999999999994"/>
    <n v="1.66"/>
    <n v="174"/>
    <n v="153"/>
    <n v="50"/>
    <n v="1.0900000000000001"/>
    <n v="917"/>
    <x v="0"/>
    <n v="20.5"/>
    <n v="3.5"/>
    <x v="0"/>
    <n v="2"/>
    <n v="29.61"/>
    <s v="Overweight"/>
    <n v="841.28440366972472"/>
  </r>
  <r>
    <n v="90"/>
    <s v="Bengaluru"/>
    <n v="34"/>
    <s v="Female"/>
    <n v="75.599999999999994"/>
    <n v="1.6"/>
    <n v="193"/>
    <n v="130"/>
    <n v="51"/>
    <n v="0.64"/>
    <n v="416"/>
    <x v="1"/>
    <n v="29.1"/>
    <n v="2.7"/>
    <x v="3"/>
    <n v="1"/>
    <n v="29.53"/>
    <s v="Overweight"/>
    <n v="650"/>
  </r>
  <r>
    <n v="91"/>
    <s v="Bengaluru"/>
    <n v="25"/>
    <s v="Male"/>
    <n v="81.5"/>
    <n v="1.61"/>
    <n v="170"/>
    <n v="159"/>
    <n v="63"/>
    <n v="1.93"/>
    <n v="1688"/>
    <x v="1"/>
    <n v="10.9"/>
    <n v="3.5"/>
    <x v="0"/>
    <n v="3"/>
    <n v="31.44"/>
    <s v="Obesity"/>
    <n v="874.61139896373061"/>
  </r>
  <r>
    <n v="92"/>
    <s v="Mumbai"/>
    <n v="52"/>
    <s v="Female"/>
    <n v="61.5"/>
    <n v="1.69"/>
    <n v="160"/>
    <n v="152"/>
    <n v="63"/>
    <n v="1.8"/>
    <n v="1231"/>
    <x v="2"/>
    <n v="15.5"/>
    <n v="2.7"/>
    <x v="0"/>
    <n v="3"/>
    <n v="21.53"/>
    <s v="Normal Weight"/>
    <n v="683.88888888888891"/>
  </r>
  <r>
    <n v="93"/>
    <s v="Pune"/>
    <n v="52"/>
    <s v="Male"/>
    <n v="74"/>
    <n v="1.63"/>
    <n v="174"/>
    <n v="150"/>
    <n v="50"/>
    <n v="1.26"/>
    <n v="936"/>
    <x v="2"/>
    <n v="25.7"/>
    <n v="3.7"/>
    <x v="1"/>
    <n v="2"/>
    <n v="27.85"/>
    <s v="Overweight"/>
    <n v="742.85714285714289"/>
  </r>
  <r>
    <n v="94"/>
    <s v="Noida"/>
    <n v="50"/>
    <s v="Female"/>
    <n v="56.4"/>
    <n v="1.59"/>
    <n v="185"/>
    <n v="163"/>
    <n v="74"/>
    <n v="1.26"/>
    <n v="924"/>
    <x v="1"/>
    <n v="34.299999999999997"/>
    <n v="2.6"/>
    <x v="1"/>
    <n v="1"/>
    <n v="22.31"/>
    <s v="Normal Weight"/>
    <n v="733.33333333333337"/>
  </r>
  <r>
    <n v="95"/>
    <s v="Kolkata"/>
    <n v="22"/>
    <s v="Male"/>
    <n v="102.6"/>
    <n v="1.84"/>
    <n v="163"/>
    <n v="153"/>
    <n v="65"/>
    <n v="1.25"/>
    <n v="1052"/>
    <x v="3"/>
    <n v="20.5"/>
    <n v="2.7"/>
    <x v="1"/>
    <n v="2"/>
    <n v="30.3"/>
    <s v="Obesity"/>
    <n v="841.6"/>
  </r>
  <r>
    <n v="96"/>
    <s v="Noida"/>
    <n v="59"/>
    <s v="Female"/>
    <n v="54.6"/>
    <n v="1.57"/>
    <n v="164"/>
    <n v="169"/>
    <n v="64"/>
    <n v="0.57999999999999996"/>
    <n v="441"/>
    <x v="2"/>
    <n v="29.2"/>
    <n v="2.2999999999999998"/>
    <x v="1"/>
    <n v="1"/>
    <n v="22.15"/>
    <s v="Normal Weight"/>
    <n v="760.34482758620697"/>
  </r>
  <r>
    <n v="97"/>
    <s v="Gurgaon"/>
    <n v="56"/>
    <s v="Male"/>
    <n v="129"/>
    <n v="1.78"/>
    <n v="194"/>
    <n v="126"/>
    <n v="64"/>
    <n v="1.29"/>
    <n v="805"/>
    <x v="0"/>
    <n v="27.1"/>
    <n v="2.7"/>
    <x v="3"/>
    <n v="1"/>
    <n v="40.71"/>
    <s v="Obesity"/>
    <n v="624.03100775193798"/>
  </r>
  <r>
    <n v="98"/>
    <s v="Kolkata"/>
    <n v="58"/>
    <s v="Male"/>
    <n v="103.5"/>
    <n v="1.66"/>
    <n v="172"/>
    <n v="168"/>
    <n v="61"/>
    <n v="1.33"/>
    <n v="1106"/>
    <x v="2"/>
    <n v="24.6"/>
    <n v="3.1"/>
    <x v="1"/>
    <n v="1"/>
    <n v="37.56"/>
    <s v="Obesity"/>
    <n v="831.57894736842104"/>
  </r>
  <r>
    <n v="99"/>
    <s v="Gurgaon"/>
    <n v="45"/>
    <s v="Female"/>
    <n v="59.4"/>
    <n v="1.51"/>
    <n v="169"/>
    <n v="142"/>
    <n v="65"/>
    <n v="1.1499999999999999"/>
    <n v="735"/>
    <x v="3"/>
    <n v="33.1"/>
    <n v="1.9"/>
    <x v="0"/>
    <n v="2"/>
    <n v="26.05"/>
    <s v="Overweight"/>
    <n v="639.13043478260875"/>
  </r>
  <r>
    <n v="100"/>
    <s v="Ahmedabad"/>
    <n v="24"/>
    <s v="Female"/>
    <n v="60.1"/>
    <n v="1.79"/>
    <n v="170"/>
    <n v="165"/>
    <n v="63"/>
    <n v="1.97"/>
    <n v="1625"/>
    <x v="2"/>
    <n v="15.9"/>
    <n v="2.7"/>
    <x v="0"/>
    <n v="3"/>
    <n v="18.760000000000002"/>
    <s v="Normal Weight"/>
    <n v="824.87309644670052"/>
  </r>
  <r>
    <n v="101"/>
    <s v="Delhi"/>
    <n v="26"/>
    <s v="Male"/>
    <n v="77.7"/>
    <n v="1.62"/>
    <n v="177"/>
    <n v="126"/>
    <n v="73"/>
    <n v="1.1599999999999999"/>
    <n v="804"/>
    <x v="0"/>
    <n v="29.6"/>
    <n v="3"/>
    <x v="1"/>
    <n v="2"/>
    <n v="29.61"/>
    <s v="Overweight"/>
    <n v="693.10344827586209"/>
  </r>
  <r>
    <n v="102"/>
    <s v="Mumbai"/>
    <n v="25"/>
    <s v="Female"/>
    <n v="41.2"/>
    <n v="1.62"/>
    <n v="193"/>
    <n v="144"/>
    <n v="64"/>
    <n v="1.49"/>
    <n v="1073"/>
    <x v="0"/>
    <n v="28.9"/>
    <n v="2.1"/>
    <x v="0"/>
    <n v="2"/>
    <n v="15.7"/>
    <s v="Underweight"/>
    <n v="720.13422818791946"/>
  </r>
  <r>
    <n v="103"/>
    <s v="Kolkata"/>
    <n v="29"/>
    <s v="Male"/>
    <n v="58.6"/>
    <n v="1.61"/>
    <n v="198"/>
    <n v="122"/>
    <n v="72"/>
    <n v="1.2"/>
    <n v="805"/>
    <x v="0"/>
    <n v="23.4"/>
    <n v="2"/>
    <x v="1"/>
    <n v="2"/>
    <n v="22.61"/>
    <s v="Normal Weight"/>
    <n v="670.83333333333337"/>
  </r>
  <r>
    <n v="104"/>
    <s v="Kolkata"/>
    <n v="51"/>
    <s v="Male"/>
    <n v="109.3"/>
    <n v="1.78"/>
    <n v="182"/>
    <n v="157"/>
    <n v="64"/>
    <n v="0.54"/>
    <n v="420"/>
    <x v="3"/>
    <n v="28.7"/>
    <n v="3.3"/>
    <x v="1"/>
    <n v="1"/>
    <n v="34.5"/>
    <s v="Obesity"/>
    <n v="777.77777777777771"/>
  </r>
  <r>
    <n v="105"/>
    <s v="Ahmedabad"/>
    <n v="50"/>
    <s v="Male"/>
    <n v="69.599999999999994"/>
    <n v="1.96"/>
    <n v="166"/>
    <n v="139"/>
    <n v="68"/>
    <n v="0.97"/>
    <n v="667"/>
    <x v="3"/>
    <n v="25.6"/>
    <n v="2"/>
    <x v="1"/>
    <n v="1"/>
    <n v="18.12"/>
    <s v="Underweight"/>
    <n v="687.62886597938143"/>
  </r>
  <r>
    <n v="106"/>
    <s v="Pune"/>
    <n v="40"/>
    <s v="Female"/>
    <n v="56.2"/>
    <n v="1.79"/>
    <n v="198"/>
    <n v="153"/>
    <n v="57"/>
    <n v="1.79"/>
    <n v="1369"/>
    <x v="0"/>
    <n v="17.600000000000001"/>
    <n v="2.7"/>
    <x v="2"/>
    <n v="3"/>
    <n v="17.54"/>
    <s v="Underweight"/>
    <n v="764.80446927374305"/>
  </r>
  <r>
    <n v="107"/>
    <s v="Bengaluru"/>
    <n v="41"/>
    <s v="Male"/>
    <n v="71.7"/>
    <n v="1.96"/>
    <n v="162"/>
    <n v="168"/>
    <n v="51"/>
    <n v="0.51"/>
    <n v="424"/>
    <x v="0"/>
    <n v="27.3"/>
    <n v="2.5"/>
    <x v="3"/>
    <n v="1"/>
    <n v="18.66"/>
    <s v="Normal Weight"/>
    <n v="831.37254901960785"/>
  </r>
  <r>
    <n v="108"/>
    <s v="Ahmedabad"/>
    <n v="54"/>
    <s v="Male"/>
    <n v="86"/>
    <n v="1.93"/>
    <n v="171"/>
    <n v="163"/>
    <n v="51"/>
    <n v="1.74"/>
    <n v="1404"/>
    <x v="3"/>
    <n v="12.9"/>
    <n v="3.5"/>
    <x v="2"/>
    <n v="3"/>
    <n v="23.09"/>
    <s v="Normal Weight"/>
    <n v="806.89655172413791"/>
  </r>
  <r>
    <n v="109"/>
    <s v="Chennai"/>
    <n v="52"/>
    <s v="Female"/>
    <n v="79.400000000000006"/>
    <n v="1.59"/>
    <n v="166"/>
    <n v="163"/>
    <n v="59"/>
    <n v="1.39"/>
    <n v="1020"/>
    <x v="3"/>
    <n v="26.6"/>
    <n v="1.5"/>
    <x v="1"/>
    <n v="2"/>
    <n v="31.41"/>
    <s v="Obesity"/>
    <n v="733.8129496402878"/>
  </r>
  <r>
    <n v="110"/>
    <s v="Bengaluru"/>
    <n v="57"/>
    <s v="Female"/>
    <n v="78.400000000000006"/>
    <n v="1.62"/>
    <n v="185"/>
    <n v="149"/>
    <n v="52"/>
    <n v="1.01"/>
    <n v="677"/>
    <x v="3"/>
    <n v="31.7"/>
    <n v="2"/>
    <x v="0"/>
    <n v="2"/>
    <n v="29.87"/>
    <s v="Overweight"/>
    <n v="670.29702970297024"/>
  </r>
  <r>
    <n v="111"/>
    <s v="Mumbai"/>
    <n v="39"/>
    <s v="Female"/>
    <n v="55.4"/>
    <n v="1.6"/>
    <n v="192"/>
    <n v="136"/>
    <n v="72"/>
    <n v="1.44"/>
    <n v="979"/>
    <x v="1"/>
    <n v="26.3"/>
    <n v="1.6"/>
    <x v="1"/>
    <n v="2"/>
    <n v="21.64"/>
    <s v="Normal Weight"/>
    <n v="679.86111111111109"/>
  </r>
  <r>
    <n v="112"/>
    <s v="Bengaluru"/>
    <n v="44"/>
    <s v="Female"/>
    <n v="61.7"/>
    <n v="1.55"/>
    <n v="196"/>
    <n v="129"/>
    <n v="66"/>
    <n v="1.41"/>
    <n v="819"/>
    <x v="3"/>
    <n v="33.1"/>
    <n v="2.6"/>
    <x v="0"/>
    <n v="2"/>
    <n v="25.68"/>
    <s v="Overweight"/>
    <n v="580.85106382978722"/>
  </r>
  <r>
    <n v="113"/>
    <s v="Pune"/>
    <n v="52"/>
    <s v="Male"/>
    <n v="85.5"/>
    <n v="1.82"/>
    <n v="174"/>
    <n v="154"/>
    <n v="57"/>
    <n v="1.78"/>
    <n v="1357"/>
    <x v="0"/>
    <n v="14.9"/>
    <n v="3.5"/>
    <x v="0"/>
    <n v="3"/>
    <n v="25.81"/>
    <s v="Overweight"/>
    <n v="762.35955056179773"/>
  </r>
  <r>
    <n v="114"/>
    <s v="Bengaluru"/>
    <n v="18"/>
    <s v="Male"/>
    <n v="87.6"/>
    <n v="1.93"/>
    <n v="161"/>
    <n v="139"/>
    <n v="72"/>
    <n v="1.72"/>
    <n v="1315"/>
    <x v="1"/>
    <n v="11.9"/>
    <n v="3.5"/>
    <x v="0"/>
    <n v="3"/>
    <n v="23.52"/>
    <s v="Normal Weight"/>
    <n v="764.53488372093022"/>
  </r>
  <r>
    <n v="115"/>
    <s v="Mumbai"/>
    <n v="52"/>
    <s v="Male"/>
    <n v="82.4"/>
    <n v="1.72"/>
    <n v="166"/>
    <n v="137"/>
    <n v="53"/>
    <n v="1.01"/>
    <n v="685"/>
    <x v="3"/>
    <n v="24.4"/>
    <n v="2.7"/>
    <x v="0"/>
    <n v="2"/>
    <n v="27.85"/>
    <s v="Overweight"/>
    <n v="678.21782178217825"/>
  </r>
  <r>
    <n v="116"/>
    <s v="Pune"/>
    <n v="54"/>
    <s v="Male"/>
    <n v="67"/>
    <n v="1.68"/>
    <n v="191"/>
    <n v="164"/>
    <n v="63"/>
    <n v="0.55000000000000004"/>
    <n v="446"/>
    <x v="0"/>
    <n v="20.5"/>
    <n v="2.8"/>
    <x v="1"/>
    <n v="1"/>
    <n v="23.74"/>
    <s v="Normal Weight"/>
    <n v="810.90909090909088"/>
  </r>
  <r>
    <n v="117"/>
    <s v="Noida"/>
    <n v="31"/>
    <s v="Female"/>
    <n v="42.3"/>
    <n v="1.6"/>
    <n v="163"/>
    <n v="163"/>
    <n v="70"/>
    <n v="1.0900000000000001"/>
    <n v="888"/>
    <x v="2"/>
    <n v="25.1"/>
    <n v="1.9"/>
    <x v="1"/>
    <n v="2"/>
    <n v="16.52"/>
    <s v="Underweight"/>
    <n v="814.67889908256871"/>
  </r>
  <r>
    <n v="118"/>
    <s v="Kolkata"/>
    <n v="20"/>
    <s v="Male"/>
    <n v="82.7"/>
    <n v="1.99"/>
    <n v="179"/>
    <n v="146"/>
    <n v="59"/>
    <n v="1.69"/>
    <n v="1357"/>
    <x v="1"/>
    <n v="14.6"/>
    <n v="3.5"/>
    <x v="2"/>
    <n v="3"/>
    <n v="20.88"/>
    <s v="Normal Weight"/>
    <n v="802.95857988165687"/>
  </r>
  <r>
    <n v="119"/>
    <s v="Kolkata"/>
    <n v="18"/>
    <s v="Male"/>
    <n v="92.4"/>
    <n v="1.74"/>
    <n v="195"/>
    <n v="168"/>
    <n v="50"/>
    <n v="1.41"/>
    <n v="1303"/>
    <x v="0"/>
    <n v="21.3"/>
    <n v="3.1"/>
    <x v="3"/>
    <n v="1"/>
    <n v="30.52"/>
    <s v="Obesity"/>
    <n v="924.11347517730496"/>
  </r>
  <r>
    <n v="120"/>
    <s v="Gurgaon"/>
    <n v="22"/>
    <s v="Female"/>
    <n v="63.2"/>
    <n v="1.54"/>
    <n v="191"/>
    <n v="155"/>
    <n v="53"/>
    <n v="1.02"/>
    <n v="790"/>
    <x v="2"/>
    <n v="29.5"/>
    <n v="2.4"/>
    <x v="0"/>
    <n v="2"/>
    <n v="26.65"/>
    <s v="Overweight"/>
    <n v="774.50980392156862"/>
  </r>
  <r>
    <n v="121"/>
    <s v="Noida"/>
    <n v="43"/>
    <s v="Male"/>
    <n v="82.7"/>
    <n v="1.85"/>
    <n v="187"/>
    <n v="142"/>
    <n v="50"/>
    <n v="1.22"/>
    <n v="858"/>
    <x v="0"/>
    <n v="28.2"/>
    <n v="3.1"/>
    <x v="0"/>
    <n v="2"/>
    <n v="24.16"/>
    <s v="Normal Weight"/>
    <n v="703.27868852459017"/>
  </r>
  <r>
    <n v="122"/>
    <s v="Noida"/>
    <n v="31"/>
    <s v="Male"/>
    <n v="86.6"/>
    <n v="1.76"/>
    <n v="172"/>
    <n v="151"/>
    <n v="66"/>
    <n v="1.29"/>
    <n v="1071"/>
    <x v="3"/>
    <n v="28.9"/>
    <n v="3.3"/>
    <x v="1"/>
    <n v="2"/>
    <n v="27.96"/>
    <s v="Overweight"/>
    <n v="830.23255813953483"/>
  </r>
  <r>
    <n v="123"/>
    <s v="Bengaluru"/>
    <n v="56"/>
    <s v="Male"/>
    <n v="129.5"/>
    <n v="1.95"/>
    <n v="160"/>
    <n v="129"/>
    <n v="66"/>
    <n v="1"/>
    <n v="639"/>
    <x v="3"/>
    <n v="25.2"/>
    <n v="3.5"/>
    <x v="3"/>
    <n v="1"/>
    <n v="34.06"/>
    <s v="Obesity"/>
    <n v="639"/>
  </r>
  <r>
    <n v="124"/>
    <s v="Kolkata"/>
    <n v="44"/>
    <s v="Male"/>
    <n v="98"/>
    <n v="1.83"/>
    <n v="194"/>
    <n v="130"/>
    <n v="56"/>
    <n v="1.28"/>
    <n v="824"/>
    <x v="2"/>
    <n v="25.7"/>
    <n v="3.5"/>
    <x v="0"/>
    <n v="2"/>
    <n v="29.26"/>
    <s v="Overweight"/>
    <n v="643.75"/>
  </r>
  <r>
    <n v="125"/>
    <s v="Mumbai"/>
    <n v="26"/>
    <s v="Male"/>
    <n v="86.2"/>
    <n v="1.68"/>
    <n v="189"/>
    <n v="157"/>
    <n v="72"/>
    <n v="1.97"/>
    <n v="1701"/>
    <x v="3"/>
    <n v="13.3"/>
    <n v="3.5"/>
    <x v="2"/>
    <n v="3"/>
    <n v="30.54"/>
    <s v="Obesity"/>
    <n v="863.45177664974619"/>
  </r>
  <r>
    <n v="126"/>
    <s v="Hyderabad"/>
    <n v="32"/>
    <s v="Male"/>
    <n v="78.599999999999994"/>
    <n v="1.62"/>
    <n v="195"/>
    <n v="125"/>
    <n v="69"/>
    <n v="1.28"/>
    <n v="880"/>
    <x v="0"/>
    <n v="29.6"/>
    <n v="3.1"/>
    <x v="1"/>
    <n v="1"/>
    <n v="29.95"/>
    <s v="Overweight"/>
    <n v="687.5"/>
  </r>
  <r>
    <n v="127"/>
    <s v="Hyderabad"/>
    <n v="32"/>
    <s v="Female"/>
    <n v="59"/>
    <n v="1.66"/>
    <n v="184"/>
    <n v="160"/>
    <n v="64"/>
    <n v="0.51"/>
    <n v="408"/>
    <x v="2"/>
    <n v="31"/>
    <n v="1.8"/>
    <x v="3"/>
    <n v="1"/>
    <n v="21.41"/>
    <s v="Normal Weight"/>
    <n v="800"/>
  </r>
  <r>
    <n v="128"/>
    <s v="Pune"/>
    <n v="43"/>
    <s v="Female"/>
    <n v="57.3"/>
    <n v="1.79"/>
    <n v="175"/>
    <n v="166"/>
    <n v="62"/>
    <n v="1.98"/>
    <n v="1479"/>
    <x v="0"/>
    <n v="17.8"/>
    <n v="2.7"/>
    <x v="0"/>
    <n v="3"/>
    <n v="17.88"/>
    <s v="Underweight"/>
    <n v="746.969696969697"/>
  </r>
  <r>
    <n v="129"/>
    <s v="Kolkata"/>
    <n v="59"/>
    <s v="Male"/>
    <n v="122.3"/>
    <n v="1.89"/>
    <n v="178"/>
    <n v="153"/>
    <n v="51"/>
    <n v="0.66"/>
    <n v="500"/>
    <x v="0"/>
    <n v="20.100000000000001"/>
    <n v="3.1"/>
    <x v="1"/>
    <n v="1"/>
    <n v="34.24"/>
    <s v="Obesity"/>
    <n v="757.57575757575751"/>
  </r>
  <r>
    <n v="130"/>
    <s v="Kolkata"/>
    <n v="30"/>
    <s v="Male"/>
    <n v="85.3"/>
    <n v="1.95"/>
    <n v="160"/>
    <n v="155"/>
    <n v="68"/>
    <n v="1.61"/>
    <n v="1373"/>
    <x v="0"/>
    <n v="10.4"/>
    <n v="3.5"/>
    <x v="2"/>
    <n v="3"/>
    <n v="22.43"/>
    <s v="Normal Weight"/>
    <n v="852.79503105590061"/>
  </r>
  <r>
    <n v="131"/>
    <s v="Hyderabad"/>
    <n v="49"/>
    <s v="Female"/>
    <n v="45.2"/>
    <n v="1.74"/>
    <n v="164"/>
    <n v="156"/>
    <n v="73"/>
    <n v="1.24"/>
    <n v="870"/>
    <x v="3"/>
    <n v="30.8"/>
    <n v="2.1"/>
    <x v="1"/>
    <n v="2"/>
    <n v="14.93"/>
    <s v="Underweight"/>
    <n v="701.61290322580646"/>
  </r>
  <r>
    <n v="132"/>
    <s v="Kolkata"/>
    <n v="56"/>
    <s v="Male"/>
    <n v="55.6"/>
    <n v="1.92"/>
    <n v="181"/>
    <n v="136"/>
    <n v="62"/>
    <n v="0.68"/>
    <n v="458"/>
    <x v="3"/>
    <n v="29.4"/>
    <n v="3.2"/>
    <x v="1"/>
    <n v="1"/>
    <n v="15.08"/>
    <s v="Underweight"/>
    <n v="673.52941176470586"/>
  </r>
  <r>
    <n v="133"/>
    <s v="Bengaluru"/>
    <n v="49"/>
    <s v="Male"/>
    <n v="82.8"/>
    <n v="1.95"/>
    <n v="183"/>
    <n v="159"/>
    <n v="73"/>
    <n v="1.91"/>
    <n v="1503"/>
    <x v="0"/>
    <n v="14.3"/>
    <n v="3.5"/>
    <x v="2"/>
    <n v="3"/>
    <n v="21.78"/>
    <s v="Normal Weight"/>
    <n v="786.91099476439797"/>
  </r>
  <r>
    <n v="134"/>
    <s v="Chennai"/>
    <n v="21"/>
    <s v="Male"/>
    <n v="125.2"/>
    <n v="1.66"/>
    <n v="196"/>
    <n v="159"/>
    <n v="60"/>
    <n v="1.38"/>
    <n v="1207"/>
    <x v="1"/>
    <n v="29.8"/>
    <n v="3.4"/>
    <x v="1"/>
    <n v="2"/>
    <n v="45.43"/>
    <s v="Obesity"/>
    <n v="874.63768115942037"/>
  </r>
  <r>
    <n v="135"/>
    <s v="Delhi"/>
    <n v="47"/>
    <s v="Female"/>
    <n v="58.5"/>
    <n v="1.79"/>
    <n v="195"/>
    <n v="131"/>
    <n v="71"/>
    <n v="1.42"/>
    <n v="837"/>
    <x v="0"/>
    <n v="30.3"/>
    <n v="2.4"/>
    <x v="0"/>
    <n v="2"/>
    <n v="18.260000000000002"/>
    <s v="Underweight"/>
    <n v="589.43661971830988"/>
  </r>
  <r>
    <n v="136"/>
    <s v="Noida"/>
    <n v="54"/>
    <s v="Male"/>
    <n v="86.1"/>
    <n v="1.95"/>
    <n v="195"/>
    <n v="140"/>
    <n v="64"/>
    <n v="1.17"/>
    <n v="811"/>
    <x v="0"/>
    <n v="27.9"/>
    <n v="3.4"/>
    <x v="3"/>
    <n v="1"/>
    <n v="22.64"/>
    <s v="Normal Weight"/>
    <n v="693.16239316239319"/>
  </r>
  <r>
    <n v="137"/>
    <s v="Gurgaon"/>
    <n v="40"/>
    <s v="Female"/>
    <n v="63.5"/>
    <n v="1.61"/>
    <n v="163"/>
    <n v="159"/>
    <n v="59"/>
    <n v="1.31"/>
    <n v="1041"/>
    <x v="2"/>
    <n v="33.4"/>
    <n v="1.6"/>
    <x v="1"/>
    <n v="2"/>
    <n v="24.5"/>
    <s v="Normal Weight"/>
    <n v="794.6564885496183"/>
  </r>
  <r>
    <n v="138"/>
    <s v="Pune"/>
    <n v="56"/>
    <s v="Male"/>
    <n v="69.3"/>
    <n v="1.68"/>
    <n v="195"/>
    <n v="138"/>
    <n v="58"/>
    <n v="0.66"/>
    <n v="451"/>
    <x v="0"/>
    <n v="26.5"/>
    <n v="2.1"/>
    <x v="3"/>
    <n v="1"/>
    <n v="24.55"/>
    <s v="Normal Weight"/>
    <n v="683.33333333333326"/>
  </r>
  <r>
    <n v="139"/>
    <s v="Chennai"/>
    <n v="32"/>
    <s v="Female"/>
    <n v="70.5"/>
    <n v="1.62"/>
    <n v="177"/>
    <n v="122"/>
    <n v="58"/>
    <n v="1.24"/>
    <n v="756"/>
    <x v="3"/>
    <n v="28.4"/>
    <n v="1.8"/>
    <x v="3"/>
    <n v="1"/>
    <n v="26.86"/>
    <s v="Overweight"/>
    <n v="609.67741935483866"/>
  </r>
  <r>
    <n v="140"/>
    <s v="Hyderabad"/>
    <n v="46"/>
    <s v="Female"/>
    <n v="60.1"/>
    <n v="1.65"/>
    <n v="175"/>
    <n v="137"/>
    <n v="69"/>
    <n v="1.69"/>
    <n v="1042"/>
    <x v="2"/>
    <n v="17.3"/>
    <n v="2.7"/>
    <x v="0"/>
    <n v="3"/>
    <n v="22.08"/>
    <s v="Normal Weight"/>
    <n v="616.56804733727813"/>
  </r>
  <r>
    <n v="141"/>
    <s v="Noida"/>
    <n v="53"/>
    <s v="Male"/>
    <n v="94.1"/>
    <n v="1.95"/>
    <n v="177"/>
    <n v="138"/>
    <n v="50"/>
    <n v="0.89"/>
    <n v="608"/>
    <x v="1"/>
    <n v="28.6"/>
    <n v="3.5"/>
    <x v="1"/>
    <n v="1"/>
    <n v="24.75"/>
    <s v="Normal Weight"/>
    <n v="683.14606741573027"/>
  </r>
  <r>
    <n v="142"/>
    <s v="Kolkata"/>
    <n v="30"/>
    <s v="Female"/>
    <n v="79.2"/>
    <n v="1.62"/>
    <n v="181"/>
    <n v="166"/>
    <n v="66"/>
    <n v="1.26"/>
    <n v="1046"/>
    <x v="2"/>
    <n v="28"/>
    <n v="2.5"/>
    <x v="0"/>
    <n v="2"/>
    <n v="30.18"/>
    <s v="Obesity"/>
    <n v="830.15873015873012"/>
  </r>
  <r>
    <n v="143"/>
    <s v="Gurgaon"/>
    <n v="49"/>
    <s v="Male"/>
    <n v="115.3"/>
    <n v="1.91"/>
    <n v="161"/>
    <n v="125"/>
    <n v="61"/>
    <n v="1.38"/>
    <n v="854"/>
    <x v="1"/>
    <n v="29.2"/>
    <n v="3.2"/>
    <x v="3"/>
    <n v="1"/>
    <n v="31.61"/>
    <s v="Obesity"/>
    <n v="618.84057971014499"/>
  </r>
  <r>
    <n v="144"/>
    <s v="Kolkata"/>
    <n v="24"/>
    <s v="Female"/>
    <n v="62.9"/>
    <n v="1.79"/>
    <n v="180"/>
    <n v="135"/>
    <n v="59"/>
    <n v="1.42"/>
    <n v="958"/>
    <x v="2"/>
    <n v="27.3"/>
    <n v="2.2999999999999998"/>
    <x v="0"/>
    <n v="2"/>
    <n v="19.63"/>
    <s v="Normal Weight"/>
    <n v="674.64788732394368"/>
  </r>
  <r>
    <n v="145"/>
    <s v="Mumbai"/>
    <n v="39"/>
    <s v="Male"/>
    <n v="62"/>
    <n v="1.64"/>
    <n v="195"/>
    <n v="127"/>
    <n v="54"/>
    <n v="0.97"/>
    <n v="678"/>
    <x v="2"/>
    <n v="27.5"/>
    <n v="3.2"/>
    <x v="1"/>
    <n v="1"/>
    <n v="23.05"/>
    <s v="Normal Weight"/>
    <n v="698.96907216494844"/>
  </r>
  <r>
    <n v="146"/>
    <s v="Mumbai"/>
    <n v="45"/>
    <s v="Male"/>
    <n v="88.5"/>
    <n v="1.78"/>
    <n v="198"/>
    <n v="167"/>
    <n v="67"/>
    <n v="1.53"/>
    <n v="1265"/>
    <x v="1"/>
    <n v="13.2"/>
    <n v="3.5"/>
    <x v="0"/>
    <n v="3"/>
    <n v="27.93"/>
    <s v="Overweight"/>
    <n v="826.79738562091507"/>
  </r>
  <r>
    <n v="147"/>
    <s v="Gurgaon"/>
    <n v="19"/>
    <s v="Female"/>
    <n v="73.900000000000006"/>
    <n v="1.77"/>
    <n v="198"/>
    <n v="137"/>
    <n v="64"/>
    <n v="1.28"/>
    <n v="877"/>
    <x v="3"/>
    <n v="32.5"/>
    <n v="2.6"/>
    <x v="1"/>
    <n v="2"/>
    <n v="23.59"/>
    <s v="Normal Weight"/>
    <n v="685.15625"/>
  </r>
  <r>
    <n v="148"/>
    <s v="Gurgaon"/>
    <n v="59"/>
    <s v="Male"/>
    <n v="50.3"/>
    <n v="1.95"/>
    <n v="188"/>
    <n v="167"/>
    <n v="55"/>
    <n v="1.07"/>
    <n v="885"/>
    <x v="3"/>
    <n v="24.4"/>
    <n v="3.4"/>
    <x v="1"/>
    <n v="1"/>
    <n v="13.23"/>
    <s v="Underweight"/>
    <n v="827.10280373831768"/>
  </r>
  <r>
    <n v="149"/>
    <s v="Hyderabad"/>
    <n v="23"/>
    <s v="Male"/>
    <n v="83.1"/>
    <n v="1.8"/>
    <n v="185"/>
    <n v="162"/>
    <n v="56"/>
    <n v="0.7"/>
    <n v="624"/>
    <x v="3"/>
    <n v="29.3"/>
    <n v="3.1"/>
    <x v="1"/>
    <n v="1"/>
    <n v="25.65"/>
    <s v="Overweight"/>
    <n v="891.42857142857144"/>
  </r>
  <r>
    <n v="150"/>
    <s v="Gurgaon"/>
    <n v="45"/>
    <s v="Female"/>
    <n v="65.099999999999994"/>
    <n v="1.78"/>
    <n v="180"/>
    <n v="158"/>
    <n v="66"/>
    <n v="1.46"/>
    <n v="1038"/>
    <x v="2"/>
    <n v="31.3"/>
    <n v="2.2999999999999998"/>
    <x v="1"/>
    <n v="1"/>
    <n v="20.55"/>
    <s v="Normal Weight"/>
    <n v="710.95890410958907"/>
  </r>
  <r>
    <n v="151"/>
    <s v="Bengaluru"/>
    <n v="45"/>
    <s v="Male"/>
    <n v="46.6"/>
    <n v="1.79"/>
    <n v="176"/>
    <n v="168"/>
    <n v="55"/>
    <n v="1.46"/>
    <n v="1214"/>
    <x v="0"/>
    <n v="22.9"/>
    <n v="2.4"/>
    <x v="1"/>
    <n v="2"/>
    <n v="14.54"/>
    <s v="Underweight"/>
    <n v="831.50684931506851"/>
  </r>
  <r>
    <n v="152"/>
    <s v="Kolkata"/>
    <n v="37"/>
    <s v="Male"/>
    <n v="103.5"/>
    <n v="1.89"/>
    <n v="175"/>
    <n v="168"/>
    <n v="57"/>
    <n v="0.54"/>
    <n v="499"/>
    <x v="2"/>
    <n v="26.4"/>
    <n v="3.1"/>
    <x v="3"/>
    <n v="1"/>
    <n v="28.97"/>
    <s v="Overweight"/>
    <n v="924.07407407407402"/>
  </r>
  <r>
    <n v="153"/>
    <s v="Chennai"/>
    <n v="47"/>
    <s v="Female"/>
    <n v="61.9"/>
    <n v="1.54"/>
    <n v="190"/>
    <n v="131"/>
    <n v="61"/>
    <n v="1.95"/>
    <n v="1150"/>
    <x v="0"/>
    <n v="16.399999999999999"/>
    <n v="2.7"/>
    <x v="0"/>
    <n v="3"/>
    <n v="26.1"/>
    <s v="Overweight"/>
    <n v="589.74358974358972"/>
  </r>
  <r>
    <n v="154"/>
    <s v="Ahmedabad"/>
    <n v="28"/>
    <s v="Female"/>
    <n v="52"/>
    <n v="1.61"/>
    <n v="168"/>
    <n v="164"/>
    <n v="70"/>
    <n v="1.32"/>
    <n v="1082"/>
    <x v="0"/>
    <n v="27.9"/>
    <n v="2"/>
    <x v="1"/>
    <n v="2"/>
    <n v="20.059999999999999"/>
    <s v="Normal Weight"/>
    <n v="819.69696969696963"/>
  </r>
  <r>
    <n v="155"/>
    <s v="Gurgaon"/>
    <n v="45"/>
    <s v="Male"/>
    <n v="113.4"/>
    <n v="1.71"/>
    <n v="190"/>
    <n v="129"/>
    <n v="63"/>
    <n v="0.83"/>
    <n v="530"/>
    <x v="3"/>
    <n v="24"/>
    <n v="2.2999999999999998"/>
    <x v="3"/>
    <n v="1"/>
    <n v="38.78"/>
    <s v="Obesity"/>
    <n v="638.5542168674699"/>
  </r>
  <r>
    <n v="156"/>
    <s v="Pune"/>
    <n v="42"/>
    <s v="Male"/>
    <n v="62.9"/>
    <n v="1.98"/>
    <n v="173"/>
    <n v="126"/>
    <n v="61"/>
    <n v="1.42"/>
    <n v="886"/>
    <x v="0"/>
    <n v="28.5"/>
    <n v="3.4"/>
    <x v="0"/>
    <n v="2"/>
    <n v="16.04"/>
    <s v="Underweight"/>
    <n v="623.94366197183103"/>
  </r>
  <r>
    <n v="157"/>
    <s v="Mumbai"/>
    <n v="56"/>
    <s v="Female"/>
    <n v="40.4"/>
    <n v="1.8"/>
    <n v="196"/>
    <n v="165"/>
    <n v="72"/>
    <n v="1.23"/>
    <n v="913"/>
    <x v="2"/>
    <n v="30"/>
    <n v="2.1"/>
    <x v="0"/>
    <n v="2"/>
    <n v="12.47"/>
    <s v="Underweight"/>
    <n v="742.27642276422762"/>
  </r>
  <r>
    <n v="158"/>
    <s v="Bengaluru"/>
    <n v="50"/>
    <s v="Female"/>
    <n v="67.099999999999994"/>
    <n v="1.75"/>
    <n v="161"/>
    <n v="120"/>
    <n v="59"/>
    <n v="0.67"/>
    <n v="362"/>
    <x v="2"/>
    <n v="31.8"/>
    <n v="2.7"/>
    <x v="1"/>
    <n v="1"/>
    <n v="21.91"/>
    <s v="Normal Weight"/>
    <n v="540.29850746268653"/>
  </r>
  <r>
    <n v="159"/>
    <s v="Noida"/>
    <n v="18"/>
    <s v="Male"/>
    <n v="70"/>
    <n v="1.61"/>
    <n v="173"/>
    <n v="168"/>
    <n v="71"/>
    <n v="1.3"/>
    <n v="1201"/>
    <x v="3"/>
    <n v="23.9"/>
    <n v="2.5"/>
    <x v="3"/>
    <n v="1"/>
    <n v="27.01"/>
    <s v="Overweight"/>
    <n v="923.84615384615381"/>
  </r>
  <r>
    <n v="160"/>
    <s v="Ahmedabad"/>
    <n v="44"/>
    <s v="Female"/>
    <n v="69.5"/>
    <n v="1.75"/>
    <n v="192"/>
    <n v="155"/>
    <n v="69"/>
    <n v="1.02"/>
    <n v="711"/>
    <x v="1"/>
    <n v="27.6"/>
    <n v="2.1"/>
    <x v="1"/>
    <n v="1"/>
    <n v="22.69"/>
    <s v="Normal Weight"/>
    <n v="697.05882352941171"/>
  </r>
  <r>
    <n v="161"/>
    <s v="Chennai"/>
    <n v="30"/>
    <s v="Male"/>
    <n v="107.9"/>
    <n v="1.66"/>
    <n v="194"/>
    <n v="140"/>
    <n v="64"/>
    <n v="1.08"/>
    <n v="832"/>
    <x v="2"/>
    <n v="29.5"/>
    <n v="2.8"/>
    <x v="1"/>
    <n v="2"/>
    <n v="39.159999999999997"/>
    <s v="Obesity"/>
    <n v="770.37037037037032"/>
  </r>
  <r>
    <n v="162"/>
    <s v="Ahmedabad"/>
    <n v="58"/>
    <s v="Male"/>
    <n v="109"/>
    <n v="1.91"/>
    <n v="198"/>
    <n v="156"/>
    <n v="56"/>
    <n v="1.49"/>
    <n v="1151"/>
    <x v="0"/>
    <n v="26"/>
    <n v="2.2000000000000002"/>
    <x v="1"/>
    <n v="2"/>
    <n v="29.88"/>
    <s v="Overweight"/>
    <n v="772.48322147651004"/>
  </r>
  <r>
    <n v="163"/>
    <s v="Gurgaon"/>
    <n v="20"/>
    <s v="Male"/>
    <n v="101"/>
    <n v="1.91"/>
    <n v="179"/>
    <n v="143"/>
    <n v="58"/>
    <n v="1.36"/>
    <n v="1070"/>
    <x v="2"/>
    <n v="29.3"/>
    <n v="2.7"/>
    <x v="1"/>
    <n v="2"/>
    <n v="27.69"/>
    <s v="Overweight"/>
    <n v="786.76470588235293"/>
  </r>
  <r>
    <n v="164"/>
    <s v="Hyderabad"/>
    <n v="56"/>
    <s v="Male"/>
    <n v="88.5"/>
    <n v="1.85"/>
    <n v="161"/>
    <n v="144"/>
    <n v="59"/>
    <n v="1.57"/>
    <n v="1119"/>
    <x v="2"/>
    <n v="11"/>
    <n v="3.5"/>
    <x v="0"/>
    <n v="3"/>
    <n v="25.86"/>
    <s v="Overweight"/>
    <n v="712.73885350318471"/>
  </r>
  <r>
    <n v="165"/>
    <s v="Mumbai"/>
    <n v="23"/>
    <s v="Male"/>
    <n v="80.900000000000006"/>
    <n v="1.8"/>
    <n v="178"/>
    <n v="126"/>
    <n v="59"/>
    <n v="1.55"/>
    <n v="1074"/>
    <x v="2"/>
    <n v="10.7"/>
    <n v="3.5"/>
    <x v="0"/>
    <n v="3"/>
    <n v="24.97"/>
    <s v="Normal Weight"/>
    <n v="692.90322580645159"/>
  </r>
  <r>
    <n v="166"/>
    <s v="Mumbai"/>
    <n v="25"/>
    <s v="Female"/>
    <n v="43.1"/>
    <n v="1.62"/>
    <n v="196"/>
    <n v="161"/>
    <n v="65"/>
    <n v="1.04"/>
    <n v="837"/>
    <x v="1"/>
    <n v="33.6"/>
    <n v="1.8"/>
    <x v="0"/>
    <n v="2"/>
    <n v="16.420000000000002"/>
    <s v="Underweight"/>
    <n v="804.80769230769226"/>
  </r>
  <r>
    <n v="167"/>
    <s v="Noida"/>
    <n v="44"/>
    <s v="Female"/>
    <n v="59.1"/>
    <n v="1.52"/>
    <n v="177"/>
    <n v="136"/>
    <n v="56"/>
    <n v="1.58"/>
    <n v="967"/>
    <x v="0"/>
    <n v="18.399999999999999"/>
    <n v="2.7"/>
    <x v="2"/>
    <n v="3"/>
    <n v="25.58"/>
    <s v="Overweight"/>
    <n v="612.02531645569616"/>
  </r>
  <r>
    <n v="168"/>
    <s v="Hyderabad"/>
    <n v="26"/>
    <s v="Female"/>
    <n v="54"/>
    <n v="1.53"/>
    <n v="175"/>
    <n v="148"/>
    <n v="54"/>
    <n v="1.1399999999999999"/>
    <n v="844"/>
    <x v="3"/>
    <n v="26.9"/>
    <n v="1.7"/>
    <x v="1"/>
    <n v="1"/>
    <n v="23.07"/>
    <s v="Normal Weight"/>
    <n v="740.35087719298247"/>
  </r>
  <r>
    <n v="169"/>
    <s v="Kolkata"/>
    <n v="54"/>
    <s v="Female"/>
    <n v="72.3"/>
    <n v="1.78"/>
    <n v="163"/>
    <n v="149"/>
    <n v="72"/>
    <n v="1.27"/>
    <n v="852"/>
    <x v="2"/>
    <n v="27.7"/>
    <n v="1.8"/>
    <x v="3"/>
    <n v="1"/>
    <n v="22.82"/>
    <s v="Normal Weight"/>
    <n v="670.8661417322835"/>
  </r>
  <r>
    <n v="170"/>
    <s v="Delhi"/>
    <n v="50"/>
    <s v="Male"/>
    <n v="51.1"/>
    <n v="1.98"/>
    <n v="171"/>
    <n v="126"/>
    <n v="52"/>
    <n v="0.92"/>
    <n v="574"/>
    <x v="0"/>
    <n v="28"/>
    <n v="2.4"/>
    <x v="3"/>
    <n v="1"/>
    <n v="13.03"/>
    <s v="Underweight"/>
    <n v="623.91304347826087"/>
  </r>
  <r>
    <n v="171"/>
    <s v="Bengaluru"/>
    <n v="59"/>
    <s v="Male"/>
    <n v="89.4"/>
    <n v="1.72"/>
    <n v="188"/>
    <n v="152"/>
    <n v="67"/>
    <n v="1.08"/>
    <n v="813"/>
    <x v="0"/>
    <n v="24.5"/>
    <n v="3.2"/>
    <x v="1"/>
    <n v="1"/>
    <n v="30.22"/>
    <s v="Obesity"/>
    <n v="752.77777777777771"/>
  </r>
  <r>
    <n v="172"/>
    <s v="Mumbai"/>
    <n v="41"/>
    <s v="Male"/>
    <n v="51.5"/>
    <n v="1.8"/>
    <n v="166"/>
    <n v="126"/>
    <n v="60"/>
    <n v="1.0900000000000001"/>
    <n v="680"/>
    <x v="3"/>
    <n v="26.7"/>
    <n v="2.1"/>
    <x v="0"/>
    <n v="2"/>
    <n v="15.9"/>
    <s v="Underweight"/>
    <n v="623.85321100917429"/>
  </r>
  <r>
    <n v="173"/>
    <s v="Pune"/>
    <n v="32"/>
    <s v="Male"/>
    <n v="87.9"/>
    <n v="1.88"/>
    <n v="173"/>
    <n v="143"/>
    <n v="64"/>
    <n v="1.52"/>
    <n v="1195"/>
    <x v="2"/>
    <n v="11.6"/>
    <n v="3.5"/>
    <x v="2"/>
    <n v="3"/>
    <n v="24.87"/>
    <s v="Normal Weight"/>
    <n v="786.18421052631572"/>
  </r>
  <r>
    <n v="174"/>
    <s v="Mumbai"/>
    <n v="49"/>
    <s v="Female"/>
    <n v="42"/>
    <n v="1.52"/>
    <n v="171"/>
    <n v="130"/>
    <n v="70"/>
    <n v="1.1000000000000001"/>
    <n v="644"/>
    <x v="1"/>
    <n v="28.8"/>
    <n v="2.2000000000000002"/>
    <x v="1"/>
    <n v="1"/>
    <n v="18.18"/>
    <s v="Underweight"/>
    <n v="585.45454545454538"/>
  </r>
  <r>
    <n v="175"/>
    <s v="Ahmedabad"/>
    <n v="49"/>
    <s v="Male"/>
    <n v="79.2"/>
    <n v="1.72"/>
    <n v="194"/>
    <n v="128"/>
    <n v="69"/>
    <n v="1.46"/>
    <n v="925"/>
    <x v="0"/>
    <n v="29.9"/>
    <n v="3.3"/>
    <x v="1"/>
    <n v="1"/>
    <n v="26.77"/>
    <s v="Overweight"/>
    <n v="633.56164383561645"/>
  </r>
  <r>
    <n v="176"/>
    <s v="Mumbai"/>
    <n v="41"/>
    <s v="Male"/>
    <n v="64.8"/>
    <n v="1.71"/>
    <n v="164"/>
    <n v="131"/>
    <n v="54"/>
    <n v="1.2"/>
    <n v="778"/>
    <x v="3"/>
    <n v="22.5"/>
    <n v="2.8"/>
    <x v="1"/>
    <n v="2"/>
    <n v="22.16"/>
    <s v="Normal Weight"/>
    <n v="648.33333333333337"/>
  </r>
  <r>
    <n v="177"/>
    <s v="Mumbai"/>
    <n v="58"/>
    <s v="Female"/>
    <n v="63"/>
    <n v="1.78"/>
    <n v="176"/>
    <n v="154"/>
    <n v="73"/>
    <n v="1.58"/>
    <n v="1095"/>
    <x v="1"/>
    <n v="17.5"/>
    <n v="2.7"/>
    <x v="0"/>
    <n v="3"/>
    <n v="19.88"/>
    <s v="Normal Weight"/>
    <n v="693.03797468354423"/>
  </r>
  <r>
    <n v="178"/>
    <s v="Delhi"/>
    <n v="29"/>
    <s v="Female"/>
    <n v="56.2"/>
    <n v="1.77"/>
    <n v="191"/>
    <n v="123"/>
    <n v="61"/>
    <n v="0.68"/>
    <n v="418"/>
    <x v="0"/>
    <n v="33.4"/>
    <n v="2.6"/>
    <x v="1"/>
    <n v="1"/>
    <n v="17.940000000000001"/>
    <s v="Underweight"/>
    <n v="614.7058823529411"/>
  </r>
  <r>
    <n v="179"/>
    <s v="Delhi"/>
    <n v="56"/>
    <s v="Female"/>
    <n v="52.9"/>
    <n v="1.64"/>
    <n v="169"/>
    <n v="155"/>
    <n v="53"/>
    <n v="1.1000000000000001"/>
    <n v="767"/>
    <x v="2"/>
    <n v="27.4"/>
    <n v="2.2999999999999998"/>
    <x v="1"/>
    <n v="2"/>
    <n v="19.670000000000002"/>
    <s v="Normal Weight"/>
    <n v="697.27272727272725"/>
  </r>
  <r>
    <n v="180"/>
    <s v="Chennai"/>
    <n v="19"/>
    <s v="Female"/>
    <n v="49"/>
    <n v="1.69"/>
    <n v="176"/>
    <n v="147"/>
    <n v="64"/>
    <n v="1.05"/>
    <n v="772"/>
    <x v="0"/>
    <n v="29.2"/>
    <n v="2.4"/>
    <x v="1"/>
    <n v="1"/>
    <n v="17.16"/>
    <s v="Underweight"/>
    <n v="735.23809523809518"/>
  </r>
  <r>
    <n v="181"/>
    <s v="Kolkata"/>
    <n v="20"/>
    <s v="Male"/>
    <n v="128.19999999999999"/>
    <n v="1.84"/>
    <n v="164"/>
    <n v="132"/>
    <n v="58"/>
    <n v="0.83"/>
    <n v="603"/>
    <x v="1"/>
    <n v="26.2"/>
    <n v="2.2999999999999998"/>
    <x v="1"/>
    <n v="1"/>
    <n v="37.869999999999997"/>
    <s v="Obesity"/>
    <n v="726.50602409638554"/>
  </r>
  <r>
    <n v="182"/>
    <s v="Pune"/>
    <n v="54"/>
    <s v="Male"/>
    <n v="83.6"/>
    <n v="1.86"/>
    <n v="168"/>
    <n v="142"/>
    <n v="56"/>
    <n v="1.54"/>
    <n v="1082"/>
    <x v="1"/>
    <n v="12.4"/>
    <n v="3.5"/>
    <x v="2"/>
    <n v="3"/>
    <n v="24.16"/>
    <s v="Normal Weight"/>
    <n v="702.59740259740261"/>
  </r>
  <r>
    <n v="183"/>
    <s v="Mumbai"/>
    <n v="34"/>
    <s v="Female"/>
    <n v="56.2"/>
    <n v="1.77"/>
    <n v="192"/>
    <n v="138"/>
    <n v="59"/>
    <n v="1.81"/>
    <n v="1249"/>
    <x v="2"/>
    <n v="17.3"/>
    <n v="2.7"/>
    <x v="2"/>
    <n v="3"/>
    <n v="17.940000000000001"/>
    <s v="Underweight"/>
    <n v="690.0552486187845"/>
  </r>
  <r>
    <n v="184"/>
    <s v="Mumbai"/>
    <n v="19"/>
    <s v="Male"/>
    <n v="87.8"/>
    <n v="1.78"/>
    <n v="195"/>
    <n v="161"/>
    <n v="72"/>
    <n v="1.28"/>
    <n v="1133"/>
    <x v="2"/>
    <n v="23.6"/>
    <n v="3.3"/>
    <x v="3"/>
    <n v="1"/>
    <n v="27.71"/>
    <s v="Overweight"/>
    <n v="885.15625"/>
  </r>
  <r>
    <n v="185"/>
    <s v="Bengaluru"/>
    <n v="19"/>
    <s v="Male"/>
    <n v="85.9"/>
    <n v="1.85"/>
    <n v="195"/>
    <n v="156"/>
    <n v="62"/>
    <n v="1.66"/>
    <n v="1424"/>
    <x v="3"/>
    <n v="12.9"/>
    <n v="3.5"/>
    <x v="0"/>
    <n v="3"/>
    <n v="25.1"/>
    <s v="Overweight"/>
    <n v="857.83132530120486"/>
  </r>
  <r>
    <n v="186"/>
    <s v="Delhi"/>
    <n v="45"/>
    <s v="Male"/>
    <n v="51.1"/>
    <n v="1.87"/>
    <n v="177"/>
    <n v="158"/>
    <n v="57"/>
    <n v="1.44"/>
    <n v="1126"/>
    <x v="2"/>
    <n v="26.2"/>
    <n v="3.4"/>
    <x v="0"/>
    <n v="2"/>
    <n v="14.61"/>
    <s v="Underweight"/>
    <n v="781.94444444444446"/>
  </r>
  <r>
    <n v="187"/>
    <s v="Pune"/>
    <n v="40"/>
    <s v="Female"/>
    <n v="57.4"/>
    <n v="1.71"/>
    <n v="168"/>
    <n v="143"/>
    <n v="61"/>
    <n v="1.87"/>
    <n v="1337"/>
    <x v="3"/>
    <n v="18.3"/>
    <n v="2.7"/>
    <x v="2"/>
    <n v="3"/>
    <n v="19.63"/>
    <s v="Normal Weight"/>
    <n v="714.97326203208547"/>
  </r>
  <r>
    <n v="188"/>
    <s v="Noida"/>
    <n v="54"/>
    <s v="Male"/>
    <n v="114.9"/>
    <n v="1.92"/>
    <n v="188"/>
    <n v="135"/>
    <n v="71"/>
    <n v="1.2"/>
    <n v="802"/>
    <x v="1"/>
    <n v="20.7"/>
    <n v="2.6"/>
    <x v="0"/>
    <n v="2"/>
    <n v="31.17"/>
    <s v="Obesity"/>
    <n v="668.33333333333337"/>
  </r>
  <r>
    <n v="189"/>
    <s v="Chennai"/>
    <n v="49"/>
    <s v="Female"/>
    <n v="62.1"/>
    <n v="1.66"/>
    <n v="173"/>
    <n v="152"/>
    <n v="73"/>
    <n v="1.37"/>
    <n v="937"/>
    <x v="1"/>
    <n v="31.3"/>
    <n v="1.8"/>
    <x v="1"/>
    <n v="2"/>
    <n v="22.54"/>
    <s v="Normal Weight"/>
    <n v="683.94160583941596"/>
  </r>
  <r>
    <n v="190"/>
    <s v="Kolkata"/>
    <n v="50"/>
    <s v="Male"/>
    <n v="57.1"/>
    <n v="1.91"/>
    <n v="184"/>
    <n v="131"/>
    <n v="68"/>
    <n v="1.0900000000000001"/>
    <n v="707"/>
    <x v="0"/>
    <n v="29.5"/>
    <n v="2.7"/>
    <x v="0"/>
    <n v="2"/>
    <n v="15.65"/>
    <s v="Underweight"/>
    <n v="648.62385321100908"/>
  </r>
  <r>
    <n v="191"/>
    <s v="Hyderabad"/>
    <n v="18"/>
    <s v="Male"/>
    <n v="68.099999999999994"/>
    <n v="1.8"/>
    <n v="174"/>
    <n v="153"/>
    <n v="50"/>
    <n v="1.1000000000000001"/>
    <n v="926"/>
    <x v="0"/>
    <n v="25.4"/>
    <n v="3.3"/>
    <x v="0"/>
    <n v="2"/>
    <n v="21.02"/>
    <s v="Normal Weight"/>
    <n v="841.81818181818176"/>
  </r>
  <r>
    <n v="192"/>
    <s v="Kolkata"/>
    <n v="36"/>
    <s v="Male"/>
    <n v="69.2"/>
    <n v="1.65"/>
    <n v="165"/>
    <n v="126"/>
    <n v="65"/>
    <n v="1.23"/>
    <n v="852"/>
    <x v="3"/>
    <n v="27.2"/>
    <n v="2.7"/>
    <x v="1"/>
    <n v="1"/>
    <n v="25.42"/>
    <s v="Overweight"/>
    <n v="692.68292682926835"/>
  </r>
  <r>
    <n v="193"/>
    <s v="Ahmedabad"/>
    <n v="19"/>
    <s v="Female"/>
    <n v="65.2"/>
    <n v="1.52"/>
    <n v="188"/>
    <n v="130"/>
    <n v="71"/>
    <n v="1.23"/>
    <n v="800"/>
    <x v="2"/>
    <n v="30.6"/>
    <n v="2.4"/>
    <x v="1"/>
    <n v="1"/>
    <n v="28.22"/>
    <s v="Overweight"/>
    <n v="650.40650406504062"/>
  </r>
  <r>
    <n v="194"/>
    <s v="Mumbai"/>
    <n v="43"/>
    <s v="Male"/>
    <n v="108.6"/>
    <n v="1.73"/>
    <n v="174"/>
    <n v="150"/>
    <n v="66"/>
    <n v="1.33"/>
    <n v="988"/>
    <x v="2"/>
    <n v="28.5"/>
    <n v="2.2000000000000002"/>
    <x v="3"/>
    <n v="1"/>
    <n v="36.29"/>
    <s v="Obesity"/>
    <n v="742.85714285714278"/>
  </r>
  <r>
    <n v="195"/>
    <s v="Chennai"/>
    <n v="49"/>
    <s v="Female"/>
    <n v="40"/>
    <n v="1.65"/>
    <n v="188"/>
    <n v="148"/>
    <n v="74"/>
    <n v="1.03"/>
    <n v="686"/>
    <x v="0"/>
    <n v="34.299999999999997"/>
    <n v="2.5"/>
    <x v="1"/>
    <n v="2"/>
    <n v="14.69"/>
    <s v="Underweight"/>
    <n v="666.01941747572812"/>
  </r>
  <r>
    <n v="196"/>
    <s v="Ahmedabad"/>
    <n v="23"/>
    <s v="Female"/>
    <n v="41.9"/>
    <n v="1.58"/>
    <n v="163"/>
    <n v="132"/>
    <n v="67"/>
    <n v="0.56000000000000005"/>
    <n v="370"/>
    <x v="1"/>
    <n v="26.8"/>
    <n v="1.8"/>
    <x v="1"/>
    <n v="1"/>
    <n v="16.78"/>
    <s v="Underweight"/>
    <n v="660.71428571428567"/>
  </r>
  <r>
    <n v="197"/>
    <s v="Pune"/>
    <n v="49"/>
    <s v="Female"/>
    <n v="68.3"/>
    <n v="1.52"/>
    <n v="177"/>
    <n v="150"/>
    <n v="60"/>
    <n v="1.45"/>
    <n v="979"/>
    <x v="3"/>
    <n v="29.4"/>
    <n v="1.8"/>
    <x v="0"/>
    <n v="2"/>
    <n v="29.56"/>
    <s v="Overweight"/>
    <n v="675.17241379310349"/>
  </r>
  <r>
    <n v="198"/>
    <s v="Hyderabad"/>
    <n v="21"/>
    <s v="Male"/>
    <n v="88.4"/>
    <n v="1.6"/>
    <n v="198"/>
    <n v="121"/>
    <n v="67"/>
    <n v="1.71"/>
    <n v="1138"/>
    <x v="1"/>
    <n v="12"/>
    <n v="3.5"/>
    <x v="0"/>
    <n v="3"/>
    <n v="34.53"/>
    <s v="Obesity"/>
    <n v="665.49707602339186"/>
  </r>
  <r>
    <n v="199"/>
    <s v="Delhi"/>
    <n v="28"/>
    <s v="Male"/>
    <n v="66"/>
    <n v="1.9"/>
    <n v="175"/>
    <n v="158"/>
    <n v="56"/>
    <n v="1.18"/>
    <n v="1025"/>
    <x v="1"/>
    <n v="24.1"/>
    <n v="3"/>
    <x v="1"/>
    <n v="1"/>
    <n v="18.28"/>
    <s v="Underweight"/>
    <n v="868.64406779661022"/>
  </r>
  <r>
    <n v="200"/>
    <s v="Chennai"/>
    <n v="34"/>
    <s v="Male"/>
    <n v="71.900000000000006"/>
    <n v="1.64"/>
    <n v="170"/>
    <n v="134"/>
    <n v="67"/>
    <n v="1.26"/>
    <n v="929"/>
    <x v="2"/>
    <n v="21.3"/>
    <n v="2.1"/>
    <x v="0"/>
    <n v="2"/>
    <n v="26.73"/>
    <s v="Overweight"/>
    <n v="737.30158730158735"/>
  </r>
  <r>
    <n v="201"/>
    <s v="Chennai"/>
    <n v="55"/>
    <s v="Male"/>
    <n v="75.599999999999994"/>
    <n v="1.71"/>
    <n v="173"/>
    <n v="130"/>
    <n v="57"/>
    <n v="1.03"/>
    <n v="663"/>
    <x v="3"/>
    <n v="28.1"/>
    <n v="2"/>
    <x v="0"/>
    <n v="2"/>
    <n v="25.85"/>
    <s v="Overweight"/>
    <n v="643.68932038834953"/>
  </r>
  <r>
    <n v="202"/>
    <s v="Mumbai"/>
    <n v="41"/>
    <s v="Female"/>
    <n v="63.4"/>
    <n v="1.59"/>
    <n v="162"/>
    <n v="153"/>
    <n v="55"/>
    <n v="1.84"/>
    <n v="1267"/>
    <x v="1"/>
    <n v="15.2"/>
    <n v="2.7"/>
    <x v="2"/>
    <n v="3"/>
    <n v="25.08"/>
    <s v="Overweight"/>
    <n v="688.58695652173913"/>
  </r>
  <r>
    <n v="203"/>
    <s v="Gurgaon"/>
    <n v="22"/>
    <s v="Female"/>
    <n v="71.599999999999994"/>
    <n v="1.77"/>
    <n v="197"/>
    <n v="158"/>
    <n v="56"/>
    <n v="1.49"/>
    <n v="1177"/>
    <x v="0"/>
    <n v="30.3"/>
    <n v="1.8"/>
    <x v="1"/>
    <n v="1"/>
    <n v="22.85"/>
    <s v="Normal Weight"/>
    <n v="789.93288590604027"/>
  </r>
  <r>
    <n v="204"/>
    <s v="Chennai"/>
    <n v="51"/>
    <s v="Female"/>
    <n v="57.4"/>
    <n v="1.77"/>
    <n v="177"/>
    <n v="123"/>
    <n v="72"/>
    <n v="1.08"/>
    <n v="598"/>
    <x v="0"/>
    <n v="31.6"/>
    <n v="2.1"/>
    <x v="0"/>
    <n v="2"/>
    <n v="18.32"/>
    <s v="Underweight"/>
    <n v="553.7037037037037"/>
  </r>
  <r>
    <n v="205"/>
    <s v="Bengaluru"/>
    <n v="23"/>
    <s v="Male"/>
    <n v="83.8"/>
    <n v="1.99"/>
    <n v="179"/>
    <n v="130"/>
    <n v="71"/>
    <n v="1.79"/>
    <n v="1280"/>
    <x v="2"/>
    <n v="11"/>
    <n v="3.5"/>
    <x v="0"/>
    <n v="3"/>
    <n v="21.16"/>
    <s v="Normal Weight"/>
    <n v="715.08379888268155"/>
  </r>
  <r>
    <n v="206"/>
    <s v="Hyderabad"/>
    <n v="39"/>
    <s v="Female"/>
    <n v="55.9"/>
    <n v="1.71"/>
    <n v="184"/>
    <n v="148"/>
    <n v="59"/>
    <n v="1.95"/>
    <n v="1443"/>
    <x v="0"/>
    <n v="19.5"/>
    <n v="2.7"/>
    <x v="2"/>
    <n v="3"/>
    <n v="19.12"/>
    <s v="Normal Weight"/>
    <n v="740"/>
  </r>
  <r>
    <n v="207"/>
    <s v="Hyderabad"/>
    <n v="28"/>
    <s v="Male"/>
    <n v="87"/>
    <n v="1.76"/>
    <n v="197"/>
    <n v="121"/>
    <n v="60"/>
    <n v="1.2"/>
    <n v="799"/>
    <x v="0"/>
    <n v="28.4"/>
    <n v="3.5"/>
    <x v="1"/>
    <n v="2"/>
    <n v="28.09"/>
    <s v="Overweight"/>
    <n v="665.83333333333337"/>
  </r>
  <r>
    <n v="208"/>
    <s v="Bengaluru"/>
    <n v="33"/>
    <s v="Female"/>
    <n v="65.3"/>
    <n v="1.71"/>
    <n v="172"/>
    <n v="135"/>
    <n v="74"/>
    <n v="1.18"/>
    <n v="796"/>
    <x v="1"/>
    <n v="29.7"/>
    <n v="2.5"/>
    <x v="0"/>
    <n v="2"/>
    <n v="22.33"/>
    <s v="Normal Weight"/>
    <n v="674.57627118644075"/>
  </r>
  <r>
    <n v="209"/>
    <s v="Noida"/>
    <n v="50"/>
    <s v="Male"/>
    <n v="45.4"/>
    <n v="1.67"/>
    <n v="163"/>
    <n v="158"/>
    <n v="62"/>
    <n v="1.37"/>
    <n v="1071"/>
    <x v="0"/>
    <n v="24.1"/>
    <n v="2.8"/>
    <x v="0"/>
    <n v="2"/>
    <n v="16.28"/>
    <s v="Underweight"/>
    <n v="781.75182481751824"/>
  </r>
  <r>
    <n v="210"/>
    <s v="Bengaluru"/>
    <n v="26"/>
    <s v="Male"/>
    <n v="87.1"/>
    <n v="1.87"/>
    <n v="173"/>
    <n v="132"/>
    <n v="58"/>
    <n v="1.71"/>
    <n v="1241"/>
    <x v="0"/>
    <n v="11.2"/>
    <n v="3.5"/>
    <x v="0"/>
    <n v="3"/>
    <n v="24.91"/>
    <s v="Normal Weight"/>
    <n v="725.73099415204683"/>
  </r>
  <r>
    <n v="211"/>
    <s v="Bengaluru"/>
    <n v="23"/>
    <s v="Female"/>
    <n v="78.599999999999994"/>
    <n v="1.73"/>
    <n v="192"/>
    <n v="156"/>
    <n v="56"/>
    <n v="1.47"/>
    <n v="1147"/>
    <x v="1"/>
    <n v="32.299999999999997"/>
    <n v="1.5"/>
    <x v="0"/>
    <n v="2"/>
    <n v="26.26"/>
    <s v="Overweight"/>
    <n v="780.27210884353747"/>
  </r>
  <r>
    <n v="212"/>
    <s v="Hyderabad"/>
    <n v="33"/>
    <s v="Female"/>
    <n v="78"/>
    <n v="1.71"/>
    <n v="187"/>
    <n v="136"/>
    <n v="58"/>
    <n v="1.08"/>
    <n v="734"/>
    <x v="2"/>
    <n v="26.3"/>
    <n v="2.1"/>
    <x v="1"/>
    <n v="1"/>
    <n v="26.67"/>
    <s v="Overweight"/>
    <n v="679.62962962962956"/>
  </r>
  <r>
    <n v="213"/>
    <s v="Kolkata"/>
    <n v="46"/>
    <s v="Female"/>
    <n v="58"/>
    <n v="1.53"/>
    <n v="196"/>
    <n v="140"/>
    <n v="62"/>
    <n v="1.83"/>
    <n v="1153"/>
    <x v="2"/>
    <n v="18.399999999999999"/>
    <n v="2.7"/>
    <x v="0"/>
    <n v="3"/>
    <n v="24.78"/>
    <s v="Normal Weight"/>
    <n v="630.05464480874309"/>
  </r>
  <r>
    <n v="214"/>
    <s v="Hyderabad"/>
    <n v="20"/>
    <s v="Female"/>
    <n v="71.3"/>
    <n v="1.69"/>
    <n v="167"/>
    <n v="163"/>
    <n v="52"/>
    <n v="1.28"/>
    <n v="1043"/>
    <x v="3"/>
    <n v="33.4"/>
    <n v="2.2999999999999998"/>
    <x v="1"/>
    <n v="2"/>
    <n v="24.96"/>
    <s v="Normal Weight"/>
    <n v="814.84375"/>
  </r>
  <r>
    <n v="215"/>
    <s v="Gurgaon"/>
    <n v="37"/>
    <s v="Male"/>
    <n v="49.1"/>
    <n v="1.74"/>
    <n v="193"/>
    <n v="138"/>
    <n v="52"/>
    <n v="1.1100000000000001"/>
    <n v="842"/>
    <x v="0"/>
    <n v="22.3"/>
    <n v="2.6"/>
    <x v="1"/>
    <n v="2"/>
    <n v="16.22"/>
    <s v="Underweight"/>
    <n v="758.5585585585585"/>
  </r>
  <r>
    <n v="216"/>
    <s v="Mumbai"/>
    <n v="53"/>
    <s v="Female"/>
    <n v="78.3"/>
    <n v="1.65"/>
    <n v="164"/>
    <n v="126"/>
    <n v="50"/>
    <n v="1.24"/>
    <n v="703"/>
    <x v="1"/>
    <n v="33.700000000000003"/>
    <n v="1.6"/>
    <x v="1"/>
    <n v="1"/>
    <n v="28.76"/>
    <s v="Overweight"/>
    <n v="566.9354838709678"/>
  </r>
  <r>
    <n v="217"/>
    <s v="Ahmedabad"/>
    <n v="36"/>
    <s v="Female"/>
    <n v="57.3"/>
    <n v="1.64"/>
    <n v="164"/>
    <n v="157"/>
    <n v="70"/>
    <n v="1.1299999999999999"/>
    <n v="887"/>
    <x v="3"/>
    <n v="25.3"/>
    <n v="1.8"/>
    <x v="0"/>
    <n v="2"/>
    <n v="21.3"/>
    <s v="Normal Weight"/>
    <n v="784.95575221238948"/>
  </r>
  <r>
    <n v="218"/>
    <s v="Kolkata"/>
    <n v="43"/>
    <s v="Female"/>
    <n v="48.4"/>
    <n v="1.61"/>
    <n v="190"/>
    <n v="127"/>
    <n v="69"/>
    <n v="1.28"/>
    <n v="732"/>
    <x v="2"/>
    <n v="34.1"/>
    <n v="2.4"/>
    <x v="3"/>
    <n v="1"/>
    <n v="18.670000000000002"/>
    <s v="Normal Weight"/>
    <n v="571.875"/>
  </r>
  <r>
    <n v="219"/>
    <s v="Delhi"/>
    <n v="20"/>
    <s v="Male"/>
    <n v="76.400000000000006"/>
    <n v="1.62"/>
    <n v="168"/>
    <n v="132"/>
    <n v="51"/>
    <n v="1.35"/>
    <n v="980"/>
    <x v="2"/>
    <n v="21.2"/>
    <n v="2.6"/>
    <x v="0"/>
    <n v="2"/>
    <n v="29.11"/>
    <s v="Overweight"/>
    <n v="725.92592592592587"/>
  </r>
  <r>
    <n v="220"/>
    <s v="Ahmedabad"/>
    <n v="36"/>
    <s v="Male"/>
    <n v="110.2"/>
    <n v="1.77"/>
    <n v="191"/>
    <n v="156"/>
    <n v="74"/>
    <n v="1.19"/>
    <n v="1021"/>
    <x v="1"/>
    <n v="26.5"/>
    <n v="3.4"/>
    <x v="3"/>
    <n v="1"/>
    <n v="35.18"/>
    <s v="Obesity"/>
    <n v="857.98319327731099"/>
  </r>
  <r>
    <n v="221"/>
    <s v="Mumbai"/>
    <n v="37"/>
    <s v="Female"/>
    <n v="72.900000000000006"/>
    <n v="1.76"/>
    <n v="192"/>
    <n v="121"/>
    <n v="52"/>
    <n v="1.21"/>
    <n v="732"/>
    <x v="3"/>
    <n v="27.5"/>
    <n v="1.9"/>
    <x v="1"/>
    <n v="2"/>
    <n v="23.53"/>
    <s v="Normal Weight"/>
    <n v="604.95867768595042"/>
  </r>
  <r>
    <n v="222"/>
    <s v="Gurgaon"/>
    <n v="49"/>
    <s v="Male"/>
    <n v="82.1"/>
    <n v="1.86"/>
    <n v="162"/>
    <n v="160"/>
    <n v="64"/>
    <n v="1.87"/>
    <n v="1481"/>
    <x v="3"/>
    <n v="14.2"/>
    <n v="3.5"/>
    <x v="0"/>
    <n v="3"/>
    <n v="23.73"/>
    <s v="Normal Weight"/>
    <n v="791.97860962566835"/>
  </r>
  <r>
    <n v="223"/>
    <s v="Gurgaon"/>
    <n v="24"/>
    <s v="Female"/>
    <n v="58.9"/>
    <n v="1.76"/>
    <n v="189"/>
    <n v="130"/>
    <n v="73"/>
    <n v="0.63"/>
    <n v="410"/>
    <x v="1"/>
    <n v="30.1"/>
    <n v="1.7"/>
    <x v="1"/>
    <n v="1"/>
    <n v="19.010000000000002"/>
    <s v="Normal Weight"/>
    <n v="650.79365079365084"/>
  </r>
  <r>
    <n v="224"/>
    <s v="Delhi"/>
    <n v="58"/>
    <s v="Male"/>
    <n v="82.2"/>
    <n v="1.87"/>
    <n v="171"/>
    <n v="143"/>
    <n v="55"/>
    <n v="1.57"/>
    <n v="1111"/>
    <x v="1"/>
    <n v="10.7"/>
    <n v="3.5"/>
    <x v="0"/>
    <n v="3"/>
    <n v="23.51"/>
    <s v="Normal Weight"/>
    <n v="707.64331210191085"/>
  </r>
  <r>
    <n v="225"/>
    <s v="Kolkata"/>
    <n v="50"/>
    <s v="Male"/>
    <n v="96.7"/>
    <n v="1.72"/>
    <n v="188"/>
    <n v="125"/>
    <n v="62"/>
    <n v="1.46"/>
    <n v="903"/>
    <x v="3"/>
    <n v="25.7"/>
    <n v="2.7"/>
    <x v="1"/>
    <n v="2"/>
    <n v="32.69"/>
    <s v="Obesity"/>
    <n v="618.49315068493149"/>
  </r>
  <r>
    <n v="226"/>
    <s v="Noida"/>
    <n v="57"/>
    <s v="Male"/>
    <n v="81.400000000000006"/>
    <n v="1.86"/>
    <n v="162"/>
    <n v="145"/>
    <n v="70"/>
    <n v="1.8"/>
    <n v="1292"/>
    <x v="2"/>
    <n v="12"/>
    <n v="3.5"/>
    <x v="2"/>
    <n v="3"/>
    <n v="23.53"/>
    <s v="Normal Weight"/>
    <n v="717.77777777777771"/>
  </r>
  <r>
    <n v="227"/>
    <s v="Bengaluru"/>
    <n v="56"/>
    <s v="Male"/>
    <n v="107.8"/>
    <n v="1.73"/>
    <n v="185"/>
    <n v="126"/>
    <n v="50"/>
    <n v="1.0900000000000001"/>
    <n v="680"/>
    <x v="0"/>
    <n v="26.6"/>
    <n v="2.8"/>
    <x v="1"/>
    <n v="2"/>
    <n v="36.020000000000003"/>
    <s v="Obesity"/>
    <n v="623.85321100917429"/>
  </r>
  <r>
    <n v="228"/>
    <s v="Kolkata"/>
    <n v="35"/>
    <s v="Female"/>
    <n v="65.8"/>
    <n v="1.62"/>
    <n v="189"/>
    <n v="158"/>
    <n v="69"/>
    <n v="1"/>
    <n v="790"/>
    <x v="2"/>
    <n v="33.799999999999997"/>
    <n v="1.5"/>
    <x v="0"/>
    <n v="2"/>
    <n v="25.07"/>
    <s v="Overweight"/>
    <n v="790"/>
  </r>
  <r>
    <n v="229"/>
    <s v="Noida"/>
    <n v="57"/>
    <s v="Female"/>
    <n v="68.5"/>
    <n v="1.56"/>
    <n v="168"/>
    <n v="138"/>
    <n v="68"/>
    <n v="1.45"/>
    <n v="900"/>
    <x v="1"/>
    <n v="29.1"/>
    <n v="1.6"/>
    <x v="0"/>
    <n v="2"/>
    <n v="28.15"/>
    <s v="Overweight"/>
    <n v="620.68965517241384"/>
  </r>
  <r>
    <n v="230"/>
    <s v="Gurgaon"/>
    <n v="18"/>
    <s v="Female"/>
    <n v="63.9"/>
    <n v="1.59"/>
    <n v="185"/>
    <n v="125"/>
    <n v="50"/>
    <n v="1.87"/>
    <n v="1169"/>
    <x v="3"/>
    <n v="16.399999999999999"/>
    <n v="2.7"/>
    <x v="0"/>
    <n v="3"/>
    <n v="25.28"/>
    <s v="Overweight"/>
    <n v="625.13368983957218"/>
  </r>
  <r>
    <n v="231"/>
    <s v="Hyderabad"/>
    <n v="28"/>
    <s v="Male"/>
    <n v="76.3"/>
    <n v="1.62"/>
    <n v="161"/>
    <n v="162"/>
    <n v="70"/>
    <n v="1.1599999999999999"/>
    <n v="1034"/>
    <x v="3"/>
    <n v="20.100000000000001"/>
    <n v="2.2999999999999998"/>
    <x v="1"/>
    <n v="2"/>
    <n v="29.07"/>
    <s v="Overweight"/>
    <n v="891.37931034482767"/>
  </r>
  <r>
    <n v="232"/>
    <s v="Mumbai"/>
    <n v="45"/>
    <s v="Female"/>
    <n v="44.5"/>
    <n v="1.65"/>
    <n v="162"/>
    <n v="148"/>
    <n v="71"/>
    <n v="1.44"/>
    <n v="959"/>
    <x v="0"/>
    <n v="30.7"/>
    <n v="1.6"/>
    <x v="1"/>
    <n v="1"/>
    <n v="16.350000000000001"/>
    <s v="Underweight"/>
    <n v="665.97222222222229"/>
  </r>
  <r>
    <n v="233"/>
    <s v="Delhi"/>
    <n v="42"/>
    <s v="Female"/>
    <n v="50.7"/>
    <n v="1.75"/>
    <n v="163"/>
    <n v="162"/>
    <n v="51"/>
    <n v="1.29"/>
    <n v="940"/>
    <x v="3"/>
    <n v="29"/>
    <n v="1.9"/>
    <x v="1"/>
    <n v="2"/>
    <n v="16.559999999999999"/>
    <s v="Underweight"/>
    <n v="728.68217054263562"/>
  </r>
  <r>
    <n v="234"/>
    <s v="Mumbai"/>
    <n v="40"/>
    <s v="Female"/>
    <n v="55.1"/>
    <n v="1.61"/>
    <n v="184"/>
    <n v="158"/>
    <n v="64"/>
    <n v="1.55"/>
    <n v="1224"/>
    <x v="0"/>
    <n v="16.899999999999999"/>
    <n v="2.7"/>
    <x v="0"/>
    <n v="3"/>
    <n v="21.26"/>
    <s v="Normal Weight"/>
    <n v="789.67741935483866"/>
  </r>
  <r>
    <n v="235"/>
    <s v="Pune"/>
    <n v="48"/>
    <s v="Male"/>
    <n v="73.7"/>
    <n v="1.61"/>
    <n v="172"/>
    <n v="121"/>
    <n v="63"/>
    <n v="1.36"/>
    <n v="815"/>
    <x v="2"/>
    <n v="21.8"/>
    <n v="3.6"/>
    <x v="0"/>
    <n v="2"/>
    <n v="28.43"/>
    <s v="Overweight"/>
    <n v="599.26470588235293"/>
  </r>
  <r>
    <n v="236"/>
    <s v="Pune"/>
    <n v="47"/>
    <s v="Male"/>
    <n v="55.6"/>
    <n v="1.77"/>
    <n v="198"/>
    <n v="138"/>
    <n v="68"/>
    <n v="1.2"/>
    <n v="820"/>
    <x v="2"/>
    <n v="24.3"/>
    <n v="2.9"/>
    <x v="0"/>
    <n v="2"/>
    <n v="17.75"/>
    <s v="Underweight"/>
    <n v="683.33333333333337"/>
  </r>
  <r>
    <n v="237"/>
    <s v="Kolkata"/>
    <n v="59"/>
    <s v="Male"/>
    <n v="86.9"/>
    <n v="1.76"/>
    <n v="194"/>
    <n v="123"/>
    <n v="60"/>
    <n v="1.1299999999999999"/>
    <n v="688"/>
    <x v="3"/>
    <n v="29.8"/>
    <n v="3.1"/>
    <x v="1"/>
    <n v="2"/>
    <n v="28.05"/>
    <s v="Overweight"/>
    <n v="608.84955752212397"/>
  </r>
  <r>
    <n v="238"/>
    <s v="Gurgaon"/>
    <n v="52"/>
    <s v="Female"/>
    <n v="60.3"/>
    <n v="1.68"/>
    <n v="182"/>
    <n v="125"/>
    <n v="64"/>
    <n v="1.6"/>
    <n v="900"/>
    <x v="3"/>
    <n v="16.5"/>
    <n v="2.7"/>
    <x v="0"/>
    <n v="3"/>
    <n v="21.36"/>
    <s v="Normal Weight"/>
    <n v="562.5"/>
  </r>
  <r>
    <n v="239"/>
    <s v="Gurgaon"/>
    <n v="24"/>
    <s v="Female"/>
    <n v="40.4"/>
    <n v="1.64"/>
    <n v="168"/>
    <n v="168"/>
    <n v="55"/>
    <n v="0.99"/>
    <n v="832"/>
    <x v="1"/>
    <n v="31"/>
    <n v="1.9"/>
    <x v="3"/>
    <n v="1"/>
    <n v="15.02"/>
    <s v="Underweight"/>
    <n v="840.40404040404042"/>
  </r>
  <r>
    <n v="240"/>
    <s v="Bengaluru"/>
    <n v="33"/>
    <s v="Female"/>
    <n v="78.5"/>
    <n v="1.66"/>
    <n v="161"/>
    <n v="156"/>
    <n v="69"/>
    <n v="1.29"/>
    <n v="1006"/>
    <x v="1"/>
    <n v="32.799999999999997"/>
    <n v="1.9"/>
    <x v="0"/>
    <n v="2"/>
    <n v="28.49"/>
    <s v="Overweight"/>
    <n v="779.84496124031011"/>
  </r>
  <r>
    <n v="241"/>
    <s v="Bengaluru"/>
    <n v="43"/>
    <s v="Male"/>
    <n v="102.6"/>
    <n v="1.72"/>
    <n v="190"/>
    <n v="147"/>
    <n v="58"/>
    <n v="0.82"/>
    <n v="597"/>
    <x v="3"/>
    <n v="27.5"/>
    <n v="2"/>
    <x v="3"/>
    <n v="1"/>
    <n v="34.68"/>
    <s v="Obesity"/>
    <n v="728.04878048780495"/>
  </r>
  <r>
    <n v="242"/>
    <s v="Bengaluru"/>
    <n v="19"/>
    <s v="Male"/>
    <n v="110.8"/>
    <n v="1.91"/>
    <n v="161"/>
    <n v="149"/>
    <n v="54"/>
    <n v="1.31"/>
    <n v="1074"/>
    <x v="3"/>
    <n v="23.3"/>
    <n v="2.9"/>
    <x v="3"/>
    <n v="1"/>
    <n v="30.37"/>
    <s v="Obesity"/>
    <n v="819.84732824427476"/>
  </r>
  <r>
    <n v="243"/>
    <s v="Hyderabad"/>
    <n v="18"/>
    <s v="Female"/>
    <n v="60.9"/>
    <n v="1.79"/>
    <n v="191"/>
    <n v="126"/>
    <n v="69"/>
    <n v="1.1100000000000001"/>
    <n v="699"/>
    <x v="2"/>
    <n v="31.1"/>
    <n v="2.1"/>
    <x v="3"/>
    <n v="1"/>
    <n v="19.010000000000002"/>
    <s v="Normal Weight"/>
    <n v="629.72972972972968"/>
  </r>
  <r>
    <n v="244"/>
    <s v="Ahmedabad"/>
    <n v="29"/>
    <s v="Male"/>
    <n v="55.7"/>
    <n v="1.61"/>
    <n v="177"/>
    <n v="128"/>
    <n v="51"/>
    <n v="1.41"/>
    <n v="993"/>
    <x v="3"/>
    <n v="28.7"/>
    <n v="2.2999999999999998"/>
    <x v="1"/>
    <n v="1"/>
    <n v="21.49"/>
    <s v="Normal Weight"/>
    <n v="704.25531914893622"/>
  </r>
  <r>
    <n v="245"/>
    <s v="Chennai"/>
    <n v="22"/>
    <s v="Male"/>
    <n v="110.5"/>
    <n v="1.92"/>
    <n v="172"/>
    <n v="144"/>
    <n v="55"/>
    <n v="1.1599999999999999"/>
    <n v="919"/>
    <x v="1"/>
    <n v="20.2"/>
    <n v="3.3"/>
    <x v="1"/>
    <n v="2"/>
    <n v="29.98"/>
    <s v="Overweight"/>
    <n v="792.24137931034488"/>
  </r>
  <r>
    <n v="246"/>
    <s v="Ahmedabad"/>
    <n v="54"/>
    <s v="Male"/>
    <n v="55.2"/>
    <n v="1.71"/>
    <n v="164"/>
    <n v="152"/>
    <n v="67"/>
    <n v="0.77"/>
    <n v="579"/>
    <x v="2"/>
    <n v="24.4"/>
    <n v="2.8"/>
    <x v="3"/>
    <n v="1"/>
    <n v="18.88"/>
    <s v="Normal Weight"/>
    <n v="751.9480519480519"/>
  </r>
  <r>
    <n v="247"/>
    <s v="Mumbai"/>
    <n v="49"/>
    <s v="Male"/>
    <n v="46.5"/>
    <n v="1.72"/>
    <n v="169"/>
    <n v="120"/>
    <n v="72"/>
    <n v="1.4"/>
    <n v="832"/>
    <x v="0"/>
    <n v="22.2"/>
    <n v="2.6"/>
    <x v="0"/>
    <n v="2"/>
    <n v="15.72"/>
    <s v="Underweight"/>
    <n v="594.28571428571433"/>
  </r>
  <r>
    <n v="248"/>
    <s v="Ahmedabad"/>
    <n v="26"/>
    <s v="Female"/>
    <n v="70.900000000000006"/>
    <n v="1.66"/>
    <n v="184"/>
    <n v="125"/>
    <n v="68"/>
    <n v="0.81"/>
    <n v="506"/>
    <x v="1"/>
    <n v="28.9"/>
    <n v="1.7"/>
    <x v="1"/>
    <n v="1"/>
    <n v="25.73"/>
    <s v="Overweight"/>
    <n v="624.69135802469134"/>
  </r>
  <r>
    <n v="249"/>
    <s v="Hyderabad"/>
    <n v="58"/>
    <s v="Male"/>
    <n v="74.599999999999994"/>
    <n v="1.75"/>
    <n v="193"/>
    <n v="137"/>
    <n v="58"/>
    <n v="1.0900000000000001"/>
    <n v="739"/>
    <x v="1"/>
    <n v="24.2"/>
    <n v="2.9"/>
    <x v="3"/>
    <n v="1"/>
    <n v="24.36"/>
    <s v="Normal Weight"/>
    <n v="677.98165137614671"/>
  </r>
  <r>
    <n v="250"/>
    <s v="Mumbai"/>
    <n v="52"/>
    <s v="Male"/>
    <n v="45.1"/>
    <n v="1.72"/>
    <n v="196"/>
    <n v="129"/>
    <n v="70"/>
    <n v="0.93"/>
    <n v="594"/>
    <x v="2"/>
    <n v="27.5"/>
    <n v="3.3"/>
    <x v="3"/>
    <n v="1"/>
    <n v="15.24"/>
    <s v="Underweight"/>
    <n v="638.70967741935476"/>
  </r>
  <r>
    <n v="251"/>
    <s v="Ahmedabad"/>
    <n v="36"/>
    <s v="Male"/>
    <n v="99.9"/>
    <n v="1.99"/>
    <n v="189"/>
    <n v="147"/>
    <n v="73"/>
    <n v="1.33"/>
    <n v="1075"/>
    <x v="0"/>
    <n v="20.9"/>
    <n v="2.5"/>
    <x v="1"/>
    <n v="1"/>
    <n v="25.23"/>
    <s v="Overweight"/>
    <n v="808.27067669172925"/>
  </r>
  <r>
    <n v="252"/>
    <s v="Hyderabad"/>
    <n v="33"/>
    <s v="Male"/>
    <n v="117"/>
    <n v="1.61"/>
    <n v="166"/>
    <n v="130"/>
    <n v="55"/>
    <n v="1.04"/>
    <n v="744"/>
    <x v="1"/>
    <n v="25.1"/>
    <n v="2.4"/>
    <x v="1"/>
    <n v="2"/>
    <n v="45.14"/>
    <s v="Obesity"/>
    <n v="715.38461538461536"/>
  </r>
  <r>
    <n v="253"/>
    <s v="Chennai"/>
    <n v="20"/>
    <s v="Female"/>
    <n v="75.900000000000006"/>
    <n v="1.73"/>
    <n v="165"/>
    <n v="152"/>
    <n v="63"/>
    <n v="1.39"/>
    <n v="1056"/>
    <x v="3"/>
    <n v="30.6"/>
    <n v="2.1"/>
    <x v="0"/>
    <n v="2"/>
    <n v="25.36"/>
    <s v="Overweight"/>
    <n v="759.71223021582739"/>
  </r>
  <r>
    <n v="254"/>
    <s v="Ahmedabad"/>
    <n v="37"/>
    <s v="Female"/>
    <n v="71.2"/>
    <n v="1.64"/>
    <n v="162"/>
    <n v="120"/>
    <n v="73"/>
    <n v="1.1100000000000001"/>
    <n v="666"/>
    <x v="1"/>
    <n v="29.9"/>
    <n v="1.7"/>
    <x v="1"/>
    <n v="2"/>
    <n v="26.47"/>
    <s v="Overweight"/>
    <n v="600"/>
  </r>
  <r>
    <n v="255"/>
    <s v="Hyderabad"/>
    <n v="41"/>
    <s v="Male"/>
    <n v="78.8"/>
    <n v="1.72"/>
    <n v="172"/>
    <n v="132"/>
    <n v="62"/>
    <n v="1.01"/>
    <n v="660"/>
    <x v="2"/>
    <n v="27.3"/>
    <n v="3.1"/>
    <x v="0"/>
    <n v="2"/>
    <n v="26.64"/>
    <s v="Overweight"/>
    <n v="653.46534653465346"/>
  </r>
  <r>
    <n v="256"/>
    <s v="Bengaluru"/>
    <n v="50"/>
    <s v="Male"/>
    <n v="50.6"/>
    <n v="1.69"/>
    <n v="162"/>
    <n v="156"/>
    <n v="60"/>
    <n v="1.31"/>
    <n v="1012"/>
    <x v="2"/>
    <n v="23.8"/>
    <n v="3"/>
    <x v="3"/>
    <n v="1"/>
    <n v="17.72"/>
    <s v="Underweight"/>
    <n v="772.51908396946567"/>
  </r>
  <r>
    <n v="257"/>
    <s v="Gurgaon"/>
    <n v="41"/>
    <s v="Male"/>
    <n v="82.5"/>
    <n v="1.79"/>
    <n v="185"/>
    <n v="139"/>
    <n v="61"/>
    <n v="1.69"/>
    <n v="1163"/>
    <x v="2"/>
    <n v="14.7"/>
    <n v="3.5"/>
    <x v="0"/>
    <n v="3"/>
    <n v="25.75"/>
    <s v="Overweight"/>
    <n v="688.16568047337284"/>
  </r>
  <r>
    <n v="258"/>
    <s v="Bengaluru"/>
    <n v="28"/>
    <s v="Male"/>
    <n v="108.5"/>
    <n v="1.79"/>
    <n v="183"/>
    <n v="120"/>
    <n v="68"/>
    <n v="1.33"/>
    <n v="878"/>
    <x v="1"/>
    <n v="24.8"/>
    <n v="2.1"/>
    <x v="0"/>
    <n v="2"/>
    <n v="33.86"/>
    <s v="Obesity"/>
    <n v="660.1503759398496"/>
  </r>
  <r>
    <n v="259"/>
    <s v="Gurgaon"/>
    <n v="25"/>
    <s v="Male"/>
    <n v="49.9"/>
    <n v="1.98"/>
    <n v="165"/>
    <n v="122"/>
    <n v="68"/>
    <n v="1.1499999999999999"/>
    <n v="772"/>
    <x v="0"/>
    <n v="25.7"/>
    <n v="2.1"/>
    <x v="1"/>
    <n v="2"/>
    <n v="12.73"/>
    <s v="Underweight"/>
    <n v="671.304347826087"/>
  </r>
  <r>
    <n v="260"/>
    <s v="Delhi"/>
    <n v="53"/>
    <s v="Male"/>
    <n v="125.1"/>
    <n v="1.91"/>
    <n v="171"/>
    <n v="137"/>
    <n v="70"/>
    <n v="0.52"/>
    <n v="353"/>
    <x v="3"/>
    <n v="28.3"/>
    <n v="3.1"/>
    <x v="3"/>
    <n v="1"/>
    <n v="34.29"/>
    <s v="Obesity"/>
    <n v="678.84615384615381"/>
  </r>
  <r>
    <n v="261"/>
    <s v="Delhi"/>
    <n v="55"/>
    <s v="Female"/>
    <n v="79.7"/>
    <n v="1.66"/>
    <n v="195"/>
    <n v="160"/>
    <n v="68"/>
    <n v="1.06"/>
    <n v="763"/>
    <x v="2"/>
    <n v="27.8"/>
    <n v="1.9"/>
    <x v="3"/>
    <n v="1"/>
    <n v="28.92"/>
    <s v="Overweight"/>
    <n v="719.81132075471692"/>
  </r>
  <r>
    <n v="262"/>
    <s v="Delhi"/>
    <n v="57"/>
    <s v="Male"/>
    <n v="126.8"/>
    <n v="1.63"/>
    <n v="161"/>
    <n v="133"/>
    <n v="73"/>
    <n v="0.96"/>
    <n v="632"/>
    <x v="0"/>
    <n v="20.8"/>
    <n v="2.1"/>
    <x v="3"/>
    <n v="1"/>
    <n v="47.72"/>
    <s v="Obesity"/>
    <n v="658.33333333333337"/>
  </r>
  <r>
    <n v="263"/>
    <s v="Chennai"/>
    <n v="37"/>
    <s v="Female"/>
    <n v="54.6"/>
    <n v="1.57"/>
    <n v="170"/>
    <n v="150"/>
    <n v="62"/>
    <n v="1.31"/>
    <n v="982"/>
    <x v="3"/>
    <n v="32.1"/>
    <n v="2.4"/>
    <x v="1"/>
    <n v="1"/>
    <n v="22.15"/>
    <s v="Normal Weight"/>
    <n v="749.61832061068696"/>
  </r>
  <r>
    <n v="264"/>
    <s v="Bengaluru"/>
    <n v="52"/>
    <s v="Female"/>
    <n v="47.8"/>
    <n v="1.54"/>
    <n v="198"/>
    <n v="146"/>
    <n v="63"/>
    <n v="1.34"/>
    <n v="880"/>
    <x v="2"/>
    <n v="29.8"/>
    <n v="1.9"/>
    <x v="1"/>
    <n v="2"/>
    <n v="20.16"/>
    <s v="Normal Weight"/>
    <n v="656.71641791044772"/>
  </r>
  <r>
    <n v="265"/>
    <s v="Gurgaon"/>
    <n v="42"/>
    <s v="Male"/>
    <n v="97.9"/>
    <n v="1.91"/>
    <n v="193"/>
    <n v="136"/>
    <n v="73"/>
    <n v="1.01"/>
    <n v="680"/>
    <x v="3"/>
    <n v="29"/>
    <n v="2.8"/>
    <x v="1"/>
    <n v="2"/>
    <n v="26.84"/>
    <s v="Overweight"/>
    <n v="673.26732673267327"/>
  </r>
  <r>
    <n v="266"/>
    <s v="Hyderabad"/>
    <n v="52"/>
    <s v="Female"/>
    <n v="63.1"/>
    <n v="1.54"/>
    <n v="185"/>
    <n v="165"/>
    <n v="67"/>
    <n v="1.36"/>
    <n v="1010"/>
    <x v="3"/>
    <n v="34.799999999999997"/>
    <n v="1.8"/>
    <x v="1"/>
    <n v="2"/>
    <n v="26.61"/>
    <s v="Overweight"/>
    <n v="742.64705882352939"/>
  </r>
  <r>
    <n v="267"/>
    <s v="Mumbai"/>
    <n v="42"/>
    <s v="Female"/>
    <n v="72.400000000000006"/>
    <n v="1.69"/>
    <n v="177"/>
    <n v="148"/>
    <n v="61"/>
    <n v="1.07"/>
    <n v="713"/>
    <x v="0"/>
    <n v="29"/>
    <n v="2.2999999999999998"/>
    <x v="1"/>
    <n v="2"/>
    <n v="25.35"/>
    <s v="Overweight"/>
    <n v="666.35514018691583"/>
  </r>
  <r>
    <n v="268"/>
    <s v="Hyderabad"/>
    <n v="46"/>
    <s v="Female"/>
    <n v="58.9"/>
    <n v="1.7"/>
    <n v="180"/>
    <n v="155"/>
    <n v="53"/>
    <n v="1.52"/>
    <n v="1060"/>
    <x v="3"/>
    <n v="17.100000000000001"/>
    <n v="2.7"/>
    <x v="0"/>
    <n v="3"/>
    <n v="20.38"/>
    <s v="Normal Weight"/>
    <n v="697.36842105263156"/>
  </r>
  <r>
    <n v="269"/>
    <s v="Mumbai"/>
    <n v="35"/>
    <s v="Female"/>
    <n v="50.4"/>
    <n v="1.6"/>
    <n v="195"/>
    <n v="156"/>
    <n v="59"/>
    <n v="1.03"/>
    <n v="803"/>
    <x v="2"/>
    <n v="29.1"/>
    <n v="1.9"/>
    <x v="0"/>
    <n v="2"/>
    <n v="19.690000000000001"/>
    <s v="Normal Weight"/>
    <n v="779.61165048543683"/>
  </r>
  <r>
    <n v="270"/>
    <s v="Pune"/>
    <n v="35"/>
    <s v="Female"/>
    <n v="64.2"/>
    <n v="1.59"/>
    <n v="199"/>
    <n v="145"/>
    <n v="66"/>
    <n v="1.63"/>
    <n v="1182"/>
    <x v="0"/>
    <n v="16.600000000000001"/>
    <n v="2.7"/>
    <x v="2"/>
    <n v="3"/>
    <n v="25.39"/>
    <s v="Overweight"/>
    <n v="725.15337423312883"/>
  </r>
  <r>
    <n v="271"/>
    <s v="Hyderabad"/>
    <n v="19"/>
    <s v="Female"/>
    <n v="58.8"/>
    <n v="1.77"/>
    <n v="181"/>
    <n v="136"/>
    <n v="53"/>
    <n v="1.4"/>
    <n v="952"/>
    <x v="1"/>
    <n v="32.799999999999997"/>
    <n v="2.7"/>
    <x v="3"/>
    <n v="1"/>
    <n v="18.77"/>
    <s v="Normal Weight"/>
    <n v="680"/>
  </r>
  <r>
    <n v="272"/>
    <s v="Ahmedabad"/>
    <n v="52"/>
    <s v="Male"/>
    <n v="105.2"/>
    <n v="1.62"/>
    <n v="189"/>
    <n v="141"/>
    <n v="61"/>
    <n v="1.36"/>
    <n v="949"/>
    <x v="1"/>
    <n v="27.6"/>
    <n v="3.2"/>
    <x v="1"/>
    <n v="1"/>
    <n v="40.090000000000003"/>
    <s v="Obesity"/>
    <n v="697.79411764705878"/>
  </r>
  <r>
    <n v="273"/>
    <s v="Ahmedabad"/>
    <n v="33"/>
    <s v="Female"/>
    <n v="45.9"/>
    <n v="1.5"/>
    <n v="189"/>
    <n v="144"/>
    <n v="62"/>
    <n v="0.92"/>
    <n v="662"/>
    <x v="0"/>
    <n v="29.8"/>
    <n v="1.7"/>
    <x v="1"/>
    <n v="1"/>
    <n v="20.399999999999999"/>
    <s v="Normal Weight"/>
    <n v="719.56521739130437"/>
  </r>
  <r>
    <n v="274"/>
    <s v="Kolkata"/>
    <n v="58"/>
    <s v="Female"/>
    <n v="65.2"/>
    <n v="1.63"/>
    <n v="167"/>
    <n v="121"/>
    <n v="53"/>
    <n v="1.1200000000000001"/>
    <n v="610"/>
    <x v="1"/>
    <n v="25.4"/>
    <n v="2"/>
    <x v="1"/>
    <n v="2"/>
    <n v="24.54"/>
    <s v="Normal Weight"/>
    <n v="544.64285714285711"/>
  </r>
  <r>
    <n v="275"/>
    <s v="Bengaluru"/>
    <n v="53"/>
    <s v="Female"/>
    <n v="56.3"/>
    <n v="1.79"/>
    <n v="193"/>
    <n v="141"/>
    <n v="59"/>
    <n v="1.52"/>
    <n v="964"/>
    <x v="3"/>
    <n v="16.5"/>
    <n v="2.7"/>
    <x v="2"/>
    <n v="3"/>
    <n v="17.57"/>
    <s v="Underweight"/>
    <n v="634.21052631578948"/>
  </r>
  <r>
    <n v="276"/>
    <s v="Mumbai"/>
    <n v="50"/>
    <s v="Male"/>
    <n v="90"/>
    <n v="1.7"/>
    <n v="168"/>
    <n v="124"/>
    <n v="74"/>
    <n v="0.81"/>
    <n v="497"/>
    <x v="2"/>
    <n v="22.9"/>
    <n v="2.7"/>
    <x v="3"/>
    <n v="1"/>
    <n v="31.14"/>
    <s v="Obesity"/>
    <n v="613.58024691358025"/>
  </r>
  <r>
    <n v="277"/>
    <s v="Mumbai"/>
    <n v="21"/>
    <s v="Female"/>
    <n v="60"/>
    <n v="1.7"/>
    <n v="179"/>
    <n v="123"/>
    <n v="52"/>
    <n v="1.97"/>
    <n v="1212"/>
    <x v="3"/>
    <n v="19.100000000000001"/>
    <n v="2.7"/>
    <x v="2"/>
    <n v="3"/>
    <n v="20.76"/>
    <s v="Normal Weight"/>
    <n v="615.2284263959391"/>
  </r>
  <r>
    <n v="278"/>
    <s v="Bengaluru"/>
    <n v="50"/>
    <s v="Male"/>
    <n v="51.5"/>
    <n v="1.71"/>
    <n v="199"/>
    <n v="155"/>
    <n v="64"/>
    <n v="1.48"/>
    <n v="1136"/>
    <x v="0"/>
    <n v="20.9"/>
    <n v="2.9"/>
    <x v="3"/>
    <n v="1"/>
    <n v="17.61"/>
    <s v="Underweight"/>
    <n v="767.56756756756761"/>
  </r>
  <r>
    <n v="279"/>
    <s v="Chennai"/>
    <n v="31"/>
    <s v="Female"/>
    <n v="63.1"/>
    <n v="1.64"/>
    <n v="184"/>
    <n v="125"/>
    <n v="51"/>
    <n v="1.54"/>
    <n v="962"/>
    <x v="2"/>
    <n v="19"/>
    <n v="2.7"/>
    <x v="0"/>
    <n v="3"/>
    <n v="23.46"/>
    <s v="Normal Weight"/>
    <n v="624.67532467532465"/>
  </r>
  <r>
    <n v="280"/>
    <s v="Kolkata"/>
    <n v="38"/>
    <s v="Male"/>
    <n v="91.5"/>
    <n v="1.77"/>
    <n v="178"/>
    <n v="140"/>
    <n v="74"/>
    <n v="0.8"/>
    <n v="616"/>
    <x v="0"/>
    <n v="26.7"/>
    <n v="3.4"/>
    <x v="3"/>
    <n v="1"/>
    <n v="29.21"/>
    <s v="Overweight"/>
    <n v="770"/>
  </r>
  <r>
    <n v="281"/>
    <s v="Chennai"/>
    <n v="37"/>
    <s v="Male"/>
    <n v="48.7"/>
    <n v="1.67"/>
    <n v="164"/>
    <n v="132"/>
    <n v="74"/>
    <n v="1.39"/>
    <n v="1009"/>
    <x v="0"/>
    <n v="27.3"/>
    <n v="3"/>
    <x v="3"/>
    <n v="1"/>
    <n v="17.46"/>
    <s v="Underweight"/>
    <n v="725.89928057553959"/>
  </r>
  <r>
    <n v="282"/>
    <s v="Chennai"/>
    <n v="25"/>
    <s v="Female"/>
    <n v="57.8"/>
    <n v="1.56"/>
    <n v="170"/>
    <n v="156"/>
    <n v="66"/>
    <n v="1.35"/>
    <n v="1053"/>
    <x v="0"/>
    <n v="29.3"/>
    <n v="1.6"/>
    <x v="1"/>
    <n v="2"/>
    <n v="23.75"/>
    <s v="Normal Weight"/>
    <n v="780"/>
  </r>
  <r>
    <n v="283"/>
    <s v="Chennai"/>
    <n v="24"/>
    <s v="Female"/>
    <n v="42"/>
    <n v="1.75"/>
    <n v="174"/>
    <n v="144"/>
    <n v="55"/>
    <n v="0.83"/>
    <n v="598"/>
    <x v="3"/>
    <n v="31.8"/>
    <n v="2.2999999999999998"/>
    <x v="1"/>
    <n v="1"/>
    <n v="13.71"/>
    <s v="Underweight"/>
    <n v="720.48192771084337"/>
  </r>
  <r>
    <n v="284"/>
    <s v="Bengaluru"/>
    <n v="20"/>
    <s v="Male"/>
    <n v="128.4"/>
    <n v="1.92"/>
    <n v="167"/>
    <n v="145"/>
    <n v="57"/>
    <n v="0.63"/>
    <n v="502"/>
    <x v="2"/>
    <n v="26.1"/>
    <n v="2"/>
    <x v="3"/>
    <n v="1"/>
    <n v="34.83"/>
    <s v="Obesity"/>
    <n v="796.82539682539687"/>
  </r>
  <r>
    <n v="285"/>
    <s v="Chennai"/>
    <n v="34"/>
    <s v="Female"/>
    <n v="74.2"/>
    <n v="1.57"/>
    <n v="178"/>
    <n v="158"/>
    <n v="52"/>
    <n v="1.47"/>
    <n v="1161"/>
    <x v="2"/>
    <n v="32.700000000000003"/>
    <n v="2.4"/>
    <x v="1"/>
    <n v="1"/>
    <n v="30.1"/>
    <s v="Obesity"/>
    <n v="789.79591836734699"/>
  </r>
  <r>
    <n v="286"/>
    <s v="Ahmedabad"/>
    <n v="50"/>
    <s v="Male"/>
    <n v="89.6"/>
    <n v="1.68"/>
    <n v="182"/>
    <n v="139"/>
    <n v="74"/>
    <n v="1.79"/>
    <n v="1232"/>
    <x v="2"/>
    <n v="12.2"/>
    <n v="3.5"/>
    <x v="2"/>
    <n v="3"/>
    <n v="31.75"/>
    <s v="Obesity"/>
    <n v="688.26815642458098"/>
  </r>
  <r>
    <n v="287"/>
    <s v="Delhi"/>
    <n v="29"/>
    <s v="Male"/>
    <n v="125.9"/>
    <n v="2"/>
    <n v="186"/>
    <n v="152"/>
    <n v="67"/>
    <n v="1.36"/>
    <n v="1137"/>
    <x v="3"/>
    <n v="24.7"/>
    <n v="3.1"/>
    <x v="0"/>
    <n v="2"/>
    <n v="31.48"/>
    <s v="Obesity"/>
    <n v="836.02941176470586"/>
  </r>
  <r>
    <n v="288"/>
    <s v="Pune"/>
    <n v="39"/>
    <s v="Male"/>
    <n v="105.5"/>
    <n v="1.99"/>
    <n v="199"/>
    <n v="133"/>
    <n v="71"/>
    <n v="0.81"/>
    <n v="593"/>
    <x v="1"/>
    <n v="26.4"/>
    <n v="2.5"/>
    <x v="3"/>
    <n v="1"/>
    <n v="26.64"/>
    <s v="Overweight"/>
    <n v="732.09876543209873"/>
  </r>
  <r>
    <n v="289"/>
    <s v="Mumbai"/>
    <n v="39"/>
    <s v="Male"/>
    <n v="93.4"/>
    <n v="1.7"/>
    <n v="191"/>
    <n v="155"/>
    <n v="50"/>
    <n v="1.1000000000000001"/>
    <n v="938"/>
    <x v="3"/>
    <n v="21.1"/>
    <n v="2.5"/>
    <x v="0"/>
    <n v="2"/>
    <n v="32.32"/>
    <s v="Obesity"/>
    <n v="852.72727272727263"/>
  </r>
  <r>
    <n v="290"/>
    <s v="Mumbai"/>
    <n v="47"/>
    <s v="Male"/>
    <n v="82.1"/>
    <n v="1.84"/>
    <n v="185"/>
    <n v="136"/>
    <n v="65"/>
    <n v="1.37"/>
    <n v="922"/>
    <x v="3"/>
    <n v="24.4"/>
    <n v="3.4"/>
    <x v="0"/>
    <n v="2"/>
    <n v="24.25"/>
    <s v="Normal Weight"/>
    <n v="672.99270072992692"/>
  </r>
  <r>
    <n v="291"/>
    <s v="Pune"/>
    <n v="55"/>
    <s v="Female"/>
    <n v="42.9"/>
    <n v="1.69"/>
    <n v="186"/>
    <n v="140"/>
    <n v="56"/>
    <n v="0.9"/>
    <n v="567"/>
    <x v="0"/>
    <n v="34.700000000000003"/>
    <n v="2.4"/>
    <x v="3"/>
    <n v="1"/>
    <n v="15.02"/>
    <s v="Underweight"/>
    <n v="630"/>
  </r>
  <r>
    <n v="292"/>
    <s v="Bengaluru"/>
    <n v="55"/>
    <s v="Male"/>
    <n v="128.4"/>
    <n v="1.68"/>
    <n v="178"/>
    <n v="165"/>
    <n v="52"/>
    <n v="1.1299999999999999"/>
    <n v="923"/>
    <x v="2"/>
    <n v="20.399999999999999"/>
    <n v="2.6"/>
    <x v="0"/>
    <n v="2"/>
    <n v="45.49"/>
    <s v="Obesity"/>
    <n v="816.81415929203547"/>
  </r>
  <r>
    <n v="293"/>
    <s v="Hyderabad"/>
    <n v="25"/>
    <s v="Male"/>
    <n v="112.4"/>
    <n v="1.96"/>
    <n v="188"/>
    <n v="135"/>
    <n v="72"/>
    <n v="1.42"/>
    <n v="1054"/>
    <x v="2"/>
    <n v="23.2"/>
    <n v="2.5"/>
    <x v="3"/>
    <n v="1"/>
    <n v="29.26"/>
    <s v="Overweight"/>
    <n v="742.25352112676057"/>
  </r>
  <r>
    <n v="294"/>
    <s v="Bengaluru"/>
    <n v="44"/>
    <s v="Female"/>
    <n v="77.7"/>
    <n v="1.79"/>
    <n v="198"/>
    <n v="165"/>
    <n v="53"/>
    <n v="1.41"/>
    <n v="1047"/>
    <x v="1"/>
    <n v="28.1"/>
    <n v="2.2000000000000002"/>
    <x v="1"/>
    <n v="1"/>
    <n v="24.25"/>
    <s v="Normal Weight"/>
    <n v="742.55319148936178"/>
  </r>
  <r>
    <n v="295"/>
    <s v="Mumbai"/>
    <n v="44"/>
    <s v="Male"/>
    <n v="89.3"/>
    <n v="1.99"/>
    <n v="192"/>
    <n v="135"/>
    <n v="58"/>
    <n v="1.4"/>
    <n v="936"/>
    <x v="1"/>
    <n v="26.3"/>
    <n v="2"/>
    <x v="0"/>
    <n v="2"/>
    <n v="22.55"/>
    <s v="Normal Weight"/>
    <n v="668.57142857142867"/>
  </r>
  <r>
    <n v="296"/>
    <s v="Mumbai"/>
    <n v="51"/>
    <s v="Female"/>
    <n v="70.3"/>
    <n v="1.55"/>
    <n v="178"/>
    <n v="139"/>
    <n v="54"/>
    <n v="1.4"/>
    <n v="876"/>
    <x v="0"/>
    <n v="26.1"/>
    <n v="1.6"/>
    <x v="1"/>
    <n v="1"/>
    <n v="29.26"/>
    <s v="Overweight"/>
    <n v="625.71428571428578"/>
  </r>
  <r>
    <n v="297"/>
    <s v="Pune"/>
    <n v="38"/>
    <s v="Female"/>
    <n v="59.1"/>
    <n v="1.72"/>
    <n v="196"/>
    <n v="148"/>
    <n v="68"/>
    <n v="1.07"/>
    <n v="792"/>
    <x v="2"/>
    <n v="31.3"/>
    <n v="1.7"/>
    <x v="1"/>
    <n v="2"/>
    <n v="19.98"/>
    <s v="Normal Weight"/>
    <n v="740.18691588785043"/>
  </r>
  <r>
    <n v="298"/>
    <s v="Chennai"/>
    <n v="47"/>
    <s v="Female"/>
    <n v="49.9"/>
    <n v="1.69"/>
    <n v="178"/>
    <n v="147"/>
    <n v="64"/>
    <n v="1.48"/>
    <n v="979"/>
    <x v="1"/>
    <n v="26"/>
    <n v="1.7"/>
    <x v="1"/>
    <n v="2"/>
    <n v="17.47"/>
    <s v="Underweight"/>
    <n v="661.48648648648646"/>
  </r>
  <r>
    <n v="299"/>
    <s v="Bengaluru"/>
    <n v="50"/>
    <s v="Male"/>
    <n v="101.7"/>
    <n v="1.67"/>
    <n v="192"/>
    <n v="127"/>
    <n v="57"/>
    <n v="0.53"/>
    <n v="333"/>
    <x v="1"/>
    <n v="20.9"/>
    <n v="2.9"/>
    <x v="3"/>
    <n v="1"/>
    <n v="36.47"/>
    <s v="Obesity"/>
    <n v="628.30188679245282"/>
  </r>
  <r>
    <n v="300"/>
    <s v="Gurgaon"/>
    <n v="45"/>
    <s v="Male"/>
    <n v="93"/>
    <n v="1.91"/>
    <n v="175"/>
    <n v="143"/>
    <n v="55"/>
    <n v="1.03"/>
    <n v="729"/>
    <x v="2"/>
    <n v="27.3"/>
    <n v="3.7"/>
    <x v="1"/>
    <n v="2"/>
    <n v="25.49"/>
    <s v="Overweight"/>
    <n v="707.76699029126212"/>
  </r>
  <r>
    <n v="301"/>
    <s v="Pune"/>
    <n v="50"/>
    <s v="Male"/>
    <n v="87.4"/>
    <n v="1.6"/>
    <n v="182"/>
    <n v="122"/>
    <n v="67"/>
    <n v="0.77"/>
    <n v="465"/>
    <x v="3"/>
    <n v="23.2"/>
    <n v="3.1"/>
    <x v="3"/>
    <n v="1"/>
    <n v="34.14"/>
    <s v="Obesity"/>
    <n v="603.89610389610391"/>
  </r>
  <r>
    <n v="302"/>
    <s v="Ahmedabad"/>
    <n v="22"/>
    <s v="Female"/>
    <n v="55.1"/>
    <n v="1.61"/>
    <n v="166"/>
    <n v="144"/>
    <n v="68"/>
    <n v="1.62"/>
    <n v="1166"/>
    <x v="1"/>
    <n v="19.899999999999999"/>
    <n v="2.7"/>
    <x v="0"/>
    <n v="3"/>
    <n v="21.26"/>
    <s v="Normal Weight"/>
    <n v="719.753086419753"/>
  </r>
  <r>
    <n v="303"/>
    <s v="Mumbai"/>
    <n v="36"/>
    <s v="Male"/>
    <n v="123.7"/>
    <n v="1.69"/>
    <n v="185"/>
    <n v="138"/>
    <n v="73"/>
    <n v="1.3"/>
    <n v="987"/>
    <x v="2"/>
    <n v="20.399999999999999"/>
    <n v="2.1"/>
    <x v="0"/>
    <n v="2"/>
    <n v="43.31"/>
    <s v="Obesity"/>
    <n v="759.23076923076917"/>
  </r>
  <r>
    <n v="304"/>
    <s v="Pune"/>
    <n v="21"/>
    <s v="Female"/>
    <n v="61.3"/>
    <n v="1.57"/>
    <n v="191"/>
    <n v="152"/>
    <n v="64"/>
    <n v="1.94"/>
    <n v="1474"/>
    <x v="1"/>
    <n v="17.2"/>
    <n v="2.7"/>
    <x v="0"/>
    <n v="3"/>
    <n v="24.87"/>
    <s v="Normal Weight"/>
    <n v="759.79381443298973"/>
  </r>
  <r>
    <n v="305"/>
    <s v="Bengaluru"/>
    <n v="52"/>
    <s v="Male"/>
    <n v="72.3"/>
    <n v="1.94"/>
    <n v="171"/>
    <n v="121"/>
    <n v="56"/>
    <n v="1.46"/>
    <n v="874"/>
    <x v="0"/>
    <n v="21.1"/>
    <n v="2.9"/>
    <x v="1"/>
    <n v="2"/>
    <n v="19.21"/>
    <s v="Normal Weight"/>
    <n v="598.63013698630141"/>
  </r>
  <r>
    <n v="306"/>
    <s v="Mumbai"/>
    <n v="34"/>
    <s v="Female"/>
    <n v="69.2"/>
    <n v="1.53"/>
    <n v="167"/>
    <n v="134"/>
    <n v="59"/>
    <n v="1.36"/>
    <n v="911"/>
    <x v="1"/>
    <n v="28.5"/>
    <n v="2.1"/>
    <x v="3"/>
    <n v="1"/>
    <n v="29.56"/>
    <s v="Overweight"/>
    <n v="669.85294117647049"/>
  </r>
  <r>
    <n v="307"/>
    <s v="Hyderabad"/>
    <n v="45"/>
    <s v="Male"/>
    <n v="81.400000000000006"/>
    <n v="1.61"/>
    <n v="164"/>
    <n v="141"/>
    <n v="55"/>
    <n v="1.1399999999999999"/>
    <n v="796"/>
    <x v="2"/>
    <n v="30"/>
    <n v="2.2000000000000002"/>
    <x v="0"/>
    <n v="2"/>
    <n v="31.4"/>
    <s v="Obesity"/>
    <n v="698.24561403508778"/>
  </r>
  <r>
    <n v="308"/>
    <s v="Pune"/>
    <n v="47"/>
    <s v="Male"/>
    <n v="84.8"/>
    <n v="1.86"/>
    <n v="187"/>
    <n v="129"/>
    <n v="63"/>
    <n v="1.85"/>
    <n v="1181"/>
    <x v="1"/>
    <n v="14.4"/>
    <n v="3.5"/>
    <x v="2"/>
    <n v="3"/>
    <n v="24.51"/>
    <s v="Normal Weight"/>
    <n v="638.37837837837833"/>
  </r>
  <r>
    <n v="309"/>
    <s v="Kolkata"/>
    <n v="46"/>
    <s v="Male"/>
    <n v="55.1"/>
    <n v="1.72"/>
    <n v="164"/>
    <n v="137"/>
    <n v="66"/>
    <n v="1.43"/>
    <n v="970"/>
    <x v="0"/>
    <n v="20.5"/>
    <n v="3.6"/>
    <x v="1"/>
    <n v="2"/>
    <n v="18.62"/>
    <s v="Normal Weight"/>
    <n v="678.32167832167841"/>
  </r>
  <r>
    <n v="310"/>
    <s v="Mumbai"/>
    <n v="23"/>
    <s v="Female"/>
    <n v="59"/>
    <n v="1.78"/>
    <n v="185"/>
    <n v="141"/>
    <n v="58"/>
    <n v="1.67"/>
    <n v="1177"/>
    <x v="0"/>
    <n v="17.8"/>
    <n v="2.7"/>
    <x v="2"/>
    <n v="3"/>
    <n v="18.62"/>
    <s v="Normal Weight"/>
    <n v="704.79041916167671"/>
  </r>
  <r>
    <n v="311"/>
    <s v="Bengaluru"/>
    <n v="52"/>
    <s v="Female"/>
    <n v="64.900000000000006"/>
    <n v="1.51"/>
    <n v="164"/>
    <n v="165"/>
    <n v="68"/>
    <n v="1.83"/>
    <n v="1359"/>
    <x v="1"/>
    <n v="18.2"/>
    <n v="2.7"/>
    <x v="0"/>
    <n v="3"/>
    <n v="28.46"/>
    <s v="Overweight"/>
    <n v="742.62295081967216"/>
  </r>
  <r>
    <n v="312"/>
    <s v="Delhi"/>
    <n v="58"/>
    <s v="Male"/>
    <n v="109.7"/>
    <n v="1.75"/>
    <n v="181"/>
    <n v="168"/>
    <n v="54"/>
    <n v="1.01"/>
    <n v="840"/>
    <x v="1"/>
    <n v="22.1"/>
    <n v="2.7"/>
    <x v="3"/>
    <n v="1"/>
    <n v="35.82"/>
    <s v="Obesity"/>
    <n v="831.68316831683171"/>
  </r>
  <r>
    <n v="313"/>
    <s v="Gurgaon"/>
    <n v="54"/>
    <s v="Male"/>
    <n v="78.400000000000006"/>
    <n v="1.9"/>
    <n v="174"/>
    <n v="146"/>
    <n v="72"/>
    <n v="0.81"/>
    <n v="585"/>
    <x v="0"/>
    <n v="21.5"/>
    <n v="3.7"/>
    <x v="3"/>
    <n v="1"/>
    <n v="21.72"/>
    <s v="Normal Weight"/>
    <n v="722.22222222222217"/>
  </r>
  <r>
    <n v="314"/>
    <s v="Noida"/>
    <n v="41"/>
    <s v="Female"/>
    <n v="76.7"/>
    <n v="1.79"/>
    <n v="172"/>
    <n v="132"/>
    <n v="56"/>
    <n v="1.4"/>
    <n v="832"/>
    <x v="0"/>
    <n v="34"/>
    <n v="2"/>
    <x v="0"/>
    <n v="2"/>
    <n v="23.94"/>
    <s v="Normal Weight"/>
    <n v="594.28571428571433"/>
  </r>
  <r>
    <n v="315"/>
    <s v="Chennai"/>
    <n v="46"/>
    <s v="Female"/>
    <n v="63.1"/>
    <n v="1.61"/>
    <n v="187"/>
    <n v="152"/>
    <n v="68"/>
    <n v="1"/>
    <n v="684"/>
    <x v="3"/>
    <n v="34.700000000000003"/>
    <n v="2.2000000000000002"/>
    <x v="0"/>
    <n v="2"/>
    <n v="24.34"/>
    <s v="Normal Weight"/>
    <n v="684"/>
  </r>
  <r>
    <n v="316"/>
    <s v="Noida"/>
    <n v="48"/>
    <s v="Female"/>
    <n v="62.9"/>
    <n v="1.58"/>
    <n v="192"/>
    <n v="124"/>
    <n v="69"/>
    <n v="1.98"/>
    <n v="1105"/>
    <x v="3"/>
    <n v="20"/>
    <n v="2.7"/>
    <x v="0"/>
    <n v="3"/>
    <n v="25.2"/>
    <s v="Overweight"/>
    <n v="558.08080808080808"/>
  </r>
  <r>
    <n v="317"/>
    <s v="Bengaluru"/>
    <n v="52"/>
    <s v="Male"/>
    <n v="85.6"/>
    <n v="1.74"/>
    <n v="182"/>
    <n v="145"/>
    <n v="56"/>
    <n v="1.84"/>
    <n v="1321"/>
    <x v="0"/>
    <n v="13.9"/>
    <n v="3.5"/>
    <x v="0"/>
    <n v="3"/>
    <n v="28.27"/>
    <s v="Overweight"/>
    <n v="717.93478260869563"/>
  </r>
  <r>
    <n v="318"/>
    <s v="Ahmedabad"/>
    <n v="50"/>
    <s v="Female"/>
    <n v="66.3"/>
    <n v="1.57"/>
    <n v="192"/>
    <n v="132"/>
    <n v="73"/>
    <n v="1.25"/>
    <n v="742"/>
    <x v="1"/>
    <n v="31.6"/>
    <n v="1.6"/>
    <x v="3"/>
    <n v="1"/>
    <n v="26.9"/>
    <s v="Overweight"/>
    <n v="593.6"/>
  </r>
  <r>
    <n v="319"/>
    <s v="Ahmedabad"/>
    <n v="38"/>
    <s v="Male"/>
    <n v="61.3"/>
    <n v="1.97"/>
    <n v="177"/>
    <n v="146"/>
    <n v="51"/>
    <n v="1.37"/>
    <n v="1100"/>
    <x v="2"/>
    <n v="23.5"/>
    <n v="2.8"/>
    <x v="1"/>
    <n v="1"/>
    <n v="15.8"/>
    <s v="Underweight"/>
    <n v="802.91970802919707"/>
  </r>
  <r>
    <n v="320"/>
    <s v="Delhi"/>
    <n v="49"/>
    <s v="Female"/>
    <n v="44.1"/>
    <n v="1.65"/>
    <n v="189"/>
    <n v="133"/>
    <n v="74"/>
    <n v="1.1599999999999999"/>
    <n v="694"/>
    <x v="1"/>
    <n v="26.7"/>
    <n v="1.8"/>
    <x v="0"/>
    <n v="2"/>
    <n v="16.2"/>
    <s v="Underweight"/>
    <n v="598.27586206896558"/>
  </r>
  <r>
    <n v="321"/>
    <s v="Chennai"/>
    <n v="40"/>
    <s v="Male"/>
    <n v="63.8"/>
    <n v="1.62"/>
    <n v="185"/>
    <n v="143"/>
    <n v="72"/>
    <n v="1.3"/>
    <n v="1022"/>
    <x v="1"/>
    <n v="20.8"/>
    <n v="3.4"/>
    <x v="3"/>
    <n v="1"/>
    <n v="24.31"/>
    <s v="Normal Weight"/>
    <n v="786.15384615384608"/>
  </r>
  <r>
    <n v="322"/>
    <s v="Kolkata"/>
    <n v="50"/>
    <s v="Female"/>
    <n v="55.4"/>
    <n v="1.55"/>
    <n v="175"/>
    <n v="122"/>
    <n v="65"/>
    <n v="1.85"/>
    <n v="1016"/>
    <x v="3"/>
    <n v="18.5"/>
    <n v="2.7"/>
    <x v="0"/>
    <n v="3"/>
    <n v="23.06"/>
    <s v="Normal Weight"/>
    <n v="549.18918918918916"/>
  </r>
  <r>
    <n v="323"/>
    <s v="Delhi"/>
    <n v="20"/>
    <s v="Female"/>
    <n v="74.7"/>
    <n v="1.58"/>
    <n v="172"/>
    <n v="166"/>
    <n v="62"/>
    <n v="1.04"/>
    <n v="863"/>
    <x v="3"/>
    <n v="32.799999999999997"/>
    <n v="2.4"/>
    <x v="1"/>
    <n v="2"/>
    <n v="29.92"/>
    <s v="Overweight"/>
    <n v="829.80769230769226"/>
  </r>
  <r>
    <n v="324"/>
    <s v="Noida"/>
    <n v="35"/>
    <s v="Female"/>
    <n v="78"/>
    <n v="1.67"/>
    <n v="198"/>
    <n v="168"/>
    <n v="57"/>
    <n v="1.1299999999999999"/>
    <n v="949"/>
    <x v="3"/>
    <n v="33.299999999999997"/>
    <n v="2.5"/>
    <x v="0"/>
    <n v="2"/>
    <n v="27.97"/>
    <s v="Overweight"/>
    <n v="839.8230088495576"/>
  </r>
  <r>
    <n v="325"/>
    <s v="Delhi"/>
    <n v="42"/>
    <s v="Female"/>
    <n v="57.5"/>
    <n v="1.67"/>
    <n v="192"/>
    <n v="149"/>
    <n v="55"/>
    <n v="1.1399999999999999"/>
    <n v="764"/>
    <x v="0"/>
    <n v="34.1"/>
    <n v="2.4"/>
    <x v="3"/>
    <n v="1"/>
    <n v="20.62"/>
    <s v="Normal Weight"/>
    <n v="670.17543859649129"/>
  </r>
  <r>
    <n v="326"/>
    <s v="Noida"/>
    <n v="59"/>
    <s v="Female"/>
    <n v="60.7"/>
    <n v="1.73"/>
    <n v="185"/>
    <n v="154"/>
    <n v="55"/>
    <n v="1.03"/>
    <n v="714"/>
    <x v="0"/>
    <n v="33.799999999999997"/>
    <n v="2.5"/>
    <x v="1"/>
    <n v="2"/>
    <n v="20.28"/>
    <s v="Normal Weight"/>
    <n v="693.20388349514565"/>
  </r>
  <r>
    <n v="327"/>
    <s v="Mumbai"/>
    <n v="48"/>
    <s v="Male"/>
    <n v="69"/>
    <n v="1.74"/>
    <n v="160"/>
    <n v="167"/>
    <n v="58"/>
    <n v="1.48"/>
    <n v="1223"/>
    <x v="1"/>
    <n v="30"/>
    <n v="2.2999999999999998"/>
    <x v="1"/>
    <n v="2"/>
    <n v="22.79"/>
    <s v="Normal Weight"/>
    <n v="826.35135135135135"/>
  </r>
  <r>
    <n v="328"/>
    <s v="Ahmedabad"/>
    <n v="20"/>
    <s v="Female"/>
    <n v="75.8"/>
    <n v="1.78"/>
    <n v="197"/>
    <n v="133"/>
    <n v="53"/>
    <n v="1.42"/>
    <n v="944"/>
    <x v="1"/>
    <n v="27.4"/>
    <n v="2"/>
    <x v="0"/>
    <n v="2"/>
    <n v="23.92"/>
    <s v="Normal Weight"/>
    <n v="664.78873239436621"/>
  </r>
  <r>
    <n v="329"/>
    <s v="Mumbai"/>
    <n v="57"/>
    <s v="Female"/>
    <n v="75.7"/>
    <n v="1.63"/>
    <n v="161"/>
    <n v="131"/>
    <n v="60"/>
    <n v="0.69"/>
    <n v="407"/>
    <x v="2"/>
    <n v="32.6"/>
    <n v="2.2999999999999998"/>
    <x v="1"/>
    <n v="1"/>
    <n v="28.49"/>
    <s v="Overweight"/>
    <n v="589.85507246376812"/>
  </r>
  <r>
    <n v="330"/>
    <s v="Gurgaon"/>
    <n v="41"/>
    <s v="Female"/>
    <n v="71.2"/>
    <n v="1.64"/>
    <n v="165"/>
    <n v="147"/>
    <n v="54"/>
    <n v="1.42"/>
    <n v="939"/>
    <x v="1"/>
    <n v="30.9"/>
    <n v="2.2999999999999998"/>
    <x v="1"/>
    <n v="2"/>
    <n v="26.47"/>
    <s v="Overweight"/>
    <n v="661.26760563380287"/>
  </r>
  <r>
    <n v="331"/>
    <s v="Chennai"/>
    <n v="49"/>
    <s v="Male"/>
    <n v="85"/>
    <n v="1.68"/>
    <n v="197"/>
    <n v="163"/>
    <n v="74"/>
    <n v="1.82"/>
    <n v="1468"/>
    <x v="1"/>
    <n v="11.3"/>
    <n v="3.5"/>
    <x v="0"/>
    <n v="3"/>
    <n v="30.12"/>
    <s v="Obesity"/>
    <n v="806.5934065934066"/>
  </r>
  <r>
    <n v="332"/>
    <s v="Kolkata"/>
    <n v="39"/>
    <s v="Female"/>
    <n v="63.6"/>
    <n v="1.56"/>
    <n v="183"/>
    <n v="148"/>
    <n v="66"/>
    <n v="1.22"/>
    <n v="903"/>
    <x v="3"/>
    <n v="34.799999999999997"/>
    <n v="2.4"/>
    <x v="3"/>
    <n v="1"/>
    <n v="26.13"/>
    <s v="Overweight"/>
    <n v="740.1639344262295"/>
  </r>
  <r>
    <n v="333"/>
    <s v="Noida"/>
    <n v="40"/>
    <s v="Male"/>
    <n v="73.2"/>
    <n v="1.94"/>
    <n v="177"/>
    <n v="162"/>
    <n v="69"/>
    <n v="0.81"/>
    <n v="722"/>
    <x v="3"/>
    <n v="29"/>
    <n v="2.4"/>
    <x v="3"/>
    <n v="1"/>
    <n v="19.45"/>
    <s v="Normal Weight"/>
    <n v="891.35802469135797"/>
  </r>
  <r>
    <n v="334"/>
    <s v="Kolkata"/>
    <n v="19"/>
    <s v="Female"/>
    <n v="48.3"/>
    <n v="1.52"/>
    <n v="186"/>
    <n v="136"/>
    <n v="56"/>
    <n v="0.96"/>
    <n v="653"/>
    <x v="3"/>
    <n v="26.3"/>
    <n v="1.6"/>
    <x v="3"/>
    <n v="1"/>
    <n v="20.91"/>
    <s v="Normal Weight"/>
    <n v="680.20833333333337"/>
  </r>
  <r>
    <n v="335"/>
    <s v="Noida"/>
    <n v="44"/>
    <s v="Female"/>
    <n v="42.8"/>
    <n v="1.78"/>
    <n v="167"/>
    <n v="159"/>
    <n v="64"/>
    <n v="1.49"/>
    <n v="1066"/>
    <x v="3"/>
    <n v="25.3"/>
    <n v="2.6"/>
    <x v="1"/>
    <n v="2"/>
    <n v="13.51"/>
    <s v="Underweight"/>
    <n v="715.43624161073831"/>
  </r>
  <r>
    <n v="336"/>
    <s v="Bengaluru"/>
    <n v="59"/>
    <s v="Male"/>
    <n v="88.1"/>
    <n v="1.76"/>
    <n v="187"/>
    <n v="168"/>
    <n v="74"/>
    <n v="1.35"/>
    <n v="1123"/>
    <x v="3"/>
    <n v="26.9"/>
    <n v="3"/>
    <x v="1"/>
    <n v="2"/>
    <n v="28.44"/>
    <s v="Overweight"/>
    <n v="831.85185185185185"/>
  </r>
  <r>
    <n v="337"/>
    <s v="Delhi"/>
    <n v="19"/>
    <s v="Female"/>
    <n v="72.400000000000006"/>
    <n v="1.75"/>
    <n v="169"/>
    <n v="140"/>
    <n v="64"/>
    <n v="1.2"/>
    <n v="840"/>
    <x v="2"/>
    <n v="31"/>
    <n v="1.7"/>
    <x v="0"/>
    <n v="2"/>
    <n v="23.64"/>
    <s v="Normal Weight"/>
    <n v="700"/>
  </r>
  <r>
    <n v="338"/>
    <s v="Gurgaon"/>
    <n v="43"/>
    <s v="Male"/>
    <n v="73.2"/>
    <n v="1.88"/>
    <n v="176"/>
    <n v="142"/>
    <n v="63"/>
    <n v="1.17"/>
    <n v="822"/>
    <x v="2"/>
    <n v="29.4"/>
    <n v="3.3"/>
    <x v="1"/>
    <n v="1"/>
    <n v="20.71"/>
    <s v="Normal Weight"/>
    <n v="702.56410256410265"/>
  </r>
  <r>
    <n v="339"/>
    <s v="Ahmedabad"/>
    <n v="34"/>
    <s v="Male"/>
    <n v="110.5"/>
    <n v="1.86"/>
    <n v="188"/>
    <n v="139"/>
    <n v="62"/>
    <n v="1.42"/>
    <n v="1086"/>
    <x v="2"/>
    <n v="22.3"/>
    <n v="3.6"/>
    <x v="3"/>
    <n v="1"/>
    <n v="31.94"/>
    <s v="Obesity"/>
    <n v="764.78873239436621"/>
  </r>
  <r>
    <n v="340"/>
    <s v="Noida"/>
    <n v="57"/>
    <s v="Female"/>
    <n v="46.1"/>
    <n v="1.76"/>
    <n v="165"/>
    <n v="130"/>
    <n v="60"/>
    <n v="1.44"/>
    <n v="842"/>
    <x v="3"/>
    <n v="25.8"/>
    <n v="1.7"/>
    <x v="1"/>
    <n v="2"/>
    <n v="14.88"/>
    <s v="Underweight"/>
    <n v="584.72222222222229"/>
  </r>
  <r>
    <n v="341"/>
    <s v="Kolkata"/>
    <n v="50"/>
    <s v="Male"/>
    <n v="90.8"/>
    <n v="1.71"/>
    <n v="173"/>
    <n v="153"/>
    <n v="62"/>
    <n v="1.07"/>
    <n v="810"/>
    <x v="0"/>
    <n v="22.6"/>
    <n v="3.4"/>
    <x v="0"/>
    <n v="2"/>
    <n v="31.05"/>
    <s v="Obesity"/>
    <n v="757.00934579439252"/>
  </r>
  <r>
    <n v="342"/>
    <s v="Gurgaon"/>
    <n v="26"/>
    <s v="Female"/>
    <n v="59.3"/>
    <n v="1.51"/>
    <n v="181"/>
    <n v="129"/>
    <n v="71"/>
    <n v="1.7"/>
    <n v="1096"/>
    <x v="3"/>
    <n v="15.1"/>
    <n v="2.7"/>
    <x v="2"/>
    <n v="3"/>
    <n v="26.01"/>
    <s v="Overweight"/>
    <n v="644.70588235294122"/>
  </r>
  <r>
    <n v="343"/>
    <s v="Hyderabad"/>
    <n v="56"/>
    <s v="Female"/>
    <n v="45.1"/>
    <n v="1.73"/>
    <n v="165"/>
    <n v="129"/>
    <n v="73"/>
    <n v="0.83"/>
    <n v="482"/>
    <x v="3"/>
    <n v="25.4"/>
    <n v="2.6"/>
    <x v="1"/>
    <n v="1"/>
    <n v="15.07"/>
    <s v="Underweight"/>
    <n v="580.72289156626505"/>
  </r>
  <r>
    <n v="344"/>
    <s v="Hyderabad"/>
    <n v="46"/>
    <s v="Male"/>
    <n v="45"/>
    <n v="1.77"/>
    <n v="185"/>
    <n v="162"/>
    <n v="58"/>
    <n v="1.48"/>
    <n v="1187"/>
    <x v="2"/>
    <n v="29.1"/>
    <n v="3.6"/>
    <x v="1"/>
    <n v="2"/>
    <n v="14.36"/>
    <s v="Underweight"/>
    <n v="802.02702702702709"/>
  </r>
  <r>
    <n v="345"/>
    <s v="Mumbai"/>
    <n v="59"/>
    <s v="Male"/>
    <n v="89.4"/>
    <n v="1.62"/>
    <n v="198"/>
    <n v="125"/>
    <n v="59"/>
    <n v="1.43"/>
    <n v="885"/>
    <x v="3"/>
    <n v="23.5"/>
    <n v="3.6"/>
    <x v="1"/>
    <n v="2"/>
    <n v="34.06"/>
    <s v="Obesity"/>
    <n v="618.88111888111894"/>
  </r>
  <r>
    <n v="346"/>
    <s v="Ahmedabad"/>
    <n v="43"/>
    <s v="Male"/>
    <n v="127.7"/>
    <n v="1.69"/>
    <n v="171"/>
    <n v="155"/>
    <n v="53"/>
    <n v="1.1399999999999999"/>
    <n v="875"/>
    <x v="2"/>
    <n v="24.1"/>
    <n v="2.9"/>
    <x v="1"/>
    <n v="2"/>
    <n v="44.71"/>
    <s v="Obesity"/>
    <n v="767.54385964912285"/>
  </r>
  <r>
    <n v="347"/>
    <s v="Bengaluru"/>
    <n v="52"/>
    <s v="Male"/>
    <n v="70.900000000000006"/>
    <n v="1.72"/>
    <n v="194"/>
    <n v="143"/>
    <n v="66"/>
    <n v="1.31"/>
    <n v="927"/>
    <x v="3"/>
    <n v="20.2"/>
    <n v="2.6"/>
    <x v="1"/>
    <n v="2"/>
    <n v="23.97"/>
    <s v="Normal Weight"/>
    <n v="707.63358778625957"/>
  </r>
  <r>
    <n v="348"/>
    <s v="Kolkata"/>
    <n v="42"/>
    <s v="Female"/>
    <n v="49.2"/>
    <n v="1.5"/>
    <n v="173"/>
    <n v="131"/>
    <n v="63"/>
    <n v="1.1499999999999999"/>
    <n v="678"/>
    <x v="1"/>
    <n v="27.7"/>
    <n v="1.5"/>
    <x v="1"/>
    <n v="2"/>
    <n v="21.87"/>
    <s v="Normal Weight"/>
    <n v="589.56521739130437"/>
  </r>
  <r>
    <n v="349"/>
    <s v="Delhi"/>
    <n v="41"/>
    <s v="Female"/>
    <n v="62.3"/>
    <n v="1.79"/>
    <n v="181"/>
    <n v="162"/>
    <n v="73"/>
    <n v="1.99"/>
    <n v="1451"/>
    <x v="0"/>
    <n v="19"/>
    <n v="2.7"/>
    <x v="2"/>
    <n v="3"/>
    <n v="19.440000000000001"/>
    <s v="Normal Weight"/>
    <n v="729.1457286432161"/>
  </r>
  <r>
    <n v="350"/>
    <s v="Delhi"/>
    <n v="30"/>
    <s v="Male"/>
    <n v="64.099999999999994"/>
    <n v="1.87"/>
    <n v="182"/>
    <n v="142"/>
    <n v="67"/>
    <n v="0.64"/>
    <n v="500"/>
    <x v="0"/>
    <n v="26.2"/>
    <n v="2.1"/>
    <x v="3"/>
    <n v="1"/>
    <n v="18.329999999999998"/>
    <s v="Underweight"/>
    <n v="781.25"/>
  </r>
  <r>
    <n v="351"/>
    <s v="Kolkata"/>
    <n v="24"/>
    <s v="Female"/>
    <n v="69.7"/>
    <n v="1.75"/>
    <n v="166"/>
    <n v="146"/>
    <n v="60"/>
    <n v="1.41"/>
    <n v="1029"/>
    <x v="2"/>
    <n v="32.5"/>
    <n v="2"/>
    <x v="1"/>
    <n v="1"/>
    <n v="22.76"/>
    <s v="Normal Weight"/>
    <n v="729.78723404255322"/>
  </r>
  <r>
    <n v="352"/>
    <s v="Chennai"/>
    <n v="53"/>
    <s v="Female"/>
    <n v="56.9"/>
    <n v="1.59"/>
    <n v="199"/>
    <n v="164"/>
    <n v="65"/>
    <n v="1.49"/>
    <n v="1100"/>
    <x v="1"/>
    <n v="29.5"/>
    <n v="2"/>
    <x v="1"/>
    <n v="2"/>
    <n v="22.51"/>
    <s v="Normal Weight"/>
    <n v="738.255033557047"/>
  </r>
  <r>
    <n v="353"/>
    <s v="Bengaluru"/>
    <n v="37"/>
    <s v="Female"/>
    <n v="53"/>
    <n v="1.71"/>
    <n v="184"/>
    <n v="156"/>
    <n v="50"/>
    <n v="1.1299999999999999"/>
    <n v="881"/>
    <x v="0"/>
    <n v="28.1"/>
    <n v="1.7"/>
    <x v="0"/>
    <n v="2"/>
    <n v="18.13"/>
    <s v="Underweight"/>
    <n v="779.64601769911508"/>
  </r>
  <r>
    <n v="354"/>
    <s v="Gurgaon"/>
    <n v="18"/>
    <s v="Female"/>
    <n v="72.7"/>
    <n v="1.55"/>
    <n v="172"/>
    <n v="125"/>
    <n v="56"/>
    <n v="0.84"/>
    <n v="525"/>
    <x v="2"/>
    <n v="29.8"/>
    <n v="2"/>
    <x v="1"/>
    <n v="1"/>
    <n v="30.26"/>
    <s v="Obesity"/>
    <n v="625"/>
  </r>
  <r>
    <n v="355"/>
    <s v="Noida"/>
    <n v="25"/>
    <s v="Male"/>
    <n v="76.5"/>
    <n v="1.96"/>
    <n v="180"/>
    <n v="120"/>
    <n v="59"/>
    <n v="0.67"/>
    <n v="442"/>
    <x v="3"/>
    <n v="23.2"/>
    <n v="2.2999999999999998"/>
    <x v="1"/>
    <n v="1"/>
    <n v="19.91"/>
    <s v="Normal Weight"/>
    <n v="659.70149253731336"/>
  </r>
  <r>
    <n v="356"/>
    <s v="Chennai"/>
    <n v="33"/>
    <s v="Male"/>
    <n v="113.6"/>
    <n v="1.99"/>
    <n v="169"/>
    <n v="125"/>
    <n v="58"/>
    <n v="1.38"/>
    <n v="949"/>
    <x v="3"/>
    <n v="28.4"/>
    <n v="3.4"/>
    <x v="3"/>
    <n v="1"/>
    <n v="28.69"/>
    <s v="Overweight"/>
    <n v="687.68115942028987"/>
  </r>
  <r>
    <n v="357"/>
    <s v="Noida"/>
    <n v="31"/>
    <s v="Female"/>
    <n v="62.5"/>
    <n v="1.62"/>
    <n v="168"/>
    <n v="169"/>
    <n v="74"/>
    <n v="1.56"/>
    <n v="1318"/>
    <x v="1"/>
    <n v="16.5"/>
    <n v="2.7"/>
    <x v="0"/>
    <n v="3"/>
    <n v="23.81"/>
    <s v="Normal Weight"/>
    <n v="844.8717948717948"/>
  </r>
  <r>
    <n v="358"/>
    <s v="Noida"/>
    <n v="29"/>
    <s v="Male"/>
    <n v="95.2"/>
    <n v="1.86"/>
    <n v="174"/>
    <n v="141"/>
    <n v="52"/>
    <n v="0.64"/>
    <n v="496"/>
    <x v="0"/>
    <n v="26.6"/>
    <n v="2.5"/>
    <x v="3"/>
    <n v="1"/>
    <n v="27.52"/>
    <s v="Overweight"/>
    <n v="775"/>
  </r>
  <r>
    <n v="359"/>
    <s v="Chennai"/>
    <n v="40"/>
    <s v="Male"/>
    <n v="51.7"/>
    <n v="1.82"/>
    <n v="161"/>
    <n v="160"/>
    <n v="71"/>
    <n v="0.9"/>
    <n v="792"/>
    <x v="3"/>
    <n v="21.4"/>
    <n v="3"/>
    <x v="1"/>
    <n v="1"/>
    <n v="15.61"/>
    <s v="Underweight"/>
    <n v="880"/>
  </r>
  <r>
    <n v="360"/>
    <s v="Mumbai"/>
    <n v="32"/>
    <s v="Male"/>
    <n v="105.3"/>
    <n v="1.67"/>
    <n v="184"/>
    <n v="143"/>
    <n v="72"/>
    <n v="0.56999999999999995"/>
    <n v="448"/>
    <x v="2"/>
    <n v="26.9"/>
    <n v="2.9"/>
    <x v="1"/>
    <n v="1"/>
    <n v="37.76"/>
    <s v="Obesity"/>
    <n v="785.96491228070181"/>
  </r>
  <r>
    <n v="361"/>
    <s v="Hyderabad"/>
    <n v="45"/>
    <s v="Female"/>
    <n v="71.2"/>
    <n v="1.68"/>
    <n v="172"/>
    <n v="144"/>
    <n v="63"/>
    <n v="1.37"/>
    <n v="888"/>
    <x v="3"/>
    <n v="34.1"/>
    <n v="1.6"/>
    <x v="1"/>
    <n v="1"/>
    <n v="25.23"/>
    <s v="Overweight"/>
    <n v="648.17518248175179"/>
  </r>
  <r>
    <n v="362"/>
    <s v="Noida"/>
    <n v="51"/>
    <s v="Female"/>
    <n v="78.099999999999994"/>
    <n v="1.51"/>
    <n v="193"/>
    <n v="134"/>
    <n v="74"/>
    <n v="0.92"/>
    <n v="555"/>
    <x v="3"/>
    <n v="31.1"/>
    <n v="2.6"/>
    <x v="1"/>
    <n v="1"/>
    <n v="34.25"/>
    <s v="Obesity"/>
    <n v="603.26086956521738"/>
  </r>
  <r>
    <n v="363"/>
    <s v="Chennai"/>
    <n v="19"/>
    <s v="Female"/>
    <n v="50.6"/>
    <n v="1.68"/>
    <n v="193"/>
    <n v="145"/>
    <n v="64"/>
    <n v="1.21"/>
    <n v="877"/>
    <x v="0"/>
    <n v="30.6"/>
    <n v="2.1"/>
    <x v="1"/>
    <n v="2"/>
    <n v="17.93"/>
    <s v="Underweight"/>
    <n v="724.7933884297521"/>
  </r>
  <r>
    <n v="364"/>
    <s v="Chennai"/>
    <n v="49"/>
    <s v="Male"/>
    <n v="70.2"/>
    <n v="1.89"/>
    <n v="194"/>
    <n v="127"/>
    <n v="51"/>
    <n v="0.7"/>
    <n v="440"/>
    <x v="0"/>
    <n v="29.6"/>
    <n v="2.6"/>
    <x v="1"/>
    <n v="1"/>
    <n v="19.649999999999999"/>
    <s v="Normal Weight"/>
    <n v="628.57142857142856"/>
  </r>
  <r>
    <n v="365"/>
    <s v="Pune"/>
    <n v="40"/>
    <s v="Female"/>
    <n v="62.6"/>
    <n v="1.53"/>
    <n v="197"/>
    <n v="143"/>
    <n v="73"/>
    <n v="1.93"/>
    <n v="1380"/>
    <x v="2"/>
    <n v="18.100000000000001"/>
    <n v="2.7"/>
    <x v="2"/>
    <n v="3"/>
    <n v="26.74"/>
    <s v="Overweight"/>
    <n v="715.02590673575128"/>
  </r>
  <r>
    <n v="366"/>
    <s v="Mumbai"/>
    <n v="39"/>
    <s v="Female"/>
    <n v="60.6"/>
    <n v="1.65"/>
    <n v="162"/>
    <n v="167"/>
    <n v="63"/>
    <n v="0.92"/>
    <n v="768"/>
    <x v="1"/>
    <n v="27.6"/>
    <n v="1.7"/>
    <x v="1"/>
    <n v="1"/>
    <n v="22.26"/>
    <s v="Normal Weight"/>
    <n v="834.78260869565213"/>
  </r>
  <r>
    <n v="367"/>
    <s v="Ahmedabad"/>
    <n v="42"/>
    <s v="Male"/>
    <n v="76.400000000000006"/>
    <n v="1.97"/>
    <n v="165"/>
    <n v="157"/>
    <n v="65"/>
    <n v="1.1399999999999999"/>
    <n v="886"/>
    <x v="1"/>
    <n v="22.9"/>
    <n v="2.6"/>
    <x v="1"/>
    <n v="2"/>
    <n v="19.690000000000001"/>
    <s v="Normal Weight"/>
    <n v="777.19298245614038"/>
  </r>
  <r>
    <n v="368"/>
    <s v="Pune"/>
    <n v="39"/>
    <s v="Female"/>
    <n v="63.3"/>
    <n v="1.71"/>
    <n v="178"/>
    <n v="125"/>
    <n v="56"/>
    <n v="1.88"/>
    <n v="1175"/>
    <x v="3"/>
    <n v="18.5"/>
    <n v="2.7"/>
    <x v="0"/>
    <n v="3"/>
    <n v="21.65"/>
    <s v="Normal Weight"/>
    <n v="625"/>
  </r>
  <r>
    <n v="369"/>
    <s v="Pune"/>
    <n v="39"/>
    <s v="Female"/>
    <n v="68.599999999999994"/>
    <n v="1.64"/>
    <n v="162"/>
    <n v="154"/>
    <n v="53"/>
    <n v="1.33"/>
    <n v="1024"/>
    <x v="2"/>
    <n v="32.4"/>
    <n v="1.5"/>
    <x v="1"/>
    <n v="2"/>
    <n v="25.51"/>
    <s v="Overweight"/>
    <n v="769.92481203007515"/>
  </r>
  <r>
    <n v="370"/>
    <s v="Kolkata"/>
    <n v="59"/>
    <s v="Male"/>
    <n v="123.3"/>
    <n v="1.88"/>
    <n v="177"/>
    <n v="161"/>
    <n v="67"/>
    <n v="1.3"/>
    <n v="1036"/>
    <x v="1"/>
    <n v="23"/>
    <n v="2.6"/>
    <x v="0"/>
    <n v="2"/>
    <n v="34.89"/>
    <s v="Obesity"/>
    <n v="796.92307692307691"/>
  </r>
  <r>
    <n v="371"/>
    <s v="Hyderabad"/>
    <n v="23"/>
    <s v="Male"/>
    <n v="107"/>
    <n v="1.94"/>
    <n v="198"/>
    <n v="120"/>
    <n v="73"/>
    <n v="1.35"/>
    <n v="891"/>
    <x v="1"/>
    <n v="23.5"/>
    <n v="2.9"/>
    <x v="3"/>
    <n v="1"/>
    <n v="28.43"/>
    <s v="Overweight"/>
    <n v="660"/>
  </r>
  <r>
    <n v="372"/>
    <s v="Chennai"/>
    <n v="32"/>
    <s v="Male"/>
    <n v="68.3"/>
    <n v="1.92"/>
    <n v="168"/>
    <n v="165"/>
    <n v="54"/>
    <n v="1.42"/>
    <n v="1289"/>
    <x v="3"/>
    <n v="29.9"/>
    <n v="3.5"/>
    <x v="3"/>
    <n v="1"/>
    <n v="18.53"/>
    <s v="Normal Weight"/>
    <n v="907.74647887323943"/>
  </r>
  <r>
    <n v="373"/>
    <s v="Hyderabad"/>
    <n v="54"/>
    <s v="Female"/>
    <n v="47.8"/>
    <n v="1.6"/>
    <n v="171"/>
    <n v="155"/>
    <n v="55"/>
    <n v="1.19"/>
    <n v="830"/>
    <x v="2"/>
    <n v="26"/>
    <n v="2.2999999999999998"/>
    <x v="0"/>
    <n v="2"/>
    <n v="18.670000000000002"/>
    <s v="Normal Weight"/>
    <n v="697.47899159663871"/>
  </r>
  <r>
    <n v="374"/>
    <s v="Bengaluru"/>
    <n v="50"/>
    <s v="Female"/>
    <n v="58.4"/>
    <n v="1.79"/>
    <n v="164"/>
    <n v="131"/>
    <n v="56"/>
    <n v="1.6"/>
    <n v="943"/>
    <x v="1"/>
    <n v="17"/>
    <n v="2.7"/>
    <x v="0"/>
    <n v="3"/>
    <n v="18.23"/>
    <s v="Underweight"/>
    <n v="589.375"/>
  </r>
  <r>
    <n v="375"/>
    <s v="Kolkata"/>
    <n v="25"/>
    <s v="Female"/>
    <n v="74.3"/>
    <n v="1.71"/>
    <n v="162"/>
    <n v="157"/>
    <n v="64"/>
    <n v="1.43"/>
    <n v="1123"/>
    <x v="0"/>
    <n v="25.6"/>
    <n v="1.6"/>
    <x v="1"/>
    <n v="2"/>
    <n v="25.41"/>
    <s v="Overweight"/>
    <n v="785.31468531468533"/>
  </r>
  <r>
    <n v="376"/>
    <s v="Ahmedabad"/>
    <n v="22"/>
    <s v="Male"/>
    <n v="106.8"/>
    <n v="1.82"/>
    <n v="170"/>
    <n v="130"/>
    <n v="50"/>
    <n v="1"/>
    <n v="715"/>
    <x v="0"/>
    <n v="28.2"/>
    <n v="2.2999999999999998"/>
    <x v="0"/>
    <n v="2"/>
    <n v="32.24"/>
    <s v="Obesity"/>
    <n v="715"/>
  </r>
  <r>
    <n v="377"/>
    <s v="Hyderabad"/>
    <n v="56"/>
    <s v="Male"/>
    <n v="125.5"/>
    <n v="1.8"/>
    <n v="189"/>
    <n v="131"/>
    <n v="73"/>
    <n v="1.26"/>
    <n v="817"/>
    <x v="3"/>
    <n v="20.9"/>
    <n v="2.7"/>
    <x v="0"/>
    <n v="2"/>
    <n v="38.729999999999997"/>
    <s v="Obesity"/>
    <n v="648.41269841269843"/>
  </r>
  <r>
    <n v="378"/>
    <s v="Delhi"/>
    <n v="21"/>
    <s v="Female"/>
    <n v="55.2"/>
    <n v="1.55"/>
    <n v="163"/>
    <n v="161"/>
    <n v="53"/>
    <n v="1.37"/>
    <n v="1103"/>
    <x v="3"/>
    <n v="31.7"/>
    <n v="1.7"/>
    <x v="0"/>
    <n v="2"/>
    <n v="22.98"/>
    <s v="Normal Weight"/>
    <n v="805.10948905109478"/>
  </r>
  <r>
    <n v="379"/>
    <s v="Noida"/>
    <n v="23"/>
    <s v="Female"/>
    <n v="71.400000000000006"/>
    <n v="1.72"/>
    <n v="164"/>
    <n v="169"/>
    <n v="74"/>
    <n v="1.25"/>
    <n v="1056"/>
    <x v="3"/>
    <n v="25.6"/>
    <n v="1.5"/>
    <x v="3"/>
    <n v="1"/>
    <n v="24.13"/>
    <s v="Normal Weight"/>
    <n v="844.8"/>
  </r>
  <r>
    <n v="380"/>
    <s v="Bengaluru"/>
    <n v="49"/>
    <s v="Male"/>
    <n v="77.7"/>
    <n v="1.61"/>
    <n v="160"/>
    <n v="158"/>
    <n v="50"/>
    <n v="1.03"/>
    <n v="806"/>
    <x v="3"/>
    <n v="26.7"/>
    <n v="3.4"/>
    <x v="1"/>
    <n v="2"/>
    <n v="29.98"/>
    <s v="Overweight"/>
    <n v="782.52427184466012"/>
  </r>
  <r>
    <n v="381"/>
    <s v="Mumbai"/>
    <n v="47"/>
    <s v="Male"/>
    <n v="88.4"/>
    <n v="1.6"/>
    <n v="186"/>
    <n v="126"/>
    <n v="60"/>
    <n v="1.86"/>
    <n v="1160"/>
    <x v="1"/>
    <n v="14.2"/>
    <n v="3.5"/>
    <x v="2"/>
    <n v="3"/>
    <n v="34.53"/>
    <s v="Obesity"/>
    <n v="623.6559139784946"/>
  </r>
  <r>
    <n v="382"/>
    <s v="Ahmedabad"/>
    <n v="52"/>
    <s v="Male"/>
    <n v="104.8"/>
    <n v="1.99"/>
    <n v="187"/>
    <n v="130"/>
    <n v="67"/>
    <n v="0.93"/>
    <n v="598"/>
    <x v="2"/>
    <n v="24"/>
    <n v="2"/>
    <x v="3"/>
    <n v="1"/>
    <n v="26.46"/>
    <s v="Overweight"/>
    <n v="643.01075268817203"/>
  </r>
  <r>
    <n v="383"/>
    <s v="Bengaluru"/>
    <n v="57"/>
    <s v="Male"/>
    <n v="82.2"/>
    <n v="1.69"/>
    <n v="188"/>
    <n v="155"/>
    <n v="63"/>
    <n v="1.1499999999999999"/>
    <n v="882"/>
    <x v="3"/>
    <n v="25.2"/>
    <n v="3.4"/>
    <x v="0"/>
    <n v="2"/>
    <n v="28.78"/>
    <s v="Overweight"/>
    <n v="766.95652173913049"/>
  </r>
  <r>
    <n v="384"/>
    <s v="Noida"/>
    <n v="33"/>
    <s v="Female"/>
    <n v="68.2"/>
    <n v="1.75"/>
    <n v="177"/>
    <n v="150"/>
    <n v="71"/>
    <n v="0.85"/>
    <n v="638"/>
    <x v="3"/>
    <n v="29"/>
    <n v="1.7"/>
    <x v="3"/>
    <n v="1"/>
    <n v="22.27"/>
    <s v="Normal Weight"/>
    <n v="750.58823529411768"/>
  </r>
  <r>
    <n v="385"/>
    <s v="Kolkata"/>
    <n v="30"/>
    <s v="Male"/>
    <n v="91.4"/>
    <n v="1.99"/>
    <n v="171"/>
    <n v="152"/>
    <n v="60"/>
    <n v="1.37"/>
    <n v="1145"/>
    <x v="1"/>
    <n v="23"/>
    <n v="3.7"/>
    <x v="1"/>
    <n v="2"/>
    <n v="23.08"/>
    <s v="Normal Weight"/>
    <n v="835.76642335766417"/>
  </r>
  <r>
    <n v="386"/>
    <s v="Noida"/>
    <n v="59"/>
    <s v="Female"/>
    <n v="42.1"/>
    <n v="1.65"/>
    <n v="172"/>
    <n v="132"/>
    <n v="59"/>
    <n v="1.22"/>
    <n v="725"/>
    <x v="3"/>
    <n v="33"/>
    <n v="2.2000000000000002"/>
    <x v="3"/>
    <n v="1"/>
    <n v="15.46"/>
    <s v="Underweight"/>
    <n v="594.26229508196718"/>
  </r>
  <r>
    <n v="387"/>
    <s v="Pune"/>
    <n v="47"/>
    <s v="Female"/>
    <n v="68.7"/>
    <n v="1.76"/>
    <n v="161"/>
    <n v="137"/>
    <n v="66"/>
    <n v="1.37"/>
    <n v="845"/>
    <x v="3"/>
    <n v="27.7"/>
    <n v="2.4"/>
    <x v="1"/>
    <n v="2"/>
    <n v="22.18"/>
    <s v="Normal Weight"/>
    <n v="616.78832116788317"/>
  </r>
  <r>
    <n v="388"/>
    <s v="Noida"/>
    <n v="36"/>
    <s v="Female"/>
    <n v="47.2"/>
    <n v="1.74"/>
    <n v="196"/>
    <n v="160"/>
    <n v="53"/>
    <n v="1.5"/>
    <n v="1200"/>
    <x v="2"/>
    <n v="32.200000000000003"/>
    <n v="1.6"/>
    <x v="0"/>
    <n v="2"/>
    <n v="15.59"/>
    <s v="Underweight"/>
    <n v="800"/>
  </r>
  <r>
    <n v="389"/>
    <s v="Pune"/>
    <n v="34"/>
    <s v="Male"/>
    <n v="92"/>
    <n v="1.76"/>
    <n v="175"/>
    <n v="143"/>
    <n v="73"/>
    <n v="0.73"/>
    <n v="574"/>
    <x v="0"/>
    <n v="22.1"/>
    <n v="3.5"/>
    <x v="1"/>
    <n v="1"/>
    <n v="29.7"/>
    <s v="Overweight"/>
    <n v="786.30136986301375"/>
  </r>
  <r>
    <n v="390"/>
    <s v="Kolkata"/>
    <n v="36"/>
    <s v="Male"/>
    <n v="56.2"/>
    <n v="1.95"/>
    <n v="183"/>
    <n v="128"/>
    <n v="64"/>
    <n v="1.0900000000000001"/>
    <n v="767"/>
    <x v="3"/>
    <n v="22.5"/>
    <n v="3.4"/>
    <x v="0"/>
    <n v="2"/>
    <n v="14.78"/>
    <s v="Underweight"/>
    <n v="703.66972477064212"/>
  </r>
  <r>
    <n v="391"/>
    <s v="Gurgaon"/>
    <n v="45"/>
    <s v="Male"/>
    <n v="58.4"/>
    <n v="1.72"/>
    <n v="194"/>
    <n v="150"/>
    <n v="65"/>
    <n v="1.31"/>
    <n v="973"/>
    <x v="1"/>
    <n v="23.4"/>
    <n v="3.1"/>
    <x v="0"/>
    <n v="2"/>
    <n v="19.739999999999998"/>
    <s v="Normal Weight"/>
    <n v="742.74809160305335"/>
  </r>
  <r>
    <n v="392"/>
    <s v="Pune"/>
    <n v="43"/>
    <s v="Male"/>
    <n v="82.9"/>
    <n v="1.95"/>
    <n v="181"/>
    <n v="160"/>
    <n v="70"/>
    <n v="1.9"/>
    <n v="1505"/>
    <x v="2"/>
    <n v="12.9"/>
    <n v="3.5"/>
    <x v="2"/>
    <n v="3"/>
    <n v="21.8"/>
    <s v="Normal Weight"/>
    <n v="792.1052631578948"/>
  </r>
  <r>
    <n v="393"/>
    <s v="Mumbai"/>
    <n v="54"/>
    <s v="Female"/>
    <n v="66.900000000000006"/>
    <n v="1.74"/>
    <n v="195"/>
    <n v="129"/>
    <n v="62"/>
    <n v="1.24"/>
    <n v="720"/>
    <x v="1"/>
    <n v="29.5"/>
    <n v="2.1"/>
    <x v="3"/>
    <n v="1"/>
    <n v="22.1"/>
    <s v="Normal Weight"/>
    <n v="580.64516129032256"/>
  </r>
  <r>
    <n v="394"/>
    <s v="Noida"/>
    <n v="43"/>
    <s v="Male"/>
    <n v="66.3"/>
    <n v="1.85"/>
    <n v="170"/>
    <n v="121"/>
    <n v="58"/>
    <n v="1.18"/>
    <n v="707"/>
    <x v="2"/>
    <n v="27.5"/>
    <n v="3.2"/>
    <x v="3"/>
    <n v="1"/>
    <n v="19.37"/>
    <s v="Normal Weight"/>
    <n v="599.15254237288138"/>
  </r>
  <r>
    <n v="395"/>
    <s v="Noida"/>
    <n v="40"/>
    <s v="Male"/>
    <n v="93.6"/>
    <n v="1.93"/>
    <n v="188"/>
    <n v="157"/>
    <n v="60"/>
    <n v="1.38"/>
    <n v="1192"/>
    <x v="2"/>
    <n v="22.1"/>
    <n v="2"/>
    <x v="1"/>
    <n v="1"/>
    <n v="25.13"/>
    <s v="Overweight"/>
    <n v="863.768115942029"/>
  </r>
  <r>
    <n v="396"/>
    <s v="Mumbai"/>
    <n v="26"/>
    <s v="Female"/>
    <n v="64.099999999999994"/>
    <n v="1.5"/>
    <n v="194"/>
    <n v="134"/>
    <n v="60"/>
    <n v="1.93"/>
    <n v="1293"/>
    <x v="3"/>
    <n v="15.1"/>
    <n v="2.7"/>
    <x v="2"/>
    <n v="3"/>
    <n v="28.49"/>
    <s v="Overweight"/>
    <n v="669.94818652849744"/>
  </r>
  <r>
    <n v="397"/>
    <s v="Delhi"/>
    <n v="29"/>
    <s v="Male"/>
    <n v="86.7"/>
    <n v="1.62"/>
    <n v="174"/>
    <n v="122"/>
    <n v="55"/>
    <n v="1.52"/>
    <n v="1020"/>
    <x v="3"/>
    <n v="13.9"/>
    <n v="3.5"/>
    <x v="0"/>
    <n v="3"/>
    <n v="33.04"/>
    <s v="Obesity"/>
    <n v="671.0526315789474"/>
  </r>
  <r>
    <n v="398"/>
    <s v="Chennai"/>
    <n v="18"/>
    <s v="Female"/>
    <n v="62"/>
    <n v="1.59"/>
    <n v="190"/>
    <n v="162"/>
    <n v="50"/>
    <n v="1.23"/>
    <n v="996"/>
    <x v="3"/>
    <n v="33.200000000000003"/>
    <n v="2.2000000000000002"/>
    <x v="0"/>
    <n v="2"/>
    <n v="24.52"/>
    <s v="Normal Weight"/>
    <n v="809.7560975609756"/>
  </r>
  <r>
    <n v="399"/>
    <s v="Gurgaon"/>
    <n v="18"/>
    <s v="Female"/>
    <n v="58.1"/>
    <n v="1.61"/>
    <n v="175"/>
    <n v="150"/>
    <n v="71"/>
    <n v="1.9"/>
    <n v="1425"/>
    <x v="0"/>
    <n v="15.3"/>
    <n v="2.7"/>
    <x v="0"/>
    <n v="3"/>
    <n v="22.41"/>
    <s v="Normal Weight"/>
    <n v="750"/>
  </r>
  <r>
    <n v="400"/>
    <s v="Ahmedabad"/>
    <n v="51"/>
    <s v="Female"/>
    <n v="64.900000000000006"/>
    <n v="1.6"/>
    <n v="169"/>
    <n v="125"/>
    <n v="55"/>
    <n v="1.49"/>
    <n v="838"/>
    <x v="0"/>
    <n v="31.1"/>
    <n v="2.5"/>
    <x v="0"/>
    <n v="2"/>
    <n v="25.35"/>
    <s v="Overweight"/>
    <n v="562.41610738255031"/>
  </r>
  <r>
    <n v="401"/>
    <s v="Pune"/>
    <n v="49"/>
    <s v="Female"/>
    <n v="69.3"/>
    <n v="1.62"/>
    <n v="191"/>
    <n v="122"/>
    <n v="62"/>
    <n v="1.1399999999999999"/>
    <n v="626"/>
    <x v="1"/>
    <n v="28.8"/>
    <n v="1.9"/>
    <x v="0"/>
    <n v="2"/>
    <n v="26.41"/>
    <s v="Overweight"/>
    <n v="549.12280701754389"/>
  </r>
  <r>
    <n v="402"/>
    <s v="Mumbai"/>
    <n v="42"/>
    <s v="Female"/>
    <n v="42.7"/>
    <n v="1.74"/>
    <n v="161"/>
    <n v="130"/>
    <n v="71"/>
    <n v="1.04"/>
    <n v="608"/>
    <x v="3"/>
    <n v="32.9"/>
    <n v="1.6"/>
    <x v="1"/>
    <n v="1"/>
    <n v="14.1"/>
    <s v="Underweight"/>
    <n v="584.61538461538464"/>
  </r>
  <r>
    <n v="403"/>
    <s v="Kolkata"/>
    <n v="57"/>
    <s v="Female"/>
    <n v="51.4"/>
    <n v="1.63"/>
    <n v="183"/>
    <n v="134"/>
    <n v="73"/>
    <n v="1.2"/>
    <n v="724"/>
    <x v="0"/>
    <n v="33.700000000000003"/>
    <n v="2"/>
    <x v="0"/>
    <n v="2"/>
    <n v="19.350000000000001"/>
    <s v="Normal Weight"/>
    <n v="603.33333333333337"/>
  </r>
  <r>
    <n v="404"/>
    <s v="Pune"/>
    <n v="18"/>
    <s v="Female"/>
    <n v="67.400000000000006"/>
    <n v="1.6"/>
    <n v="182"/>
    <n v="164"/>
    <n v="71"/>
    <n v="0.6"/>
    <n v="492"/>
    <x v="3"/>
    <n v="33.5"/>
    <n v="2.4"/>
    <x v="1"/>
    <n v="1"/>
    <n v="26.33"/>
    <s v="Overweight"/>
    <n v="820"/>
  </r>
  <r>
    <n v="405"/>
    <s v="Chennai"/>
    <n v="33"/>
    <s v="Female"/>
    <n v="55.6"/>
    <n v="1.61"/>
    <n v="161"/>
    <n v="147"/>
    <n v="54"/>
    <n v="1.77"/>
    <n v="1301"/>
    <x v="0"/>
    <n v="18.899999999999999"/>
    <n v="2.7"/>
    <x v="0"/>
    <n v="3"/>
    <n v="21.45"/>
    <s v="Normal Weight"/>
    <n v="735.0282485875706"/>
  </r>
  <r>
    <n v="406"/>
    <s v="Kolkata"/>
    <n v="56"/>
    <s v="Male"/>
    <n v="125.3"/>
    <n v="1.86"/>
    <n v="197"/>
    <n v="129"/>
    <n v="64"/>
    <n v="1"/>
    <n v="639"/>
    <x v="0"/>
    <n v="22.7"/>
    <n v="2.2000000000000002"/>
    <x v="1"/>
    <n v="2"/>
    <n v="36.22"/>
    <s v="Obesity"/>
    <n v="639"/>
  </r>
  <r>
    <n v="407"/>
    <s v="Bengaluru"/>
    <n v="22"/>
    <s v="Male"/>
    <n v="102.1"/>
    <n v="1.85"/>
    <n v="190"/>
    <n v="157"/>
    <n v="67"/>
    <n v="1.48"/>
    <n v="1278"/>
    <x v="2"/>
    <n v="28.1"/>
    <n v="2.4"/>
    <x v="0"/>
    <n v="2"/>
    <n v="29.83"/>
    <s v="Overweight"/>
    <n v="863.51351351351354"/>
  </r>
  <r>
    <n v="408"/>
    <s v="Noida"/>
    <n v="39"/>
    <s v="Male"/>
    <n v="61.9"/>
    <n v="1.77"/>
    <n v="199"/>
    <n v="166"/>
    <n v="69"/>
    <n v="1.32"/>
    <n v="1205"/>
    <x v="3"/>
    <n v="25.3"/>
    <n v="2.2999999999999998"/>
    <x v="1"/>
    <n v="1"/>
    <n v="19.760000000000002"/>
    <s v="Normal Weight"/>
    <n v="912.87878787878788"/>
  </r>
  <r>
    <n v="409"/>
    <s v="Bengaluru"/>
    <n v="46"/>
    <s v="Male"/>
    <n v="108.8"/>
    <n v="1.64"/>
    <n v="185"/>
    <n v="169"/>
    <n v="63"/>
    <n v="1.4"/>
    <n v="1171"/>
    <x v="3"/>
    <n v="20.5"/>
    <n v="3.4"/>
    <x v="1"/>
    <n v="1"/>
    <n v="40.450000000000003"/>
    <s v="Obesity"/>
    <n v="836.42857142857144"/>
  </r>
  <r>
    <n v="410"/>
    <s v="Pune"/>
    <n v="20"/>
    <s v="Female"/>
    <n v="51.1"/>
    <n v="1.58"/>
    <n v="188"/>
    <n v="169"/>
    <n v="64"/>
    <n v="0.5"/>
    <n v="422"/>
    <x v="0"/>
    <n v="29.6"/>
    <n v="1.6"/>
    <x v="3"/>
    <n v="1"/>
    <n v="20.47"/>
    <s v="Normal Weight"/>
    <n v="844"/>
  </r>
  <r>
    <n v="411"/>
    <s v="Chennai"/>
    <n v="29"/>
    <s v="Male"/>
    <n v="81.7"/>
    <n v="1.99"/>
    <n v="162"/>
    <n v="126"/>
    <n v="54"/>
    <n v="1.45"/>
    <n v="1005"/>
    <x v="3"/>
    <n v="29.4"/>
    <n v="3.2"/>
    <x v="3"/>
    <n v="1"/>
    <n v="20.63"/>
    <s v="Normal Weight"/>
    <n v="693.10344827586209"/>
  </r>
  <r>
    <n v="412"/>
    <s v="Gurgaon"/>
    <n v="43"/>
    <s v="Female"/>
    <n v="42.7"/>
    <n v="1.66"/>
    <n v="173"/>
    <n v="134"/>
    <n v="53"/>
    <n v="0.73"/>
    <n v="440"/>
    <x v="0"/>
    <n v="33.9"/>
    <n v="1.9"/>
    <x v="3"/>
    <n v="1"/>
    <n v="15.5"/>
    <s v="Underweight"/>
    <n v="602.7397260273973"/>
  </r>
  <r>
    <n v="413"/>
    <s v="Pune"/>
    <n v="33"/>
    <s v="Male"/>
    <n v="81.8"/>
    <n v="1.99"/>
    <n v="184"/>
    <n v="137"/>
    <n v="51"/>
    <n v="1.59"/>
    <n v="1198"/>
    <x v="3"/>
    <n v="10.5"/>
    <n v="3.5"/>
    <x v="0"/>
    <n v="3"/>
    <n v="20.66"/>
    <s v="Normal Weight"/>
    <n v="753.45911949685535"/>
  </r>
  <r>
    <n v="414"/>
    <s v="Mumbai"/>
    <n v="54"/>
    <s v="Male"/>
    <n v="54.6"/>
    <n v="1.76"/>
    <n v="160"/>
    <n v="137"/>
    <n v="56"/>
    <n v="1.28"/>
    <n v="868"/>
    <x v="2"/>
    <n v="27.4"/>
    <n v="3.3"/>
    <x v="0"/>
    <n v="2"/>
    <n v="17.63"/>
    <s v="Underweight"/>
    <n v="678.125"/>
  </r>
  <r>
    <n v="415"/>
    <s v="Hyderabad"/>
    <n v="39"/>
    <s v="Male"/>
    <n v="107.7"/>
    <n v="1.88"/>
    <n v="162"/>
    <n v="160"/>
    <n v="59"/>
    <n v="0.72"/>
    <n v="634"/>
    <x v="3"/>
    <n v="28.1"/>
    <n v="3.6"/>
    <x v="3"/>
    <n v="1"/>
    <n v="30.47"/>
    <s v="Obesity"/>
    <n v="880.55555555555554"/>
  </r>
  <r>
    <n v="416"/>
    <s v="Pune"/>
    <n v="46"/>
    <s v="Female"/>
    <n v="56.9"/>
    <n v="1.6"/>
    <n v="185"/>
    <n v="143"/>
    <n v="65"/>
    <n v="0.88"/>
    <n v="566"/>
    <x v="2"/>
    <n v="27.7"/>
    <n v="1.6"/>
    <x v="1"/>
    <n v="1"/>
    <n v="22.23"/>
    <s v="Normal Weight"/>
    <n v="643.18181818181813"/>
  </r>
  <r>
    <n v="417"/>
    <s v="Noida"/>
    <n v="31"/>
    <s v="Male"/>
    <n v="78.8"/>
    <n v="1.71"/>
    <n v="177"/>
    <n v="121"/>
    <n v="59"/>
    <n v="1.49"/>
    <n v="992"/>
    <x v="1"/>
    <n v="24.7"/>
    <n v="2.5"/>
    <x v="0"/>
    <n v="2"/>
    <n v="26.95"/>
    <s v="Overweight"/>
    <n v="665.77181208053696"/>
  </r>
  <r>
    <n v="418"/>
    <s v="Noida"/>
    <n v="45"/>
    <s v="Female"/>
    <n v="48.2"/>
    <n v="1.64"/>
    <n v="168"/>
    <n v="159"/>
    <n v="67"/>
    <n v="1.25"/>
    <n v="894"/>
    <x v="3"/>
    <n v="32.1"/>
    <n v="2.5"/>
    <x v="0"/>
    <n v="2"/>
    <n v="17.920000000000002"/>
    <s v="Underweight"/>
    <n v="715.2"/>
  </r>
  <r>
    <n v="419"/>
    <s v="Pune"/>
    <n v="22"/>
    <s v="Female"/>
    <n v="50.7"/>
    <n v="1.59"/>
    <n v="197"/>
    <n v="139"/>
    <n v="66"/>
    <n v="1.27"/>
    <n v="883"/>
    <x v="3"/>
    <n v="29.4"/>
    <n v="1.8"/>
    <x v="1"/>
    <n v="2"/>
    <n v="20.05"/>
    <s v="Normal Weight"/>
    <n v="695.27559055118104"/>
  </r>
  <r>
    <n v="420"/>
    <s v="Kolkata"/>
    <n v="47"/>
    <s v="Male"/>
    <n v="86.6"/>
    <n v="1.99"/>
    <n v="182"/>
    <n v="153"/>
    <n v="70"/>
    <n v="1.98"/>
    <n v="1500"/>
    <x v="3"/>
    <n v="10.6"/>
    <n v="3.5"/>
    <x v="0"/>
    <n v="3"/>
    <n v="21.87"/>
    <s v="Normal Weight"/>
    <n v="757.57575757575762"/>
  </r>
  <r>
    <n v="421"/>
    <s v="Hyderabad"/>
    <n v="22"/>
    <s v="Male"/>
    <n v="96.3"/>
    <n v="1.63"/>
    <n v="180"/>
    <n v="162"/>
    <n v="62"/>
    <n v="1.35"/>
    <n v="1203"/>
    <x v="2"/>
    <n v="27.1"/>
    <n v="2.4"/>
    <x v="0"/>
    <n v="2"/>
    <n v="36.25"/>
    <s v="Obesity"/>
    <n v="891.11111111111109"/>
  </r>
  <r>
    <n v="422"/>
    <s v="Mumbai"/>
    <n v="29"/>
    <s v="Male"/>
    <n v="80.8"/>
    <n v="1.98"/>
    <n v="160"/>
    <n v="145"/>
    <n v="50"/>
    <n v="1.65"/>
    <n v="1316"/>
    <x v="3"/>
    <n v="14.6"/>
    <n v="3.5"/>
    <x v="2"/>
    <n v="3"/>
    <n v="20.61"/>
    <s v="Normal Weight"/>
    <n v="797.57575757575762"/>
  </r>
  <r>
    <n v="423"/>
    <s v="Pune"/>
    <n v="33"/>
    <s v="Female"/>
    <n v="58"/>
    <n v="1.53"/>
    <n v="180"/>
    <n v="126"/>
    <n v="50"/>
    <n v="1.84"/>
    <n v="1159"/>
    <x v="3"/>
    <n v="18.3"/>
    <n v="2.7"/>
    <x v="2"/>
    <n v="3"/>
    <n v="24.78"/>
    <s v="Normal Weight"/>
    <n v="629.89130434782601"/>
  </r>
  <r>
    <n v="424"/>
    <s v="Kolkata"/>
    <n v="43"/>
    <s v="Male"/>
    <n v="95.9"/>
    <n v="1.85"/>
    <n v="186"/>
    <n v="157"/>
    <n v="64"/>
    <n v="1.28"/>
    <n v="995"/>
    <x v="0"/>
    <n v="27.7"/>
    <n v="3.4"/>
    <x v="3"/>
    <n v="1"/>
    <n v="28.02"/>
    <s v="Overweight"/>
    <n v="777.34375"/>
  </r>
  <r>
    <n v="425"/>
    <s v="Noida"/>
    <n v="43"/>
    <s v="Female"/>
    <n v="61.5"/>
    <n v="1.58"/>
    <n v="165"/>
    <n v="149"/>
    <n v="50"/>
    <n v="1.86"/>
    <n v="1247"/>
    <x v="1"/>
    <n v="16.8"/>
    <n v="2.7"/>
    <x v="2"/>
    <n v="3"/>
    <n v="24.64"/>
    <s v="Normal Weight"/>
    <n v="670.43010752688167"/>
  </r>
  <r>
    <n v="426"/>
    <s v="Noida"/>
    <n v="38"/>
    <s v="Female"/>
    <n v="40.6"/>
    <n v="1.79"/>
    <n v="195"/>
    <n v="161"/>
    <n v="55"/>
    <n v="0.62"/>
    <n v="499"/>
    <x v="2"/>
    <n v="26.8"/>
    <n v="2.7"/>
    <x v="3"/>
    <n v="1"/>
    <n v="12.67"/>
    <s v="Underweight"/>
    <n v="804.83870967741939"/>
  </r>
  <r>
    <n v="427"/>
    <s v="Chennai"/>
    <n v="56"/>
    <s v="Male"/>
    <n v="82.5"/>
    <n v="1.87"/>
    <n v="187"/>
    <n v="124"/>
    <n v="74"/>
    <n v="1.51"/>
    <n v="927"/>
    <x v="0"/>
    <n v="13.2"/>
    <n v="3.5"/>
    <x v="2"/>
    <n v="3"/>
    <n v="23.59"/>
    <s v="Normal Weight"/>
    <n v="613.90728476821187"/>
  </r>
  <r>
    <n v="428"/>
    <s v="Pune"/>
    <n v="53"/>
    <s v="Male"/>
    <n v="105.1"/>
    <n v="1.84"/>
    <n v="176"/>
    <n v="130"/>
    <n v="62"/>
    <n v="0.69"/>
    <n v="444"/>
    <x v="2"/>
    <n v="23.3"/>
    <n v="2.9"/>
    <x v="1"/>
    <n v="1"/>
    <n v="31.04"/>
    <s v="Obesity"/>
    <n v="643.47826086956525"/>
  </r>
  <r>
    <n v="429"/>
    <s v="Hyderabad"/>
    <n v="50"/>
    <s v="Female"/>
    <n v="58.1"/>
    <n v="1.58"/>
    <n v="199"/>
    <n v="120"/>
    <n v="50"/>
    <n v="1.93"/>
    <n v="1042"/>
    <x v="0"/>
    <n v="19.3"/>
    <n v="2.7"/>
    <x v="2"/>
    <n v="3"/>
    <n v="23.27"/>
    <s v="Normal Weight"/>
    <n v="539.89637305699489"/>
  </r>
  <r>
    <n v="430"/>
    <s v="Delhi"/>
    <n v="47"/>
    <s v="Female"/>
    <n v="61"/>
    <n v="1.76"/>
    <n v="162"/>
    <n v="153"/>
    <n v="54"/>
    <n v="1.54"/>
    <n v="1060"/>
    <x v="1"/>
    <n v="15.6"/>
    <n v="2.7"/>
    <x v="2"/>
    <n v="3"/>
    <n v="19.690000000000001"/>
    <s v="Normal Weight"/>
    <n v="688.31168831168827"/>
  </r>
  <r>
    <n v="431"/>
    <s v="Hyderabad"/>
    <n v="54"/>
    <s v="Female"/>
    <n v="64.5"/>
    <n v="1.53"/>
    <n v="171"/>
    <n v="120"/>
    <n v="58"/>
    <n v="1.74"/>
    <n v="940"/>
    <x v="0"/>
    <n v="17.2"/>
    <n v="2.7"/>
    <x v="0"/>
    <n v="3"/>
    <n v="27.55"/>
    <s v="Overweight"/>
    <n v="540.22988505747128"/>
  </r>
  <r>
    <n v="432"/>
    <s v="Noida"/>
    <n v="40"/>
    <s v="Male"/>
    <n v="58.2"/>
    <n v="1.98"/>
    <n v="198"/>
    <n v="138"/>
    <n v="74"/>
    <n v="1.43"/>
    <n v="1085"/>
    <x v="2"/>
    <n v="24"/>
    <n v="2.5"/>
    <x v="1"/>
    <n v="2"/>
    <n v="14.85"/>
    <s v="Underweight"/>
    <n v="758.74125874125878"/>
  </r>
  <r>
    <n v="433"/>
    <s v="Noida"/>
    <n v="27"/>
    <s v="Female"/>
    <n v="69.5"/>
    <n v="1.76"/>
    <n v="171"/>
    <n v="121"/>
    <n v="66"/>
    <n v="0.94"/>
    <n v="569"/>
    <x v="3"/>
    <n v="34.4"/>
    <n v="2"/>
    <x v="1"/>
    <n v="1"/>
    <n v="22.44"/>
    <s v="Normal Weight"/>
    <n v="605.31914893617022"/>
  </r>
  <r>
    <n v="434"/>
    <s v="Bengaluru"/>
    <n v="22"/>
    <s v="Male"/>
    <n v="62.2"/>
    <n v="1.84"/>
    <n v="161"/>
    <n v="140"/>
    <n v="65"/>
    <n v="0.51"/>
    <n v="393"/>
    <x v="3"/>
    <n v="21.5"/>
    <n v="2.2999999999999998"/>
    <x v="1"/>
    <n v="1"/>
    <n v="18.37"/>
    <s v="Underweight"/>
    <n v="770.58823529411768"/>
  </r>
  <r>
    <n v="435"/>
    <s v="Noida"/>
    <n v="53"/>
    <s v="Female"/>
    <n v="68"/>
    <n v="1.7"/>
    <n v="181"/>
    <n v="139"/>
    <n v="57"/>
    <n v="1.06"/>
    <n v="663"/>
    <x v="1"/>
    <n v="25.1"/>
    <n v="2.4"/>
    <x v="0"/>
    <n v="2"/>
    <n v="23.53"/>
    <s v="Normal Weight"/>
    <n v="625.47169811320748"/>
  </r>
  <r>
    <n v="436"/>
    <s v="Mumbai"/>
    <n v="51"/>
    <s v="Female"/>
    <n v="56.3"/>
    <n v="1.5"/>
    <n v="182"/>
    <n v="142"/>
    <n v="66"/>
    <n v="1.43"/>
    <n v="914"/>
    <x v="2"/>
    <n v="27.4"/>
    <n v="2.4"/>
    <x v="1"/>
    <n v="1"/>
    <n v="25.02"/>
    <s v="Overweight"/>
    <n v="639.16083916083915"/>
  </r>
  <r>
    <n v="437"/>
    <s v="Ahmedabad"/>
    <n v="48"/>
    <s v="Male"/>
    <n v="94.5"/>
    <n v="1.7"/>
    <n v="189"/>
    <n v="140"/>
    <n v="64"/>
    <n v="1.01"/>
    <n v="700"/>
    <x v="2"/>
    <n v="28.2"/>
    <n v="3.5"/>
    <x v="1"/>
    <n v="2"/>
    <n v="32.700000000000003"/>
    <s v="Obesity"/>
    <n v="693.06930693069307"/>
  </r>
  <r>
    <n v="438"/>
    <s v="Pune"/>
    <n v="27"/>
    <s v="Female"/>
    <n v="58"/>
    <n v="1.79"/>
    <n v="164"/>
    <n v="143"/>
    <n v="73"/>
    <n v="1.39"/>
    <n v="994"/>
    <x v="2"/>
    <n v="27.1"/>
    <n v="1.5"/>
    <x v="3"/>
    <n v="1"/>
    <n v="18.100000000000001"/>
    <s v="Underweight"/>
    <n v="715.10791366906483"/>
  </r>
  <r>
    <n v="439"/>
    <s v="Hyderabad"/>
    <n v="36"/>
    <s v="Male"/>
    <n v="84"/>
    <n v="1.94"/>
    <n v="168"/>
    <n v="123"/>
    <n v="50"/>
    <n v="1.8"/>
    <n v="1218"/>
    <x v="1"/>
    <n v="11.2"/>
    <n v="3.5"/>
    <x v="2"/>
    <n v="3"/>
    <n v="22.32"/>
    <s v="Normal Weight"/>
    <n v="676.66666666666663"/>
  </r>
  <r>
    <n v="440"/>
    <s v="Ahmedabad"/>
    <n v="49"/>
    <s v="Male"/>
    <n v="61"/>
    <n v="1.87"/>
    <n v="180"/>
    <n v="131"/>
    <n v="61"/>
    <n v="1.1399999999999999"/>
    <n v="739"/>
    <x v="3"/>
    <n v="21.3"/>
    <n v="3"/>
    <x v="0"/>
    <n v="2"/>
    <n v="17.440000000000001"/>
    <s v="Underweight"/>
    <n v="648.24561403508778"/>
  </r>
  <r>
    <n v="441"/>
    <s v="Kolkata"/>
    <n v="18"/>
    <s v="Female"/>
    <n v="64.8"/>
    <n v="1.53"/>
    <n v="170"/>
    <n v="141"/>
    <n v="54"/>
    <n v="1.98"/>
    <n v="1396"/>
    <x v="0"/>
    <n v="18.600000000000001"/>
    <n v="2.7"/>
    <x v="2"/>
    <n v="3"/>
    <n v="27.68"/>
    <s v="Overweight"/>
    <n v="705.05050505050508"/>
  </r>
  <r>
    <n v="442"/>
    <s v="Delhi"/>
    <n v="22"/>
    <s v="Male"/>
    <n v="45.7"/>
    <n v="1.77"/>
    <n v="164"/>
    <n v="139"/>
    <n v="73"/>
    <n v="1.04"/>
    <n v="795"/>
    <x v="1"/>
    <n v="20.7"/>
    <n v="2.4"/>
    <x v="1"/>
    <n v="1"/>
    <n v="14.59"/>
    <s v="Underweight"/>
    <n v="764.42307692307691"/>
  </r>
  <r>
    <n v="443"/>
    <s v="Mumbai"/>
    <n v="21"/>
    <s v="Male"/>
    <n v="80.900000000000006"/>
    <n v="1.9"/>
    <n v="194"/>
    <n v="137"/>
    <n v="55"/>
    <n v="1.8"/>
    <n v="1356"/>
    <x v="0"/>
    <n v="11.7"/>
    <n v="3.5"/>
    <x v="0"/>
    <n v="3"/>
    <n v="22.41"/>
    <s v="Normal Weight"/>
    <n v="753.33333333333337"/>
  </r>
  <r>
    <n v="444"/>
    <s v="Hyderabad"/>
    <n v="33"/>
    <s v="Female"/>
    <n v="64.099999999999994"/>
    <n v="1.63"/>
    <n v="186"/>
    <n v="120"/>
    <n v="74"/>
    <n v="1.58"/>
    <n v="948"/>
    <x v="3"/>
    <n v="16.399999999999999"/>
    <n v="2.7"/>
    <x v="2"/>
    <n v="3"/>
    <n v="24.13"/>
    <s v="Normal Weight"/>
    <n v="600"/>
  </r>
  <r>
    <n v="445"/>
    <s v="Ahmedabad"/>
    <n v="41"/>
    <s v="Male"/>
    <n v="67"/>
    <n v="1.77"/>
    <n v="161"/>
    <n v="149"/>
    <n v="50"/>
    <n v="1.22"/>
    <n v="900"/>
    <x v="1"/>
    <n v="25.6"/>
    <n v="2.6"/>
    <x v="1"/>
    <n v="2"/>
    <n v="21.39"/>
    <s v="Normal Weight"/>
    <n v="737.70491803278685"/>
  </r>
  <r>
    <n v="446"/>
    <s v="Delhi"/>
    <n v="33"/>
    <s v="Male"/>
    <n v="106.5"/>
    <n v="1.6"/>
    <n v="183"/>
    <n v="152"/>
    <n v="74"/>
    <n v="1.4"/>
    <n v="1170"/>
    <x v="3"/>
    <n v="27.3"/>
    <n v="3.3"/>
    <x v="0"/>
    <n v="2"/>
    <n v="41.6"/>
    <s v="Obesity"/>
    <n v="835.71428571428578"/>
  </r>
  <r>
    <n v="447"/>
    <s v="Bengaluru"/>
    <n v="19"/>
    <s v="Male"/>
    <n v="95.1"/>
    <n v="1.85"/>
    <n v="190"/>
    <n v="143"/>
    <n v="50"/>
    <n v="1.21"/>
    <n v="952"/>
    <x v="0"/>
    <n v="25.3"/>
    <n v="2.2999999999999998"/>
    <x v="0"/>
    <n v="2"/>
    <n v="27.79"/>
    <s v="Overweight"/>
    <n v="786.77685950413229"/>
  </r>
  <r>
    <n v="448"/>
    <s v="Mumbai"/>
    <n v="45"/>
    <s v="Female"/>
    <n v="65.5"/>
    <n v="1.57"/>
    <n v="192"/>
    <n v="133"/>
    <n v="59"/>
    <n v="0.66"/>
    <n v="395"/>
    <x v="2"/>
    <n v="34.299999999999997"/>
    <n v="2.2999999999999998"/>
    <x v="3"/>
    <n v="1"/>
    <n v="26.57"/>
    <s v="Overweight"/>
    <n v="598.4848484848485"/>
  </r>
  <r>
    <n v="449"/>
    <s v="Mumbai"/>
    <n v="49"/>
    <s v="Male"/>
    <n v="105.7"/>
    <n v="1.64"/>
    <n v="198"/>
    <n v="155"/>
    <n v="59"/>
    <n v="1.2"/>
    <n v="921"/>
    <x v="2"/>
    <n v="29.5"/>
    <n v="3.1"/>
    <x v="1"/>
    <n v="2"/>
    <n v="39.299999999999997"/>
    <s v="Obesity"/>
    <n v="767.5"/>
  </r>
  <r>
    <n v="450"/>
    <s v="Bengaluru"/>
    <n v="44"/>
    <s v="Female"/>
    <n v="48"/>
    <n v="1.76"/>
    <n v="189"/>
    <n v="124"/>
    <n v="52"/>
    <n v="0.88"/>
    <n v="491"/>
    <x v="0"/>
    <n v="28.6"/>
    <n v="2.6"/>
    <x v="3"/>
    <n v="1"/>
    <n v="15.5"/>
    <s v="Underweight"/>
    <n v="557.9545454545455"/>
  </r>
  <r>
    <n v="451"/>
    <s v="Pune"/>
    <n v="37"/>
    <s v="Female"/>
    <n v="69.5"/>
    <n v="1.5"/>
    <n v="196"/>
    <n v="130"/>
    <n v="66"/>
    <n v="0.69"/>
    <n v="448"/>
    <x v="2"/>
    <n v="32.799999999999997"/>
    <n v="2.4"/>
    <x v="3"/>
    <n v="1"/>
    <n v="30.89"/>
    <s v="Obesity"/>
    <n v="649.27536231884062"/>
  </r>
  <r>
    <n v="452"/>
    <s v="Bengaluru"/>
    <n v="41"/>
    <s v="Male"/>
    <n v="66.099999999999994"/>
    <n v="1.69"/>
    <n v="187"/>
    <n v="143"/>
    <n v="68"/>
    <n v="0.77"/>
    <n v="545"/>
    <x v="0"/>
    <n v="27.4"/>
    <n v="3.4"/>
    <x v="3"/>
    <n v="1"/>
    <n v="23.14"/>
    <s v="Normal Weight"/>
    <n v="707.79220779220782"/>
  </r>
  <r>
    <n v="453"/>
    <s v="Mumbai"/>
    <n v="29"/>
    <s v="Male"/>
    <n v="68"/>
    <n v="1.7"/>
    <n v="190"/>
    <n v="150"/>
    <n v="60"/>
    <n v="0.76"/>
    <n v="627"/>
    <x v="1"/>
    <n v="28.9"/>
    <n v="2.9"/>
    <x v="3"/>
    <n v="1"/>
    <n v="23.53"/>
    <s v="Normal Weight"/>
    <n v="825"/>
  </r>
  <r>
    <n v="454"/>
    <s v="Mumbai"/>
    <n v="52"/>
    <s v="Male"/>
    <n v="50.3"/>
    <n v="1.78"/>
    <n v="170"/>
    <n v="132"/>
    <n v="67"/>
    <n v="0.85"/>
    <n v="555"/>
    <x v="1"/>
    <n v="24.5"/>
    <n v="2.2999999999999998"/>
    <x v="3"/>
    <n v="1"/>
    <n v="15.88"/>
    <s v="Underweight"/>
    <n v="652.94117647058829"/>
  </r>
  <r>
    <n v="455"/>
    <s v="Ahmedabad"/>
    <n v="50"/>
    <s v="Female"/>
    <n v="69.3"/>
    <n v="1.68"/>
    <n v="182"/>
    <n v="135"/>
    <n v="51"/>
    <n v="1.2"/>
    <n v="729"/>
    <x v="1"/>
    <n v="30.3"/>
    <n v="2"/>
    <x v="3"/>
    <n v="1"/>
    <n v="24.55"/>
    <s v="Normal Weight"/>
    <n v="607.5"/>
  </r>
  <r>
    <n v="456"/>
    <s v="Noida"/>
    <n v="50"/>
    <s v="Male"/>
    <n v="86.7"/>
    <n v="1.63"/>
    <n v="161"/>
    <n v="143"/>
    <n v="58"/>
    <n v="1.7"/>
    <n v="1203"/>
    <x v="2"/>
    <n v="12.1"/>
    <n v="3.5"/>
    <x v="0"/>
    <n v="3"/>
    <n v="32.630000000000003"/>
    <s v="Obesity"/>
    <n v="707.64705882352939"/>
  </r>
  <r>
    <n v="457"/>
    <s v="Delhi"/>
    <n v="54"/>
    <s v="Male"/>
    <n v="125.9"/>
    <n v="1.94"/>
    <n v="199"/>
    <n v="132"/>
    <n v="73"/>
    <n v="1.35"/>
    <n v="882"/>
    <x v="3"/>
    <n v="28.5"/>
    <n v="2.9"/>
    <x v="1"/>
    <n v="2"/>
    <n v="33.450000000000003"/>
    <s v="Obesity"/>
    <n v="653.33333333333326"/>
  </r>
  <r>
    <n v="458"/>
    <s v="Bengaluru"/>
    <n v="29"/>
    <s v="Male"/>
    <n v="88.1"/>
    <n v="1.93"/>
    <n v="186"/>
    <n v="143"/>
    <n v="66"/>
    <n v="1.88"/>
    <n v="1479"/>
    <x v="2"/>
    <n v="11.1"/>
    <n v="3.5"/>
    <x v="2"/>
    <n v="3"/>
    <n v="23.65"/>
    <s v="Normal Weight"/>
    <n v="786.70212765957456"/>
  </r>
  <r>
    <n v="459"/>
    <s v="Delhi"/>
    <n v="20"/>
    <s v="Male"/>
    <n v="124.3"/>
    <n v="1.82"/>
    <n v="194"/>
    <n v="145"/>
    <n v="63"/>
    <n v="1.25"/>
    <n v="997"/>
    <x v="2"/>
    <n v="22.4"/>
    <n v="3.2"/>
    <x v="1"/>
    <n v="2"/>
    <n v="37.53"/>
    <s v="Obesity"/>
    <n v="797.6"/>
  </r>
  <r>
    <n v="460"/>
    <s v="Bengaluru"/>
    <n v="18"/>
    <s v="Male"/>
    <n v="62"/>
    <n v="1.85"/>
    <n v="161"/>
    <n v="121"/>
    <n v="53"/>
    <n v="0.88"/>
    <n v="586"/>
    <x v="3"/>
    <n v="23.7"/>
    <n v="3"/>
    <x v="1"/>
    <n v="1"/>
    <n v="18.12"/>
    <s v="Underweight"/>
    <n v="665.90909090909088"/>
  </r>
  <r>
    <n v="461"/>
    <s v="Kolkata"/>
    <n v="50"/>
    <s v="Female"/>
    <n v="69.7"/>
    <n v="1.72"/>
    <n v="198"/>
    <n v="135"/>
    <n v="66"/>
    <n v="1.24"/>
    <n v="753"/>
    <x v="3"/>
    <n v="27.3"/>
    <n v="2"/>
    <x v="0"/>
    <n v="2"/>
    <n v="23.56"/>
    <s v="Normal Weight"/>
    <n v="607.25806451612902"/>
  </r>
  <r>
    <n v="462"/>
    <s v="Mumbai"/>
    <n v="57"/>
    <s v="Female"/>
    <n v="60.9"/>
    <n v="1.52"/>
    <n v="196"/>
    <n v="157"/>
    <n v="66"/>
    <n v="1.31"/>
    <n v="926"/>
    <x v="3"/>
    <n v="30.6"/>
    <n v="1.8"/>
    <x v="1"/>
    <n v="2"/>
    <n v="26.36"/>
    <s v="Overweight"/>
    <n v="706.87022900763361"/>
  </r>
  <r>
    <n v="463"/>
    <s v="Noida"/>
    <n v="27"/>
    <s v="Male"/>
    <n v="76.5"/>
    <n v="1.97"/>
    <n v="180"/>
    <n v="165"/>
    <n v="61"/>
    <n v="1.1299999999999999"/>
    <n v="1025"/>
    <x v="3"/>
    <n v="21.3"/>
    <n v="2.2999999999999998"/>
    <x v="3"/>
    <n v="1"/>
    <n v="19.71"/>
    <s v="Normal Weight"/>
    <n v="907.07964601769925"/>
  </r>
  <r>
    <n v="464"/>
    <s v="Ahmedabad"/>
    <n v="46"/>
    <s v="Male"/>
    <n v="94.7"/>
    <n v="1.82"/>
    <n v="164"/>
    <n v="120"/>
    <n v="69"/>
    <n v="1.47"/>
    <n v="873"/>
    <x v="2"/>
    <n v="23.2"/>
    <n v="3.2"/>
    <x v="1"/>
    <n v="2"/>
    <n v="28.59"/>
    <s v="Overweight"/>
    <n v="593.87755102040819"/>
  </r>
  <r>
    <n v="465"/>
    <s v="Noida"/>
    <n v="30"/>
    <s v="Male"/>
    <n v="67.900000000000006"/>
    <n v="1.75"/>
    <n v="180"/>
    <n v="168"/>
    <n v="67"/>
    <n v="1.25"/>
    <n v="1155"/>
    <x v="0"/>
    <n v="29.1"/>
    <n v="3.1"/>
    <x v="3"/>
    <n v="1"/>
    <n v="22.17"/>
    <s v="Normal Weight"/>
    <n v="924"/>
  </r>
  <r>
    <n v="466"/>
    <s v="Noida"/>
    <n v="29"/>
    <s v="Male"/>
    <n v="121.1"/>
    <n v="1.87"/>
    <n v="188"/>
    <n v="130"/>
    <n v="52"/>
    <n v="1.31"/>
    <n v="937"/>
    <x v="1"/>
    <n v="24.1"/>
    <n v="3.2"/>
    <x v="0"/>
    <n v="2"/>
    <n v="34.630000000000003"/>
    <s v="Obesity"/>
    <n v="715.26717557251902"/>
  </r>
  <r>
    <n v="467"/>
    <s v="Noida"/>
    <n v="48"/>
    <s v="Female"/>
    <n v="71.5"/>
    <n v="1.64"/>
    <n v="179"/>
    <n v="154"/>
    <n v="60"/>
    <n v="1.46"/>
    <n v="1012"/>
    <x v="0"/>
    <n v="32.5"/>
    <n v="1.9"/>
    <x v="0"/>
    <n v="2"/>
    <n v="26.58"/>
    <s v="Overweight"/>
    <n v="693.15068493150682"/>
  </r>
  <r>
    <n v="468"/>
    <s v="Delhi"/>
    <n v="19"/>
    <s v="Male"/>
    <n v="98.6"/>
    <n v="1.7"/>
    <n v="197"/>
    <n v="162"/>
    <n v="74"/>
    <n v="0.83"/>
    <n v="740"/>
    <x v="2"/>
    <n v="21.1"/>
    <n v="2.4"/>
    <x v="3"/>
    <n v="1"/>
    <n v="34.119999999999997"/>
    <s v="Obesity"/>
    <n v="891.56626506024099"/>
  </r>
  <r>
    <n v="469"/>
    <s v="Bengaluru"/>
    <n v="52"/>
    <s v="Female"/>
    <n v="68.2"/>
    <n v="1.63"/>
    <n v="179"/>
    <n v="148"/>
    <n v="67"/>
    <n v="1.17"/>
    <n v="779"/>
    <x v="3"/>
    <n v="27.5"/>
    <n v="2.4"/>
    <x v="1"/>
    <n v="1"/>
    <n v="25.67"/>
    <s v="Overweight"/>
    <n v="665.81196581196582"/>
  </r>
  <r>
    <n v="470"/>
    <s v="Gurgaon"/>
    <n v="40"/>
    <s v="Female"/>
    <n v="57.7"/>
    <n v="1.69"/>
    <n v="184"/>
    <n v="156"/>
    <n v="53"/>
    <n v="1.18"/>
    <n v="920"/>
    <x v="1"/>
    <n v="33.1"/>
    <n v="2.4"/>
    <x v="0"/>
    <n v="2"/>
    <n v="20.2"/>
    <s v="Normal Weight"/>
    <n v="779.66101694915255"/>
  </r>
  <r>
    <n v="471"/>
    <s v="Kolkata"/>
    <n v="34"/>
    <s v="Male"/>
    <n v="124.6"/>
    <n v="1.63"/>
    <n v="161"/>
    <n v="136"/>
    <n v="66"/>
    <n v="1.41"/>
    <n v="1055"/>
    <x v="1"/>
    <n v="27.6"/>
    <n v="2.8"/>
    <x v="1"/>
    <n v="2"/>
    <n v="46.9"/>
    <s v="Obesity"/>
    <n v="748.22695035460993"/>
  </r>
  <r>
    <n v="472"/>
    <s v="Hyderabad"/>
    <n v="43"/>
    <s v="Female"/>
    <n v="73"/>
    <n v="1.59"/>
    <n v="191"/>
    <n v="158"/>
    <n v="67"/>
    <n v="1.31"/>
    <n v="931"/>
    <x v="0"/>
    <n v="28.9"/>
    <n v="2.2000000000000002"/>
    <x v="1"/>
    <n v="1"/>
    <n v="28.88"/>
    <s v="Overweight"/>
    <n v="710.68702290076328"/>
  </r>
  <r>
    <n v="473"/>
    <s v="Noida"/>
    <n v="25"/>
    <s v="Female"/>
    <n v="59.4"/>
    <n v="1.51"/>
    <n v="185"/>
    <n v="161"/>
    <n v="54"/>
    <n v="1.62"/>
    <n v="1304"/>
    <x v="2"/>
    <n v="19.8"/>
    <n v="2.7"/>
    <x v="2"/>
    <n v="3"/>
    <n v="26.05"/>
    <s v="Overweight"/>
    <n v="804.93827160493822"/>
  </r>
  <r>
    <n v="474"/>
    <s v="Pune"/>
    <n v="46"/>
    <s v="Female"/>
    <n v="52"/>
    <n v="1.65"/>
    <n v="165"/>
    <n v="147"/>
    <n v="63"/>
    <n v="0.7"/>
    <n v="463"/>
    <x v="2"/>
    <n v="34.1"/>
    <n v="1.9"/>
    <x v="3"/>
    <n v="1"/>
    <n v="19.100000000000001"/>
    <s v="Normal Weight"/>
    <n v="661.42857142857144"/>
  </r>
  <r>
    <n v="475"/>
    <s v="Delhi"/>
    <n v="43"/>
    <s v="Female"/>
    <n v="42.2"/>
    <n v="1.65"/>
    <n v="162"/>
    <n v="148"/>
    <n v="59"/>
    <n v="1.33"/>
    <n v="886"/>
    <x v="2"/>
    <n v="34.6"/>
    <n v="2.2999999999999998"/>
    <x v="1"/>
    <n v="2"/>
    <n v="15.5"/>
    <s v="Underweight"/>
    <n v="666.16541353383457"/>
  </r>
  <r>
    <n v="476"/>
    <s v="Ahmedabad"/>
    <n v="27"/>
    <s v="Male"/>
    <n v="89.3"/>
    <n v="1.64"/>
    <n v="192"/>
    <n v="162"/>
    <n v="64"/>
    <n v="1.82"/>
    <n v="1622"/>
    <x v="1"/>
    <n v="12.1"/>
    <n v="3.5"/>
    <x v="0"/>
    <n v="3"/>
    <n v="33.200000000000003"/>
    <s v="Obesity"/>
    <n v="891.20879120879113"/>
  </r>
  <r>
    <n v="477"/>
    <s v="Hyderabad"/>
    <n v="43"/>
    <s v="Male"/>
    <n v="110"/>
    <n v="1.76"/>
    <n v="160"/>
    <n v="122"/>
    <n v="50"/>
    <n v="1.0900000000000001"/>
    <n v="658"/>
    <x v="0"/>
    <n v="22"/>
    <n v="3.4"/>
    <x v="1"/>
    <n v="1"/>
    <n v="35.51"/>
    <s v="Obesity"/>
    <n v="603.66972477064212"/>
  </r>
  <r>
    <n v="478"/>
    <s v="Gurgaon"/>
    <n v="51"/>
    <s v="Female"/>
    <n v="66.2"/>
    <n v="1.58"/>
    <n v="164"/>
    <n v="129"/>
    <n v="65"/>
    <n v="0.86"/>
    <n v="499"/>
    <x v="1"/>
    <n v="31.3"/>
    <n v="2.2999999999999998"/>
    <x v="1"/>
    <n v="1"/>
    <n v="26.52"/>
    <s v="Overweight"/>
    <n v="580.23255813953494"/>
  </r>
  <r>
    <n v="479"/>
    <s v="Pune"/>
    <n v="58"/>
    <s v="Male"/>
    <n v="58.6"/>
    <n v="1.66"/>
    <n v="172"/>
    <n v="161"/>
    <n v="60"/>
    <n v="1.21"/>
    <n v="964"/>
    <x v="1"/>
    <n v="26.8"/>
    <n v="2.9"/>
    <x v="3"/>
    <n v="1"/>
    <n v="21.27"/>
    <s v="Normal Weight"/>
    <n v="796.69421487603313"/>
  </r>
  <r>
    <n v="480"/>
    <s v="Gurgaon"/>
    <n v="24"/>
    <s v="Male"/>
    <n v="51"/>
    <n v="1.67"/>
    <n v="178"/>
    <n v="133"/>
    <n v="72"/>
    <n v="0.97"/>
    <n v="710"/>
    <x v="3"/>
    <n v="21.3"/>
    <n v="2.8"/>
    <x v="1"/>
    <n v="1"/>
    <n v="18.29"/>
    <s v="Underweight"/>
    <n v="731.95876288659792"/>
  </r>
  <r>
    <n v="481"/>
    <s v="Hyderabad"/>
    <n v="21"/>
    <s v="Male"/>
    <n v="101.5"/>
    <n v="1.95"/>
    <n v="171"/>
    <n v="131"/>
    <n v="69"/>
    <n v="0.97"/>
    <n v="699"/>
    <x v="0"/>
    <n v="27.9"/>
    <n v="3.1"/>
    <x v="1"/>
    <n v="1"/>
    <n v="26.69"/>
    <s v="Overweight"/>
    <n v="720.61855670103091"/>
  </r>
  <r>
    <n v="482"/>
    <s v="Noida"/>
    <n v="28"/>
    <s v="Male"/>
    <n v="114.2"/>
    <n v="1.87"/>
    <n v="184"/>
    <n v="166"/>
    <n v="55"/>
    <n v="1.05"/>
    <n v="959"/>
    <x v="3"/>
    <n v="20.2"/>
    <n v="3.2"/>
    <x v="1"/>
    <n v="2"/>
    <n v="32.659999999999997"/>
    <s v="Obesity"/>
    <n v="913.33333333333326"/>
  </r>
  <r>
    <n v="483"/>
    <s v="Pune"/>
    <n v="46"/>
    <s v="Male"/>
    <n v="54.4"/>
    <n v="1.72"/>
    <n v="194"/>
    <n v="161"/>
    <n v="73"/>
    <n v="0.91"/>
    <n v="725"/>
    <x v="2"/>
    <n v="24.8"/>
    <n v="2.9"/>
    <x v="3"/>
    <n v="1"/>
    <n v="18.39"/>
    <s v="Underweight"/>
    <n v="796.7032967032967"/>
  </r>
  <r>
    <n v="484"/>
    <s v="Gurgaon"/>
    <n v="53"/>
    <s v="Female"/>
    <n v="52.4"/>
    <n v="1.57"/>
    <n v="171"/>
    <n v="149"/>
    <n v="71"/>
    <n v="1.34"/>
    <n v="898"/>
    <x v="1"/>
    <n v="28.3"/>
    <n v="2.2000000000000002"/>
    <x v="1"/>
    <n v="2"/>
    <n v="21.26"/>
    <s v="Normal Weight"/>
    <n v="670.14925373134326"/>
  </r>
  <r>
    <n v="485"/>
    <s v="Ahmedabad"/>
    <n v="42"/>
    <s v="Male"/>
    <n v="85.2"/>
    <n v="1.81"/>
    <n v="189"/>
    <n v="151"/>
    <n v="65"/>
    <n v="1.54"/>
    <n v="1151"/>
    <x v="0"/>
    <n v="13.7"/>
    <n v="3.5"/>
    <x v="2"/>
    <n v="3"/>
    <n v="26.01"/>
    <s v="Overweight"/>
    <n v="747.40259740259739"/>
  </r>
  <r>
    <n v="486"/>
    <s v="Bengaluru"/>
    <n v="38"/>
    <s v="Male"/>
    <n v="83.6"/>
    <n v="1.74"/>
    <n v="164"/>
    <n v="151"/>
    <n v="51"/>
    <n v="1.66"/>
    <n v="1379"/>
    <x v="2"/>
    <n v="11.6"/>
    <n v="3.5"/>
    <x v="2"/>
    <n v="3"/>
    <n v="27.61"/>
    <s v="Overweight"/>
    <n v="830.72289156626505"/>
  </r>
  <r>
    <n v="487"/>
    <s v="Mumbai"/>
    <n v="53"/>
    <s v="Male"/>
    <n v="115.4"/>
    <n v="1.92"/>
    <n v="193"/>
    <n v="161"/>
    <n v="50"/>
    <n v="1.36"/>
    <n v="1084"/>
    <x v="0"/>
    <n v="28.3"/>
    <n v="2.2000000000000002"/>
    <x v="0"/>
    <n v="2"/>
    <n v="31.3"/>
    <s v="Obesity"/>
    <n v="797.05882352941171"/>
  </r>
  <r>
    <n v="488"/>
    <s v="Bengaluru"/>
    <n v="27"/>
    <s v="Male"/>
    <n v="71.2"/>
    <n v="1.97"/>
    <n v="181"/>
    <n v="151"/>
    <n v="73"/>
    <n v="0.74"/>
    <n v="615"/>
    <x v="1"/>
    <n v="25.9"/>
    <n v="3.6"/>
    <x v="1"/>
    <n v="1"/>
    <n v="18.350000000000001"/>
    <s v="Underweight"/>
    <n v="831.08108108108104"/>
  </r>
  <r>
    <n v="489"/>
    <s v="Hyderabad"/>
    <n v="54"/>
    <s v="Female"/>
    <n v="78.099999999999994"/>
    <n v="1.6"/>
    <n v="198"/>
    <n v="145"/>
    <n v="73"/>
    <n v="1.1000000000000001"/>
    <n v="718"/>
    <x v="0"/>
    <n v="32.9"/>
    <n v="2.4"/>
    <x v="0"/>
    <n v="2"/>
    <n v="30.51"/>
    <s v="Obesity"/>
    <n v="652.72727272727263"/>
  </r>
  <r>
    <n v="490"/>
    <s v="Delhi"/>
    <n v="26"/>
    <s v="Female"/>
    <n v="54.2"/>
    <n v="1.65"/>
    <n v="172"/>
    <n v="120"/>
    <n v="58"/>
    <n v="1.07"/>
    <n v="642"/>
    <x v="2"/>
    <n v="34.9"/>
    <n v="1.9"/>
    <x v="0"/>
    <n v="2"/>
    <n v="19.91"/>
    <s v="Normal Weight"/>
    <n v="600"/>
  </r>
  <r>
    <n v="491"/>
    <s v="Mumbai"/>
    <n v="41"/>
    <s v="Female"/>
    <n v="77.599999999999994"/>
    <n v="1.76"/>
    <n v="162"/>
    <n v="161"/>
    <n v="71"/>
    <n v="1.27"/>
    <n v="920"/>
    <x v="3"/>
    <n v="31.8"/>
    <n v="2.2000000000000002"/>
    <x v="0"/>
    <n v="2"/>
    <n v="25.05"/>
    <s v="Overweight"/>
    <n v="724.40944881889766"/>
  </r>
  <r>
    <n v="492"/>
    <s v="Kolkata"/>
    <n v="52"/>
    <s v="Female"/>
    <n v="44.1"/>
    <n v="1.62"/>
    <n v="179"/>
    <n v="121"/>
    <n v="61"/>
    <n v="1.41"/>
    <n v="768"/>
    <x v="1"/>
    <n v="34.799999999999997"/>
    <n v="1.6"/>
    <x v="1"/>
    <n v="1"/>
    <n v="16.8"/>
    <s v="Underweight"/>
    <n v="544.68085106382978"/>
  </r>
  <r>
    <n v="493"/>
    <s v="Ahmedabad"/>
    <n v="52"/>
    <s v="Male"/>
    <n v="85.5"/>
    <n v="1.8"/>
    <n v="190"/>
    <n v="136"/>
    <n v="66"/>
    <n v="1.7"/>
    <n v="1144"/>
    <x v="3"/>
    <n v="10.1"/>
    <n v="3.5"/>
    <x v="2"/>
    <n v="3"/>
    <n v="26.39"/>
    <s v="Overweight"/>
    <n v="672.94117647058829"/>
  </r>
  <r>
    <n v="494"/>
    <s v="Kolkata"/>
    <n v="53"/>
    <s v="Female"/>
    <n v="47.8"/>
    <n v="1.76"/>
    <n v="164"/>
    <n v="149"/>
    <n v="74"/>
    <n v="1.06"/>
    <n v="711"/>
    <x v="1"/>
    <n v="28.4"/>
    <n v="1.5"/>
    <x v="0"/>
    <n v="2"/>
    <n v="15.43"/>
    <s v="Underweight"/>
    <n v="670.75471698113199"/>
  </r>
  <r>
    <n v="495"/>
    <s v="Pune"/>
    <n v="35"/>
    <s v="Male"/>
    <n v="102.5"/>
    <n v="1.94"/>
    <n v="183"/>
    <n v="158"/>
    <n v="64"/>
    <n v="0.84"/>
    <n v="730"/>
    <x v="2"/>
    <n v="21.1"/>
    <n v="2.4"/>
    <x v="3"/>
    <n v="1"/>
    <n v="27.23"/>
    <s v="Overweight"/>
    <n v="869.04761904761904"/>
  </r>
  <r>
    <n v="496"/>
    <s v="Mumbai"/>
    <n v="56"/>
    <s v="Male"/>
    <n v="118"/>
    <n v="1.9"/>
    <n v="199"/>
    <n v="126"/>
    <n v="68"/>
    <n v="0.66"/>
    <n v="412"/>
    <x v="1"/>
    <n v="22.6"/>
    <n v="3.2"/>
    <x v="3"/>
    <n v="1"/>
    <n v="32.69"/>
    <s v="Obesity"/>
    <n v="624.24242424242425"/>
  </r>
  <r>
    <n v="497"/>
    <s v="Kolkata"/>
    <n v="49"/>
    <s v="Male"/>
    <n v="82.3"/>
    <n v="1.84"/>
    <n v="192"/>
    <n v="146"/>
    <n v="71"/>
    <n v="1.29"/>
    <n v="932"/>
    <x v="3"/>
    <n v="28.4"/>
    <n v="3.4"/>
    <x v="0"/>
    <n v="2"/>
    <n v="24.31"/>
    <s v="Normal Weight"/>
    <n v="722.48062015503876"/>
  </r>
  <r>
    <n v="498"/>
    <s v="Kolkata"/>
    <n v="41"/>
    <s v="Male"/>
    <n v="81.599999999999994"/>
    <n v="1.87"/>
    <n v="167"/>
    <n v="128"/>
    <n v="59"/>
    <n v="1.87"/>
    <n v="1185"/>
    <x v="1"/>
    <n v="10.199999999999999"/>
    <n v="3.5"/>
    <x v="2"/>
    <n v="3"/>
    <n v="23.33"/>
    <s v="Normal Weight"/>
    <n v="633.68983957219245"/>
  </r>
  <r>
    <n v="499"/>
    <s v="Gurgaon"/>
    <n v="40"/>
    <s v="Male"/>
    <n v="60.2"/>
    <n v="1.88"/>
    <n v="183"/>
    <n v="141"/>
    <n v="61"/>
    <n v="1.22"/>
    <n v="946"/>
    <x v="2"/>
    <n v="25.2"/>
    <n v="3"/>
    <x v="1"/>
    <n v="2"/>
    <n v="17.03"/>
    <s v="Underweight"/>
    <n v="775.40983606557381"/>
  </r>
  <r>
    <n v="500"/>
    <s v="Bengaluru"/>
    <n v="49"/>
    <s v="Female"/>
    <n v="49.2"/>
    <n v="1.54"/>
    <n v="179"/>
    <n v="153"/>
    <n v="63"/>
    <n v="1.28"/>
    <n v="881"/>
    <x v="1"/>
    <n v="30.7"/>
    <n v="2.1"/>
    <x v="1"/>
    <n v="2"/>
    <n v="20.75"/>
    <s v="Normal Weight"/>
    <n v="688.28125"/>
  </r>
  <r>
    <n v="501"/>
    <s v="Gurgaon"/>
    <n v="54"/>
    <s v="Female"/>
    <n v="46.6"/>
    <n v="1.5"/>
    <n v="175"/>
    <n v="165"/>
    <n v="58"/>
    <n v="1.38"/>
    <n v="1025"/>
    <x v="3"/>
    <n v="30.6"/>
    <n v="2"/>
    <x v="3"/>
    <n v="1"/>
    <n v="20.71"/>
    <s v="Normal Weight"/>
    <n v="742.75362318840587"/>
  </r>
  <r>
    <n v="502"/>
    <s v="Mumbai"/>
    <n v="29"/>
    <s v="Female"/>
    <n v="68.7"/>
    <n v="1.72"/>
    <n v="171"/>
    <n v="168"/>
    <n v="62"/>
    <n v="1.08"/>
    <n v="907"/>
    <x v="2"/>
    <n v="29.8"/>
    <n v="1.7"/>
    <x v="0"/>
    <n v="2"/>
    <n v="23.22"/>
    <s v="Normal Weight"/>
    <n v="839.81481481481478"/>
  </r>
  <r>
    <n v="503"/>
    <s v="Mumbai"/>
    <n v="30"/>
    <s v="Female"/>
    <n v="60.6"/>
    <n v="1.55"/>
    <n v="172"/>
    <n v="120"/>
    <n v="52"/>
    <n v="1.3"/>
    <n v="780"/>
    <x v="3"/>
    <n v="32.9"/>
    <n v="1.6"/>
    <x v="1"/>
    <n v="2"/>
    <n v="25.22"/>
    <s v="Overweight"/>
    <n v="600"/>
  </r>
  <r>
    <n v="504"/>
    <s v="Hyderabad"/>
    <n v="40"/>
    <s v="Male"/>
    <n v="52.1"/>
    <n v="1.61"/>
    <n v="198"/>
    <n v="128"/>
    <n v="70"/>
    <n v="0.87"/>
    <n v="612"/>
    <x v="1"/>
    <n v="21.3"/>
    <n v="3.3"/>
    <x v="3"/>
    <n v="1"/>
    <n v="20.100000000000001"/>
    <s v="Normal Weight"/>
    <n v="703.44827586206895"/>
  </r>
  <r>
    <n v="505"/>
    <s v="Gurgaon"/>
    <n v="42"/>
    <s v="Female"/>
    <n v="46.6"/>
    <n v="1.77"/>
    <n v="184"/>
    <n v="139"/>
    <n v="63"/>
    <n v="0.61"/>
    <n v="382"/>
    <x v="0"/>
    <n v="28.1"/>
    <n v="2.6"/>
    <x v="3"/>
    <n v="1"/>
    <n v="14.87"/>
    <s v="Underweight"/>
    <n v="626.22950819672133"/>
  </r>
  <r>
    <n v="506"/>
    <s v="Chennai"/>
    <n v="52"/>
    <s v="Male"/>
    <n v="65.5"/>
    <n v="1.74"/>
    <n v="191"/>
    <n v="138"/>
    <n v="70"/>
    <n v="1.48"/>
    <n v="1011"/>
    <x v="3"/>
    <n v="26.2"/>
    <n v="2.8"/>
    <x v="0"/>
    <n v="2"/>
    <n v="21.63"/>
    <s v="Normal Weight"/>
    <n v="683.10810810810813"/>
  </r>
  <r>
    <n v="507"/>
    <s v="Bengaluru"/>
    <n v="58"/>
    <s v="Female"/>
    <n v="44.2"/>
    <n v="1.57"/>
    <n v="183"/>
    <n v="155"/>
    <n v="59"/>
    <n v="1.08"/>
    <n v="753"/>
    <x v="1"/>
    <n v="31.9"/>
    <n v="2.2999999999999998"/>
    <x v="1"/>
    <n v="1"/>
    <n v="17.93"/>
    <s v="Underweight"/>
    <n v="697.22222222222217"/>
  </r>
  <r>
    <n v="508"/>
    <s v="Mumbai"/>
    <n v="47"/>
    <s v="Male"/>
    <n v="89.1"/>
    <n v="1.84"/>
    <n v="168"/>
    <n v="159"/>
    <n v="65"/>
    <n v="1.44"/>
    <n v="1133"/>
    <x v="0"/>
    <n v="24"/>
    <n v="3.6"/>
    <x v="1"/>
    <n v="2"/>
    <n v="26.32"/>
    <s v="Overweight"/>
    <n v="786.80555555555554"/>
  </r>
  <r>
    <n v="509"/>
    <s v="Hyderabad"/>
    <n v="34"/>
    <s v="Male"/>
    <n v="65.900000000000006"/>
    <n v="1.62"/>
    <n v="199"/>
    <n v="164"/>
    <n v="56"/>
    <n v="0.81"/>
    <n v="731"/>
    <x v="0"/>
    <n v="28.8"/>
    <n v="2.2000000000000002"/>
    <x v="3"/>
    <n v="1"/>
    <n v="25.11"/>
    <s v="Overweight"/>
    <n v="902.46913580246905"/>
  </r>
  <r>
    <n v="510"/>
    <s v="Gurgaon"/>
    <n v="37"/>
    <s v="Female"/>
    <n v="55.6"/>
    <n v="1.57"/>
    <n v="182"/>
    <n v="123"/>
    <n v="53"/>
    <n v="0.97"/>
    <n v="597"/>
    <x v="2"/>
    <n v="29.2"/>
    <n v="2.4"/>
    <x v="3"/>
    <n v="1"/>
    <n v="22.56"/>
    <s v="Normal Weight"/>
    <n v="615.46391752577324"/>
  </r>
  <r>
    <n v="511"/>
    <s v="Bengaluru"/>
    <n v="42"/>
    <s v="Male"/>
    <n v="63.7"/>
    <n v="1.98"/>
    <n v="172"/>
    <n v="128"/>
    <n v="69"/>
    <n v="1.37"/>
    <n v="868"/>
    <x v="0"/>
    <n v="24"/>
    <n v="3"/>
    <x v="3"/>
    <n v="1"/>
    <n v="16.25"/>
    <s v="Underweight"/>
    <n v="633.57664233576634"/>
  </r>
  <r>
    <n v="512"/>
    <s v="Gurgaon"/>
    <n v="39"/>
    <s v="Male"/>
    <n v="86.2"/>
    <n v="1.82"/>
    <n v="191"/>
    <n v="160"/>
    <n v="72"/>
    <n v="1.96"/>
    <n v="1725"/>
    <x v="3"/>
    <n v="10.199999999999999"/>
    <n v="3.5"/>
    <x v="2"/>
    <n v="3"/>
    <n v="26.02"/>
    <s v="Overweight"/>
    <n v="880.10204081632651"/>
  </r>
  <r>
    <n v="513"/>
    <s v="Kolkata"/>
    <n v="30"/>
    <s v="Female"/>
    <n v="59.2"/>
    <n v="1.63"/>
    <n v="174"/>
    <n v="141"/>
    <n v="74"/>
    <n v="1.85"/>
    <n v="1304"/>
    <x v="3"/>
    <n v="17.8"/>
    <n v="2.7"/>
    <x v="0"/>
    <n v="3"/>
    <n v="22.28"/>
    <s v="Normal Weight"/>
    <n v="704.86486486486478"/>
  </r>
  <r>
    <n v="514"/>
    <s v="Hyderabad"/>
    <n v="36"/>
    <s v="Male"/>
    <n v="85.4"/>
    <n v="1.88"/>
    <n v="195"/>
    <n v="137"/>
    <n v="60"/>
    <n v="1.98"/>
    <n v="1492"/>
    <x v="0"/>
    <n v="13.5"/>
    <n v="3.5"/>
    <x v="2"/>
    <n v="3"/>
    <n v="24.16"/>
    <s v="Normal Weight"/>
    <n v="753.53535353535358"/>
  </r>
  <r>
    <n v="515"/>
    <s v="Bengaluru"/>
    <n v="53"/>
    <s v="Female"/>
    <n v="68.099999999999994"/>
    <n v="1.55"/>
    <n v="164"/>
    <n v="131"/>
    <n v="65"/>
    <n v="1.41"/>
    <n v="831"/>
    <x v="1"/>
    <n v="26.1"/>
    <n v="2.2000000000000002"/>
    <x v="0"/>
    <n v="2"/>
    <n v="28.35"/>
    <s v="Overweight"/>
    <n v="589.36170212765956"/>
  </r>
  <r>
    <n v="516"/>
    <s v="Noida"/>
    <n v="29"/>
    <s v="Female"/>
    <n v="60"/>
    <n v="1.62"/>
    <n v="181"/>
    <n v="161"/>
    <n v="69"/>
    <n v="0.85"/>
    <n v="684"/>
    <x v="3"/>
    <n v="28.1"/>
    <n v="1.9"/>
    <x v="3"/>
    <n v="1"/>
    <n v="22.86"/>
    <s v="Normal Weight"/>
    <n v="804.70588235294122"/>
  </r>
  <r>
    <n v="517"/>
    <s v="Pune"/>
    <n v="58"/>
    <s v="Female"/>
    <n v="74.8"/>
    <n v="1.69"/>
    <n v="175"/>
    <n v="162"/>
    <n v="53"/>
    <n v="1.28"/>
    <n v="933"/>
    <x v="3"/>
    <n v="32.799999999999997"/>
    <n v="2.2999999999999998"/>
    <x v="0"/>
    <n v="2"/>
    <n v="26.19"/>
    <s v="Overweight"/>
    <n v="728.90625"/>
  </r>
  <r>
    <n v="518"/>
    <s v="Pune"/>
    <n v="36"/>
    <s v="Male"/>
    <n v="90.3"/>
    <n v="1.65"/>
    <n v="169"/>
    <n v="158"/>
    <n v="71"/>
    <n v="1.38"/>
    <n v="1199"/>
    <x v="2"/>
    <n v="23.7"/>
    <n v="3.4"/>
    <x v="0"/>
    <n v="2"/>
    <n v="33.17"/>
    <s v="Obesity"/>
    <n v="868.84057971014499"/>
  </r>
  <r>
    <n v="519"/>
    <s v="Bengaluru"/>
    <n v="29"/>
    <s v="Male"/>
    <n v="86.1"/>
    <n v="1.65"/>
    <n v="183"/>
    <n v="128"/>
    <n v="71"/>
    <n v="1.66"/>
    <n v="1169"/>
    <x v="1"/>
    <n v="11.2"/>
    <n v="3.5"/>
    <x v="0"/>
    <n v="3"/>
    <n v="31.63"/>
    <s v="Obesity"/>
    <n v="704.2168674698795"/>
  </r>
  <r>
    <n v="520"/>
    <s v="Gurgaon"/>
    <n v="26"/>
    <s v="Male"/>
    <n v="73.7"/>
    <n v="1.66"/>
    <n v="177"/>
    <n v="125"/>
    <n v="72"/>
    <n v="0.93"/>
    <n v="639"/>
    <x v="0"/>
    <n v="26.7"/>
    <n v="2.2000000000000002"/>
    <x v="3"/>
    <n v="1"/>
    <n v="26.75"/>
    <s v="Overweight"/>
    <n v="687.0967741935483"/>
  </r>
  <r>
    <n v="521"/>
    <s v="Hyderabad"/>
    <n v="24"/>
    <s v="Female"/>
    <n v="67.7"/>
    <n v="1.56"/>
    <n v="177"/>
    <n v="138"/>
    <n v="66"/>
    <n v="1.42"/>
    <n v="980"/>
    <x v="1"/>
    <n v="27"/>
    <n v="2.1"/>
    <x v="1"/>
    <n v="2"/>
    <n v="27.82"/>
    <s v="Overweight"/>
    <n v="690.14084507042253"/>
  </r>
  <r>
    <n v="522"/>
    <s v="Pune"/>
    <n v="45"/>
    <s v="Male"/>
    <n v="78.3"/>
    <n v="1.96"/>
    <n v="166"/>
    <n v="167"/>
    <n v="62"/>
    <n v="1.29"/>
    <n v="1066"/>
    <x v="2"/>
    <n v="29"/>
    <n v="2.2000000000000002"/>
    <x v="1"/>
    <n v="1"/>
    <n v="20.38"/>
    <s v="Normal Weight"/>
    <n v="826.35658914728685"/>
  </r>
  <r>
    <n v="523"/>
    <s v="Hyderabad"/>
    <n v="31"/>
    <s v="Female"/>
    <n v="48.2"/>
    <n v="1.65"/>
    <n v="163"/>
    <n v="166"/>
    <n v="60"/>
    <n v="1.1000000000000001"/>
    <n v="913"/>
    <x v="2"/>
    <n v="26.1"/>
    <n v="2.5"/>
    <x v="3"/>
    <n v="1"/>
    <n v="17.7"/>
    <s v="Underweight"/>
    <n v="829.99999999999989"/>
  </r>
  <r>
    <n v="524"/>
    <s v="Pune"/>
    <n v="48"/>
    <s v="Female"/>
    <n v="56.8"/>
    <n v="1.51"/>
    <n v="185"/>
    <n v="126"/>
    <n v="52"/>
    <n v="1.37"/>
    <n v="777"/>
    <x v="1"/>
    <n v="32.1"/>
    <n v="2.1"/>
    <x v="0"/>
    <n v="2"/>
    <n v="24.91"/>
    <s v="Normal Weight"/>
    <n v="567.15328467153279"/>
  </r>
  <r>
    <n v="525"/>
    <s v="Kolkata"/>
    <n v="36"/>
    <s v="Male"/>
    <n v="112.4"/>
    <n v="1.63"/>
    <n v="164"/>
    <n v="135"/>
    <n v="58"/>
    <n v="1.02"/>
    <n v="757"/>
    <x v="2"/>
    <n v="25"/>
    <n v="3.4"/>
    <x v="0"/>
    <n v="2"/>
    <n v="42.3"/>
    <s v="Obesity"/>
    <n v="742.15686274509801"/>
  </r>
  <r>
    <n v="526"/>
    <s v="Gurgaon"/>
    <n v="33"/>
    <s v="Female"/>
    <n v="59"/>
    <n v="1.67"/>
    <n v="175"/>
    <n v="124"/>
    <n v="55"/>
    <n v="0.9"/>
    <n v="558"/>
    <x v="2"/>
    <n v="33.700000000000003"/>
    <n v="1.9"/>
    <x v="1"/>
    <n v="1"/>
    <n v="21.16"/>
    <s v="Normal Weight"/>
    <n v="620"/>
  </r>
  <r>
    <n v="527"/>
    <s v="Kolkata"/>
    <n v="22"/>
    <s v="Male"/>
    <n v="98.4"/>
    <n v="1.88"/>
    <n v="194"/>
    <n v="135"/>
    <n v="71"/>
    <n v="0.52"/>
    <n v="386"/>
    <x v="2"/>
    <n v="21.3"/>
    <n v="2.2000000000000002"/>
    <x v="3"/>
    <n v="1"/>
    <n v="27.84"/>
    <s v="Overweight"/>
    <n v="742.30769230769226"/>
  </r>
  <r>
    <n v="528"/>
    <s v="Pune"/>
    <n v="52"/>
    <s v="Male"/>
    <n v="66.5"/>
    <n v="1.6"/>
    <n v="185"/>
    <n v="120"/>
    <n v="70"/>
    <n v="1.34"/>
    <n v="796"/>
    <x v="1"/>
    <n v="26.8"/>
    <n v="2.1"/>
    <x v="0"/>
    <n v="2"/>
    <n v="25.98"/>
    <s v="Overweight"/>
    <n v="594.02985074626861"/>
  </r>
  <r>
    <n v="529"/>
    <s v="Noida"/>
    <n v="29"/>
    <s v="Male"/>
    <n v="106.5"/>
    <n v="1.81"/>
    <n v="177"/>
    <n v="156"/>
    <n v="60"/>
    <n v="1.29"/>
    <n v="1107"/>
    <x v="2"/>
    <n v="25.7"/>
    <n v="2.5"/>
    <x v="0"/>
    <n v="2"/>
    <n v="32.51"/>
    <s v="Obesity"/>
    <n v="858.1395348837209"/>
  </r>
  <r>
    <n v="530"/>
    <s v="Noida"/>
    <n v="42"/>
    <s v="Male"/>
    <n v="88.4"/>
    <n v="1.93"/>
    <n v="188"/>
    <n v="158"/>
    <n v="65"/>
    <n v="1.68"/>
    <n v="1314"/>
    <x v="0"/>
    <n v="12.4"/>
    <n v="3.5"/>
    <x v="0"/>
    <n v="3"/>
    <n v="23.73"/>
    <s v="Normal Weight"/>
    <n v="782.14285714285722"/>
  </r>
  <r>
    <n v="531"/>
    <s v="Kolkata"/>
    <n v="38"/>
    <s v="Male"/>
    <n v="88.4"/>
    <n v="1.79"/>
    <n v="182"/>
    <n v="138"/>
    <n v="68"/>
    <n v="1.74"/>
    <n v="1321"/>
    <x v="0"/>
    <n v="12.5"/>
    <n v="3.5"/>
    <x v="2"/>
    <n v="3"/>
    <n v="27.59"/>
    <s v="Overweight"/>
    <n v="759.19540229885058"/>
  </r>
  <r>
    <n v="532"/>
    <s v="Noida"/>
    <n v="53"/>
    <s v="Female"/>
    <n v="53.3"/>
    <n v="1.74"/>
    <n v="173"/>
    <n v="156"/>
    <n v="54"/>
    <n v="1.37"/>
    <n v="962"/>
    <x v="3"/>
    <n v="32.200000000000003"/>
    <n v="1.8"/>
    <x v="1"/>
    <n v="2"/>
    <n v="17.600000000000001"/>
    <s v="Underweight"/>
    <n v="702.18978102189772"/>
  </r>
  <r>
    <n v="533"/>
    <s v="Pune"/>
    <n v="40"/>
    <s v="Female"/>
    <n v="58.1"/>
    <n v="1.56"/>
    <n v="174"/>
    <n v="136"/>
    <n v="63"/>
    <n v="0.61"/>
    <n v="415"/>
    <x v="0"/>
    <n v="34.4"/>
    <n v="2.2000000000000002"/>
    <x v="3"/>
    <n v="1"/>
    <n v="23.87"/>
    <s v="Normal Weight"/>
    <n v="680.32786885245901"/>
  </r>
  <r>
    <n v="534"/>
    <s v="Bengaluru"/>
    <n v="33"/>
    <s v="Female"/>
    <n v="74.2"/>
    <n v="1.76"/>
    <n v="192"/>
    <n v="145"/>
    <n v="66"/>
    <n v="1.1499999999999999"/>
    <n v="834"/>
    <x v="3"/>
    <n v="25.9"/>
    <n v="1.5"/>
    <x v="0"/>
    <n v="2"/>
    <n v="23.95"/>
    <s v="Normal Weight"/>
    <n v="725.21739130434787"/>
  </r>
  <r>
    <n v="535"/>
    <s v="Kolkata"/>
    <n v="56"/>
    <s v="Male"/>
    <n v="84.6"/>
    <n v="1.63"/>
    <n v="184"/>
    <n v="141"/>
    <n v="52"/>
    <n v="1.01"/>
    <n v="705"/>
    <x v="1"/>
    <n v="20.2"/>
    <n v="2.9"/>
    <x v="0"/>
    <n v="2"/>
    <n v="31.84"/>
    <s v="Obesity"/>
    <n v="698.01980198019805"/>
  </r>
  <r>
    <n v="536"/>
    <s v="Delhi"/>
    <n v="59"/>
    <s v="Male"/>
    <n v="78"/>
    <n v="1.92"/>
    <n v="180"/>
    <n v="127"/>
    <n v="53"/>
    <n v="0.72"/>
    <n v="453"/>
    <x v="2"/>
    <n v="28.1"/>
    <n v="2.7"/>
    <x v="1"/>
    <n v="1"/>
    <n v="21.16"/>
    <s v="Normal Weight"/>
    <n v="629.16666666666674"/>
  </r>
  <r>
    <n v="537"/>
    <s v="Gurgaon"/>
    <n v="56"/>
    <s v="Male"/>
    <n v="89"/>
    <n v="1.68"/>
    <n v="176"/>
    <n v="152"/>
    <n v="65"/>
    <n v="1.77"/>
    <n v="1332"/>
    <x v="0"/>
    <n v="10.5"/>
    <n v="3.5"/>
    <x v="2"/>
    <n v="3"/>
    <n v="31.53"/>
    <s v="Obesity"/>
    <n v="752.54237288135596"/>
  </r>
  <r>
    <n v="538"/>
    <s v="Noida"/>
    <n v="31"/>
    <s v="Female"/>
    <n v="42.7"/>
    <n v="1.76"/>
    <n v="182"/>
    <n v="121"/>
    <n v="65"/>
    <n v="1.46"/>
    <n v="883"/>
    <x v="3"/>
    <n v="34.9"/>
    <n v="2.2000000000000002"/>
    <x v="1"/>
    <n v="1"/>
    <n v="13.78"/>
    <s v="Underweight"/>
    <n v="604.79452054794524"/>
  </r>
  <r>
    <n v="539"/>
    <s v="Noida"/>
    <n v="48"/>
    <s v="Male"/>
    <n v="83.9"/>
    <n v="1.82"/>
    <n v="176"/>
    <n v="149"/>
    <n v="70"/>
    <n v="1.9"/>
    <n v="1401"/>
    <x v="1"/>
    <n v="13.1"/>
    <n v="3.5"/>
    <x v="2"/>
    <n v="3"/>
    <n v="25.33"/>
    <s v="Overweight"/>
    <n v="737.36842105263156"/>
  </r>
  <r>
    <n v="540"/>
    <s v="Mumbai"/>
    <n v="22"/>
    <s v="Female"/>
    <n v="78.7"/>
    <n v="1.52"/>
    <n v="173"/>
    <n v="166"/>
    <n v="74"/>
    <n v="1.45"/>
    <n v="1204"/>
    <x v="3"/>
    <n v="31.5"/>
    <n v="2.2999999999999998"/>
    <x v="1"/>
    <n v="2"/>
    <n v="34.06"/>
    <s v="Obesity"/>
    <n v="830.34482758620697"/>
  </r>
  <r>
    <n v="541"/>
    <s v="Chennai"/>
    <n v="52"/>
    <s v="Female"/>
    <n v="65.900000000000006"/>
    <n v="1.52"/>
    <n v="188"/>
    <n v="139"/>
    <n v="53"/>
    <n v="1.27"/>
    <n v="794"/>
    <x v="2"/>
    <n v="27"/>
    <n v="2.2999999999999998"/>
    <x v="0"/>
    <n v="2"/>
    <n v="28.52"/>
    <s v="Overweight"/>
    <n v="625.19685039370074"/>
  </r>
  <r>
    <n v="542"/>
    <s v="Kolkata"/>
    <n v="40"/>
    <s v="Male"/>
    <n v="76.900000000000006"/>
    <n v="1.92"/>
    <n v="179"/>
    <n v="137"/>
    <n v="68"/>
    <n v="1.1299999999999999"/>
    <n v="851"/>
    <x v="0"/>
    <n v="22.4"/>
    <n v="3.7"/>
    <x v="0"/>
    <n v="2"/>
    <n v="20.86"/>
    <s v="Normal Weight"/>
    <n v="753.09734513274338"/>
  </r>
  <r>
    <n v="543"/>
    <s v="Ahmedabad"/>
    <n v="46"/>
    <s v="Male"/>
    <n v="84.3"/>
    <n v="2"/>
    <n v="189"/>
    <n v="162"/>
    <n v="66"/>
    <n v="1.83"/>
    <n v="1467"/>
    <x v="1"/>
    <n v="13.3"/>
    <n v="3.5"/>
    <x v="2"/>
    <n v="3"/>
    <n v="21.07"/>
    <s v="Normal Weight"/>
    <n v="801.63934426229503"/>
  </r>
  <r>
    <n v="544"/>
    <s v="Noida"/>
    <n v="28"/>
    <s v="Female"/>
    <n v="62.4"/>
    <n v="1.6"/>
    <n v="178"/>
    <n v="129"/>
    <n v="62"/>
    <n v="1.1000000000000001"/>
    <n v="710"/>
    <x v="3"/>
    <n v="34.1"/>
    <n v="1.7"/>
    <x v="1"/>
    <n v="2"/>
    <n v="24.37"/>
    <s v="Normal Weight"/>
    <n v="645.45454545454538"/>
  </r>
  <r>
    <n v="545"/>
    <s v="Gurgaon"/>
    <n v="35"/>
    <s v="Male"/>
    <n v="63.7"/>
    <n v="1.74"/>
    <n v="198"/>
    <n v="143"/>
    <n v="71"/>
    <n v="1.03"/>
    <n v="810"/>
    <x v="1"/>
    <n v="29.8"/>
    <n v="2.7"/>
    <x v="0"/>
    <n v="2"/>
    <n v="21.04"/>
    <s v="Normal Weight"/>
    <n v="786.40776699029129"/>
  </r>
  <r>
    <n v="546"/>
    <s v="Delhi"/>
    <n v="29"/>
    <s v="Female"/>
    <n v="54.9"/>
    <n v="1.52"/>
    <n v="172"/>
    <n v="123"/>
    <n v="72"/>
    <n v="1.48"/>
    <n v="910"/>
    <x v="3"/>
    <n v="27"/>
    <n v="2"/>
    <x v="1"/>
    <n v="1"/>
    <n v="23.76"/>
    <s v="Normal Weight"/>
    <n v="614.8648648648649"/>
  </r>
  <r>
    <n v="547"/>
    <s v="Noida"/>
    <n v="26"/>
    <s v="Male"/>
    <n v="76.400000000000006"/>
    <n v="1.79"/>
    <n v="177"/>
    <n v="156"/>
    <n v="73"/>
    <n v="1.17"/>
    <n v="1004"/>
    <x v="3"/>
    <n v="21.3"/>
    <n v="2.7"/>
    <x v="1"/>
    <n v="2"/>
    <n v="23.84"/>
    <s v="Normal Weight"/>
    <n v="858.1196581196582"/>
  </r>
  <r>
    <n v="548"/>
    <s v="Delhi"/>
    <n v="27"/>
    <s v="Male"/>
    <n v="106.4"/>
    <n v="1.86"/>
    <n v="182"/>
    <n v="123"/>
    <n v="50"/>
    <n v="1.34"/>
    <n v="907"/>
    <x v="2"/>
    <n v="20.6"/>
    <n v="3.1"/>
    <x v="3"/>
    <n v="1"/>
    <n v="30.76"/>
    <s v="Obesity"/>
    <n v="676.86567164179098"/>
  </r>
  <r>
    <n v="549"/>
    <s v="Pune"/>
    <n v="34"/>
    <s v="Female"/>
    <n v="68.400000000000006"/>
    <n v="1.5"/>
    <n v="192"/>
    <n v="132"/>
    <n v="61"/>
    <n v="1.37"/>
    <n v="904"/>
    <x v="2"/>
    <n v="33.700000000000003"/>
    <n v="2.1"/>
    <x v="0"/>
    <n v="2"/>
    <n v="30.4"/>
    <s v="Obesity"/>
    <n v="659.85401459854006"/>
  </r>
  <r>
    <n v="550"/>
    <s v="Pune"/>
    <n v="55"/>
    <s v="Male"/>
    <n v="63.5"/>
    <n v="1.86"/>
    <n v="198"/>
    <n v="144"/>
    <n v="53"/>
    <n v="1.36"/>
    <n v="969"/>
    <x v="3"/>
    <n v="22.9"/>
    <n v="2.9"/>
    <x v="0"/>
    <n v="2"/>
    <n v="18.350000000000001"/>
    <s v="Underweight"/>
    <n v="712.5"/>
  </r>
  <r>
    <n v="551"/>
    <s v="Chennai"/>
    <n v="24"/>
    <s v="Female"/>
    <n v="59.4"/>
    <n v="1.5"/>
    <n v="199"/>
    <n v="132"/>
    <n v="60"/>
    <n v="1.25"/>
    <n v="825"/>
    <x v="0"/>
    <n v="25"/>
    <n v="2"/>
    <x v="1"/>
    <n v="2"/>
    <n v="26.4"/>
    <s v="Overweight"/>
    <n v="660"/>
  </r>
  <r>
    <n v="552"/>
    <s v="Bengaluru"/>
    <n v="30"/>
    <s v="Male"/>
    <n v="113.4"/>
    <n v="1.91"/>
    <n v="177"/>
    <n v="137"/>
    <n v="54"/>
    <n v="1.27"/>
    <n v="957"/>
    <x v="1"/>
    <n v="22.2"/>
    <n v="3.7"/>
    <x v="1"/>
    <n v="1"/>
    <n v="31.08"/>
    <s v="Obesity"/>
    <n v="753.54330708661416"/>
  </r>
  <r>
    <n v="553"/>
    <s v="Ahmedabad"/>
    <n v="57"/>
    <s v="Female"/>
    <n v="61.9"/>
    <n v="1.52"/>
    <n v="168"/>
    <n v="143"/>
    <n v="51"/>
    <n v="0.92"/>
    <n v="592"/>
    <x v="1"/>
    <n v="28.4"/>
    <n v="2.6"/>
    <x v="1"/>
    <n v="1"/>
    <n v="26.79"/>
    <s v="Overweight"/>
    <n v="643.47826086956513"/>
  </r>
  <r>
    <n v="554"/>
    <s v="Mumbai"/>
    <n v="59"/>
    <s v="Female"/>
    <n v="70.7"/>
    <n v="1.68"/>
    <n v="192"/>
    <n v="121"/>
    <n v="66"/>
    <n v="1.17"/>
    <n v="637"/>
    <x v="2"/>
    <n v="34.9"/>
    <n v="1.9"/>
    <x v="1"/>
    <n v="2"/>
    <n v="25.05"/>
    <s v="Overweight"/>
    <n v="544.44444444444446"/>
  </r>
  <r>
    <n v="555"/>
    <s v="Chennai"/>
    <n v="26"/>
    <s v="Male"/>
    <n v="111.5"/>
    <n v="1.9"/>
    <n v="191"/>
    <n v="167"/>
    <n v="57"/>
    <n v="1.02"/>
    <n v="937"/>
    <x v="0"/>
    <n v="25.2"/>
    <n v="2.2000000000000002"/>
    <x v="3"/>
    <n v="1"/>
    <n v="30.89"/>
    <s v="Obesity"/>
    <n v="918.62745098039215"/>
  </r>
  <r>
    <n v="556"/>
    <s v="Hyderabad"/>
    <n v="44"/>
    <s v="Female"/>
    <n v="72.099999999999994"/>
    <n v="1.66"/>
    <n v="176"/>
    <n v="152"/>
    <n v="55"/>
    <n v="1.4"/>
    <n v="958"/>
    <x v="3"/>
    <n v="27"/>
    <n v="2.5"/>
    <x v="3"/>
    <n v="1"/>
    <n v="26.16"/>
    <s v="Overweight"/>
    <n v="684.28571428571433"/>
  </r>
  <r>
    <n v="557"/>
    <s v="Mumbai"/>
    <n v="19"/>
    <s v="Male"/>
    <n v="56.9"/>
    <n v="1.87"/>
    <n v="178"/>
    <n v="138"/>
    <n v="70"/>
    <n v="0.61"/>
    <n v="463"/>
    <x v="2"/>
    <n v="23.3"/>
    <n v="3.7"/>
    <x v="1"/>
    <n v="1"/>
    <n v="16.27"/>
    <s v="Underweight"/>
    <n v="759.01639344262298"/>
  </r>
  <r>
    <n v="558"/>
    <s v="Kolkata"/>
    <n v="22"/>
    <s v="Male"/>
    <n v="86.2"/>
    <n v="1.9"/>
    <n v="186"/>
    <n v="128"/>
    <n v="58"/>
    <n v="1.91"/>
    <n v="1345"/>
    <x v="3"/>
    <n v="11.7"/>
    <n v="3.5"/>
    <x v="2"/>
    <n v="3"/>
    <n v="23.88"/>
    <s v="Normal Weight"/>
    <n v="704.18848167539272"/>
  </r>
  <r>
    <n v="559"/>
    <s v="Gurgaon"/>
    <n v="46"/>
    <s v="Male"/>
    <n v="59.4"/>
    <n v="1.68"/>
    <n v="165"/>
    <n v="147"/>
    <n v="62"/>
    <n v="1.1599999999999999"/>
    <n v="844"/>
    <x v="3"/>
    <n v="20.2"/>
    <n v="2.5"/>
    <x v="0"/>
    <n v="2"/>
    <n v="21.05"/>
    <s v="Normal Weight"/>
    <n v="727.58620689655174"/>
  </r>
  <r>
    <n v="560"/>
    <s v="Hyderabad"/>
    <n v="54"/>
    <s v="Female"/>
    <n v="75.599999999999994"/>
    <n v="1.72"/>
    <n v="194"/>
    <n v="154"/>
    <n v="60"/>
    <n v="0.97"/>
    <n v="672"/>
    <x v="2"/>
    <n v="26.4"/>
    <n v="1.9"/>
    <x v="1"/>
    <n v="1"/>
    <n v="25.55"/>
    <s v="Overweight"/>
    <n v="692.78350515463922"/>
  </r>
  <r>
    <n v="561"/>
    <s v="Hyderabad"/>
    <n v="55"/>
    <s v="Female"/>
    <n v="76.3"/>
    <n v="1.73"/>
    <n v="196"/>
    <n v="158"/>
    <n v="65"/>
    <n v="1.08"/>
    <n v="768"/>
    <x v="0"/>
    <n v="32"/>
    <n v="2.6"/>
    <x v="1"/>
    <n v="1"/>
    <n v="25.49"/>
    <s v="Overweight"/>
    <n v="711.11111111111109"/>
  </r>
  <r>
    <n v="562"/>
    <s v="Chennai"/>
    <n v="36"/>
    <s v="Male"/>
    <n v="95.8"/>
    <n v="1.86"/>
    <n v="193"/>
    <n v="129"/>
    <n v="65"/>
    <n v="1.37"/>
    <n v="972"/>
    <x v="1"/>
    <n v="21.2"/>
    <n v="3.2"/>
    <x v="1"/>
    <n v="1"/>
    <n v="27.69"/>
    <s v="Overweight"/>
    <n v="709.48905109489044"/>
  </r>
  <r>
    <n v="563"/>
    <s v="Bengaluru"/>
    <n v="25"/>
    <s v="Male"/>
    <n v="120.6"/>
    <n v="1.83"/>
    <n v="179"/>
    <n v="120"/>
    <n v="51"/>
    <n v="1.04"/>
    <n v="686"/>
    <x v="2"/>
    <n v="22.3"/>
    <n v="2.5"/>
    <x v="1"/>
    <n v="2"/>
    <n v="36.01"/>
    <s v="Obesity"/>
    <n v="659.61538461538464"/>
  </r>
  <r>
    <n v="564"/>
    <s v="Chennai"/>
    <n v="18"/>
    <s v="Female"/>
    <n v="65.3"/>
    <n v="1.55"/>
    <n v="184"/>
    <n v="161"/>
    <n v="59"/>
    <n v="1.42"/>
    <n v="1143"/>
    <x v="0"/>
    <n v="28.5"/>
    <n v="2.2000000000000002"/>
    <x v="1"/>
    <n v="2"/>
    <n v="27.18"/>
    <s v="Overweight"/>
    <n v="804.92957746478874"/>
  </r>
  <r>
    <n v="565"/>
    <s v="Kolkata"/>
    <n v="39"/>
    <s v="Male"/>
    <n v="85.3"/>
    <n v="1.89"/>
    <n v="163"/>
    <n v="140"/>
    <n v="61"/>
    <n v="0.77"/>
    <n v="593"/>
    <x v="3"/>
    <n v="27.6"/>
    <n v="3.6"/>
    <x v="3"/>
    <n v="1"/>
    <n v="23.88"/>
    <s v="Normal Weight"/>
    <n v="770.12987012987014"/>
  </r>
  <r>
    <n v="566"/>
    <s v="Noida"/>
    <n v="34"/>
    <s v="Male"/>
    <n v="68"/>
    <n v="1.68"/>
    <n v="169"/>
    <n v="128"/>
    <n v="57"/>
    <n v="0.67"/>
    <n v="472"/>
    <x v="2"/>
    <n v="25.8"/>
    <n v="3.4"/>
    <x v="3"/>
    <n v="1"/>
    <n v="24.09"/>
    <s v="Normal Weight"/>
    <n v="704.47761194029852"/>
  </r>
  <r>
    <n v="567"/>
    <s v="Noida"/>
    <n v="24"/>
    <s v="Female"/>
    <n v="52.6"/>
    <n v="1.57"/>
    <n v="169"/>
    <n v="166"/>
    <n v="60"/>
    <n v="1.29"/>
    <n v="1071"/>
    <x v="1"/>
    <n v="31.9"/>
    <n v="2.4"/>
    <x v="3"/>
    <n v="1"/>
    <n v="21.34"/>
    <s v="Normal Weight"/>
    <n v="830.23255813953483"/>
  </r>
  <r>
    <n v="568"/>
    <s v="Bengaluru"/>
    <n v="42"/>
    <s v="Male"/>
    <n v="63.3"/>
    <n v="1.77"/>
    <n v="183"/>
    <n v="134"/>
    <n v="59"/>
    <n v="1.32"/>
    <n v="876"/>
    <x v="1"/>
    <n v="25.7"/>
    <n v="3.3"/>
    <x v="1"/>
    <n v="2"/>
    <n v="20.2"/>
    <s v="Normal Weight"/>
    <n v="663.63636363636363"/>
  </r>
  <r>
    <n v="569"/>
    <s v="Kolkata"/>
    <n v="21"/>
    <s v="Female"/>
    <n v="76.3"/>
    <n v="1.65"/>
    <n v="180"/>
    <n v="154"/>
    <n v="62"/>
    <n v="1.1399999999999999"/>
    <n v="878"/>
    <x v="3"/>
    <n v="31.8"/>
    <n v="1.7"/>
    <x v="1"/>
    <n v="2"/>
    <n v="28.03"/>
    <s v="Overweight"/>
    <n v="770.17543859649129"/>
  </r>
  <r>
    <n v="570"/>
    <s v="Bengaluru"/>
    <n v="53"/>
    <s v="Male"/>
    <n v="61"/>
    <n v="1.63"/>
    <n v="170"/>
    <n v="124"/>
    <n v="74"/>
    <n v="0.54"/>
    <n v="331"/>
    <x v="2"/>
    <n v="20"/>
    <n v="3.4"/>
    <x v="1"/>
    <n v="1"/>
    <n v="22.96"/>
    <s v="Normal Weight"/>
    <n v="612.96296296296293"/>
  </r>
  <r>
    <n v="571"/>
    <s v="Delhi"/>
    <n v="23"/>
    <s v="Female"/>
    <n v="67.8"/>
    <n v="1.61"/>
    <n v="186"/>
    <n v="160"/>
    <n v="66"/>
    <n v="1.34"/>
    <n v="1072"/>
    <x v="1"/>
    <n v="34.299999999999997"/>
    <n v="1.8"/>
    <x v="3"/>
    <n v="1"/>
    <n v="26.16"/>
    <s v="Overweight"/>
    <n v="800"/>
  </r>
  <r>
    <n v="572"/>
    <s v="Noida"/>
    <n v="48"/>
    <s v="Male"/>
    <n v="114.9"/>
    <n v="1.86"/>
    <n v="175"/>
    <n v="141"/>
    <n v="56"/>
    <n v="1.36"/>
    <n v="949"/>
    <x v="2"/>
    <n v="21.1"/>
    <n v="3.6"/>
    <x v="1"/>
    <n v="1"/>
    <n v="33.21"/>
    <s v="Obesity"/>
    <n v="697.79411764705878"/>
  </r>
  <r>
    <n v="573"/>
    <s v="Hyderabad"/>
    <n v="36"/>
    <s v="Male"/>
    <n v="88"/>
    <n v="1.71"/>
    <n v="185"/>
    <n v="160"/>
    <n v="73"/>
    <n v="1.87"/>
    <n v="1646"/>
    <x v="1"/>
    <n v="12"/>
    <n v="3.5"/>
    <x v="2"/>
    <n v="3"/>
    <n v="30.09"/>
    <s v="Obesity"/>
    <n v="880.21390374331543"/>
  </r>
  <r>
    <n v="574"/>
    <s v="Ahmedabad"/>
    <n v="56"/>
    <s v="Female"/>
    <n v="67.7"/>
    <n v="1.58"/>
    <n v="189"/>
    <n v="142"/>
    <n v="52"/>
    <n v="1.45"/>
    <n v="927"/>
    <x v="3"/>
    <n v="32.700000000000003"/>
    <n v="1.9"/>
    <x v="3"/>
    <n v="1"/>
    <n v="27.12"/>
    <s v="Overweight"/>
    <n v="639.31034482758628"/>
  </r>
  <r>
    <n v="575"/>
    <s v="Gurgaon"/>
    <n v="44"/>
    <s v="Male"/>
    <n v="124.8"/>
    <n v="1.85"/>
    <n v="175"/>
    <n v="126"/>
    <n v="69"/>
    <n v="1.35"/>
    <n v="842"/>
    <x v="3"/>
    <n v="24.4"/>
    <n v="3.5"/>
    <x v="0"/>
    <n v="2"/>
    <n v="36.46"/>
    <s v="Obesity"/>
    <n v="623.7037037037037"/>
  </r>
  <r>
    <n v="576"/>
    <s v="Kolkata"/>
    <n v="27"/>
    <s v="Female"/>
    <n v="53"/>
    <n v="1.58"/>
    <n v="166"/>
    <n v="142"/>
    <n v="62"/>
    <n v="1.26"/>
    <n v="895"/>
    <x v="2"/>
    <n v="34.5"/>
    <n v="1.8"/>
    <x v="0"/>
    <n v="2"/>
    <n v="21.23"/>
    <s v="Normal Weight"/>
    <n v="710.31746031746036"/>
  </r>
  <r>
    <n v="577"/>
    <s v="Mumbai"/>
    <n v="43"/>
    <s v="Male"/>
    <n v="61.2"/>
    <n v="1.88"/>
    <n v="175"/>
    <n v="163"/>
    <n v="68"/>
    <n v="1.03"/>
    <n v="831"/>
    <x v="0"/>
    <n v="24.7"/>
    <n v="2.9"/>
    <x v="1"/>
    <n v="1"/>
    <n v="17.32"/>
    <s v="Underweight"/>
    <n v="806.79611650485435"/>
  </r>
  <r>
    <n v="578"/>
    <s v="Bengaluru"/>
    <n v="36"/>
    <s v="Female"/>
    <n v="48.7"/>
    <n v="1.68"/>
    <n v="194"/>
    <n v="144"/>
    <n v="56"/>
    <n v="1.23"/>
    <n v="886"/>
    <x v="0"/>
    <n v="33.700000000000003"/>
    <n v="1.6"/>
    <x v="1"/>
    <n v="1"/>
    <n v="17.25"/>
    <s v="Underweight"/>
    <n v="720.32520325203257"/>
  </r>
  <r>
    <n v="579"/>
    <s v="Gurgaon"/>
    <n v="56"/>
    <s v="Female"/>
    <n v="50.6"/>
    <n v="1.7"/>
    <n v="175"/>
    <n v="146"/>
    <n v="58"/>
    <n v="1.29"/>
    <n v="848"/>
    <x v="3"/>
    <n v="33.1"/>
    <n v="2.2999999999999998"/>
    <x v="3"/>
    <n v="1"/>
    <n v="17.510000000000002"/>
    <s v="Underweight"/>
    <n v="657.36434108527135"/>
  </r>
  <r>
    <n v="580"/>
    <s v="Mumbai"/>
    <n v="20"/>
    <s v="Female"/>
    <n v="72.599999999999994"/>
    <n v="1.73"/>
    <n v="199"/>
    <n v="160"/>
    <n v="68"/>
    <n v="1.27"/>
    <n v="1016"/>
    <x v="1"/>
    <n v="34.799999999999997"/>
    <n v="2.5"/>
    <x v="1"/>
    <n v="2"/>
    <n v="24.26"/>
    <s v="Normal Weight"/>
    <n v="800"/>
  </r>
  <r>
    <n v="581"/>
    <s v="Gurgaon"/>
    <n v="30"/>
    <s v="Female"/>
    <n v="70.400000000000006"/>
    <n v="1.56"/>
    <n v="171"/>
    <n v="125"/>
    <n v="62"/>
    <n v="1.03"/>
    <n v="644"/>
    <x v="0"/>
    <n v="34.299999999999997"/>
    <n v="2.4"/>
    <x v="0"/>
    <n v="2"/>
    <n v="28.93"/>
    <s v="Overweight"/>
    <n v="625.24271844660188"/>
  </r>
  <r>
    <n v="582"/>
    <s v="Ahmedabad"/>
    <n v="45"/>
    <s v="Male"/>
    <n v="52.5"/>
    <n v="1.88"/>
    <n v="194"/>
    <n v="153"/>
    <n v="71"/>
    <n v="1.08"/>
    <n v="818"/>
    <x v="3"/>
    <n v="29"/>
    <n v="2.9"/>
    <x v="0"/>
    <n v="2"/>
    <n v="14.85"/>
    <s v="Underweight"/>
    <n v="757.40740740740739"/>
  </r>
  <r>
    <n v="583"/>
    <s v="Mumbai"/>
    <n v="37"/>
    <s v="Male"/>
    <n v="76.3"/>
    <n v="1.77"/>
    <n v="180"/>
    <n v="128"/>
    <n v="57"/>
    <n v="1.36"/>
    <n v="957"/>
    <x v="1"/>
    <n v="27.3"/>
    <n v="2.1"/>
    <x v="0"/>
    <n v="2"/>
    <n v="24.35"/>
    <s v="Normal Weight"/>
    <n v="703.67647058823525"/>
  </r>
  <r>
    <n v="584"/>
    <s v="Chennai"/>
    <n v="45"/>
    <s v="Female"/>
    <n v="41.2"/>
    <n v="1.58"/>
    <n v="195"/>
    <n v="168"/>
    <n v="71"/>
    <n v="1.47"/>
    <n v="1111"/>
    <x v="1"/>
    <n v="28.7"/>
    <n v="2.6"/>
    <x v="3"/>
    <n v="1"/>
    <n v="16.5"/>
    <s v="Underweight"/>
    <n v="755.78231292517012"/>
  </r>
  <r>
    <n v="585"/>
    <s v="Pune"/>
    <n v="25"/>
    <s v="Female"/>
    <n v="55.3"/>
    <n v="1.76"/>
    <n v="176"/>
    <n v="152"/>
    <n v="67"/>
    <n v="1.56"/>
    <n v="1186"/>
    <x v="0"/>
    <n v="15.5"/>
    <n v="2.7"/>
    <x v="0"/>
    <n v="3"/>
    <n v="17.850000000000001"/>
    <s v="Underweight"/>
    <n v="760.25641025641028"/>
  </r>
  <r>
    <n v="586"/>
    <s v="Chennai"/>
    <n v="58"/>
    <s v="Female"/>
    <n v="49.7"/>
    <n v="1.67"/>
    <n v="191"/>
    <n v="125"/>
    <n v="72"/>
    <n v="1.38"/>
    <n v="776"/>
    <x v="3"/>
    <n v="31.9"/>
    <n v="2.2999999999999998"/>
    <x v="0"/>
    <n v="2"/>
    <n v="17.82"/>
    <s v="Underweight"/>
    <n v="562.31884057971024"/>
  </r>
  <r>
    <n v="587"/>
    <s v="Noida"/>
    <n v="56"/>
    <s v="Male"/>
    <n v="48.3"/>
    <n v="1.87"/>
    <n v="165"/>
    <n v="156"/>
    <n v="51"/>
    <n v="0.68"/>
    <n v="525"/>
    <x v="1"/>
    <n v="29.8"/>
    <n v="3.3"/>
    <x v="1"/>
    <n v="1"/>
    <n v="13.81"/>
    <s v="Underweight"/>
    <n v="772.05882352941171"/>
  </r>
  <r>
    <n v="588"/>
    <s v="Pune"/>
    <n v="18"/>
    <s v="Male"/>
    <n v="83.2"/>
    <n v="1.96"/>
    <n v="183"/>
    <n v="150"/>
    <n v="67"/>
    <n v="1.83"/>
    <n v="1510"/>
    <x v="1"/>
    <n v="13.6"/>
    <n v="3.5"/>
    <x v="0"/>
    <n v="3"/>
    <n v="21.66"/>
    <s v="Normal Weight"/>
    <n v="825.1366120218579"/>
  </r>
  <r>
    <n v="589"/>
    <s v="Chennai"/>
    <n v="20"/>
    <s v="Male"/>
    <n v="120.5"/>
    <n v="1.73"/>
    <n v="186"/>
    <n v="153"/>
    <n v="67"/>
    <n v="1.01"/>
    <n v="850"/>
    <x v="2"/>
    <n v="29.3"/>
    <n v="3.4"/>
    <x v="1"/>
    <n v="2"/>
    <n v="40.26"/>
    <s v="Obesity"/>
    <n v="841.58415841584156"/>
  </r>
  <r>
    <n v="590"/>
    <s v="Pune"/>
    <n v="30"/>
    <s v="Male"/>
    <n v="121.6"/>
    <n v="2"/>
    <n v="179"/>
    <n v="160"/>
    <n v="60"/>
    <n v="1.24"/>
    <n v="1091"/>
    <x v="2"/>
    <n v="28"/>
    <n v="3.3"/>
    <x v="0"/>
    <n v="2"/>
    <n v="30.4"/>
    <s v="Obesity"/>
    <n v="879.83870967741939"/>
  </r>
  <r>
    <n v="591"/>
    <s v="Pune"/>
    <n v="45"/>
    <s v="Female"/>
    <n v="73"/>
    <n v="1.75"/>
    <n v="184"/>
    <n v="148"/>
    <n v="50"/>
    <n v="1.1399999999999999"/>
    <n v="759"/>
    <x v="0"/>
    <n v="26.6"/>
    <n v="2"/>
    <x v="0"/>
    <n v="2"/>
    <n v="23.84"/>
    <s v="Normal Weight"/>
    <n v="665.78947368421063"/>
  </r>
  <r>
    <n v="592"/>
    <s v="Hyderabad"/>
    <n v="42"/>
    <s v="Female"/>
    <n v="57.5"/>
    <n v="1.67"/>
    <n v="161"/>
    <n v="133"/>
    <n v="63"/>
    <n v="1.76"/>
    <n v="1053"/>
    <x v="2"/>
    <n v="16.2"/>
    <n v="2.7"/>
    <x v="2"/>
    <n v="3"/>
    <n v="20.62"/>
    <s v="Normal Weight"/>
    <n v="598.2954545454545"/>
  </r>
  <r>
    <n v="593"/>
    <s v="Bengaluru"/>
    <n v="50"/>
    <s v="Female"/>
    <n v="42.7"/>
    <n v="1.53"/>
    <n v="168"/>
    <n v="155"/>
    <n v="65"/>
    <n v="1.41"/>
    <n v="983"/>
    <x v="3"/>
    <n v="28.4"/>
    <n v="2.4"/>
    <x v="0"/>
    <n v="2"/>
    <n v="18.239999999999998"/>
    <s v="Underweight"/>
    <n v="697.16312056737593"/>
  </r>
  <r>
    <n v="594"/>
    <s v="Bengaluru"/>
    <n v="55"/>
    <s v="Male"/>
    <n v="129.9"/>
    <n v="1.73"/>
    <n v="187"/>
    <n v="155"/>
    <n v="60"/>
    <n v="0.69"/>
    <n v="529"/>
    <x v="0"/>
    <n v="21.7"/>
    <n v="3.1"/>
    <x v="1"/>
    <n v="1"/>
    <n v="43.4"/>
    <s v="Obesity"/>
    <n v="766.66666666666674"/>
  </r>
  <r>
    <n v="595"/>
    <s v="Hyderabad"/>
    <n v="23"/>
    <s v="Male"/>
    <n v="108.6"/>
    <n v="1.92"/>
    <n v="197"/>
    <n v="134"/>
    <n v="50"/>
    <n v="0.89"/>
    <n v="656"/>
    <x v="0"/>
    <n v="25.8"/>
    <n v="3.5"/>
    <x v="3"/>
    <n v="1"/>
    <n v="29.46"/>
    <s v="Overweight"/>
    <n v="737.0786516853932"/>
  </r>
  <r>
    <n v="596"/>
    <s v="Gurgaon"/>
    <n v="49"/>
    <s v="Male"/>
    <n v="88.6"/>
    <n v="2"/>
    <n v="162"/>
    <n v="127"/>
    <n v="56"/>
    <n v="1.83"/>
    <n v="1150"/>
    <x v="2"/>
    <n v="14.9"/>
    <n v="3.5"/>
    <x v="0"/>
    <n v="3"/>
    <n v="22.15"/>
    <s v="Normal Weight"/>
    <n v="628.41530054644807"/>
  </r>
  <r>
    <n v="597"/>
    <s v="Delhi"/>
    <n v="38"/>
    <s v="Female"/>
    <n v="49.7"/>
    <n v="1.51"/>
    <n v="179"/>
    <n v="145"/>
    <n v="65"/>
    <n v="1.25"/>
    <n v="906"/>
    <x v="1"/>
    <n v="32.6"/>
    <n v="2.5"/>
    <x v="1"/>
    <n v="1"/>
    <n v="21.8"/>
    <s v="Normal Weight"/>
    <n v="724.8"/>
  </r>
  <r>
    <n v="598"/>
    <s v="Gurgaon"/>
    <n v="33"/>
    <s v="Female"/>
    <n v="56.4"/>
    <n v="1.54"/>
    <n v="165"/>
    <n v="155"/>
    <n v="63"/>
    <n v="1.06"/>
    <n v="822"/>
    <x v="3"/>
    <n v="29.2"/>
    <n v="1.5"/>
    <x v="1"/>
    <n v="1"/>
    <n v="23.78"/>
    <s v="Normal Weight"/>
    <n v="775.47169811320748"/>
  </r>
  <r>
    <n v="599"/>
    <s v="Mumbai"/>
    <n v="38"/>
    <s v="Male"/>
    <n v="46.9"/>
    <n v="1.74"/>
    <n v="198"/>
    <n v="167"/>
    <n v="64"/>
    <n v="1.03"/>
    <n v="946"/>
    <x v="3"/>
    <n v="20"/>
    <n v="2.6"/>
    <x v="0"/>
    <n v="2"/>
    <n v="15.49"/>
    <s v="Underweight"/>
    <n v="918.44660194174753"/>
  </r>
  <r>
    <n v="600"/>
    <s v="Mumbai"/>
    <n v="28"/>
    <s v="Female"/>
    <n v="71.3"/>
    <n v="1.67"/>
    <n v="192"/>
    <n v="140"/>
    <n v="63"/>
    <n v="1.46"/>
    <n v="1022"/>
    <x v="3"/>
    <n v="28.1"/>
    <n v="1.5"/>
    <x v="0"/>
    <n v="2"/>
    <n v="25.57"/>
    <s v="Overweight"/>
    <n v="700"/>
  </r>
  <r>
    <n v="601"/>
    <s v="Pune"/>
    <n v="54"/>
    <s v="Male"/>
    <n v="71.599999999999994"/>
    <n v="1.86"/>
    <n v="160"/>
    <n v="147"/>
    <n v="70"/>
    <n v="1.1399999999999999"/>
    <n v="830"/>
    <x v="0"/>
    <n v="25.3"/>
    <n v="2.2000000000000002"/>
    <x v="1"/>
    <n v="2"/>
    <n v="20.7"/>
    <s v="Normal Weight"/>
    <n v="728.07017543859661"/>
  </r>
  <r>
    <n v="602"/>
    <s v="Chennai"/>
    <n v="53"/>
    <s v="Male"/>
    <n v="82.3"/>
    <n v="1.61"/>
    <n v="196"/>
    <n v="123"/>
    <n v="60"/>
    <n v="1.87"/>
    <n v="1139"/>
    <x v="3"/>
    <n v="11.6"/>
    <n v="3.5"/>
    <x v="2"/>
    <n v="3"/>
    <n v="31.75"/>
    <s v="Obesity"/>
    <n v="609.09090909090901"/>
  </r>
  <r>
    <n v="603"/>
    <s v="Chennai"/>
    <n v="52"/>
    <s v="Female"/>
    <n v="70.599999999999994"/>
    <n v="1.69"/>
    <n v="165"/>
    <n v="135"/>
    <n v="65"/>
    <n v="1.36"/>
    <n v="826"/>
    <x v="1"/>
    <n v="26.1"/>
    <n v="2.2000000000000002"/>
    <x v="1"/>
    <n v="1"/>
    <n v="24.72"/>
    <s v="Normal Weight"/>
    <n v="607.35294117647049"/>
  </r>
  <r>
    <n v="604"/>
    <s v="Bengaluru"/>
    <n v="36"/>
    <s v="Male"/>
    <n v="109.8"/>
    <n v="1.62"/>
    <n v="193"/>
    <n v="141"/>
    <n v="68"/>
    <n v="0.84"/>
    <n v="651"/>
    <x v="1"/>
    <n v="24.4"/>
    <n v="3.5"/>
    <x v="1"/>
    <n v="1"/>
    <n v="41.84"/>
    <s v="Obesity"/>
    <n v="775"/>
  </r>
  <r>
    <n v="605"/>
    <s v="Kolkata"/>
    <n v="37"/>
    <s v="Female"/>
    <n v="73.5"/>
    <n v="1.69"/>
    <n v="174"/>
    <n v="131"/>
    <n v="66"/>
    <n v="0.54"/>
    <n v="354"/>
    <x v="2"/>
    <n v="27.5"/>
    <n v="1.6"/>
    <x v="3"/>
    <n v="1"/>
    <n v="25.73"/>
    <s v="Overweight"/>
    <n v="655.55555555555554"/>
  </r>
  <r>
    <n v="606"/>
    <s v="Gurgaon"/>
    <n v="35"/>
    <s v="Male"/>
    <n v="85.6"/>
    <n v="1.85"/>
    <n v="185"/>
    <n v="135"/>
    <n v="55"/>
    <n v="1.78"/>
    <n v="1322"/>
    <x v="3"/>
    <n v="14.5"/>
    <n v="3.5"/>
    <x v="2"/>
    <n v="3"/>
    <n v="25.01"/>
    <s v="Overweight"/>
    <n v="742.69662921348311"/>
  </r>
  <r>
    <n v="607"/>
    <s v="Noida"/>
    <n v="58"/>
    <s v="Female"/>
    <n v="74.599999999999994"/>
    <n v="1.68"/>
    <n v="173"/>
    <n v="159"/>
    <n v="60"/>
    <n v="1.03"/>
    <n v="737"/>
    <x v="0"/>
    <n v="26"/>
    <n v="2"/>
    <x v="0"/>
    <n v="2"/>
    <n v="26.43"/>
    <s v="Overweight"/>
    <n v="715.53398058252424"/>
  </r>
  <r>
    <n v="608"/>
    <s v="Ahmedabad"/>
    <n v="31"/>
    <s v="Female"/>
    <n v="63.2"/>
    <n v="1.8"/>
    <n v="166"/>
    <n v="157"/>
    <n v="66"/>
    <n v="0.59"/>
    <n v="463"/>
    <x v="2"/>
    <n v="25.5"/>
    <n v="2.6"/>
    <x v="3"/>
    <n v="1"/>
    <n v="19.510000000000002"/>
    <s v="Normal Weight"/>
    <n v="784.74576271186447"/>
  </r>
  <r>
    <n v="609"/>
    <s v="Chennai"/>
    <n v="32"/>
    <s v="Female"/>
    <n v="62.6"/>
    <n v="1.63"/>
    <n v="190"/>
    <n v="161"/>
    <n v="58"/>
    <n v="1.67"/>
    <n v="1344"/>
    <x v="1"/>
    <n v="15"/>
    <n v="2.7"/>
    <x v="2"/>
    <n v="3"/>
    <n v="23.56"/>
    <s v="Normal Weight"/>
    <n v="804.79041916167671"/>
  </r>
  <r>
    <n v="610"/>
    <s v="Ahmedabad"/>
    <n v="48"/>
    <s v="Male"/>
    <n v="87.1"/>
    <n v="1.76"/>
    <n v="183"/>
    <n v="156"/>
    <n v="67"/>
    <n v="1.81"/>
    <n v="1398"/>
    <x v="3"/>
    <n v="11.6"/>
    <n v="3.5"/>
    <x v="2"/>
    <n v="3"/>
    <n v="28.12"/>
    <s v="Overweight"/>
    <n v="772.37569060773478"/>
  </r>
  <r>
    <n v="611"/>
    <s v="Pune"/>
    <n v="18"/>
    <s v="Male"/>
    <n v="82.3"/>
    <n v="1.84"/>
    <n v="190"/>
    <n v="148"/>
    <n v="66"/>
    <n v="1.73"/>
    <n v="1408"/>
    <x v="1"/>
    <n v="13.3"/>
    <n v="3.5"/>
    <x v="2"/>
    <n v="3"/>
    <n v="24.31"/>
    <s v="Normal Weight"/>
    <n v="813.87283236994222"/>
  </r>
  <r>
    <n v="612"/>
    <s v="Ahmedabad"/>
    <n v="20"/>
    <s v="Female"/>
    <n v="64.3"/>
    <n v="1.78"/>
    <n v="188"/>
    <n v="137"/>
    <n v="61"/>
    <n v="1.71"/>
    <n v="1171"/>
    <x v="2"/>
    <n v="18.7"/>
    <n v="2.7"/>
    <x v="0"/>
    <n v="3"/>
    <n v="20.29"/>
    <s v="Normal Weight"/>
    <n v="684.79532163742692"/>
  </r>
  <r>
    <n v="613"/>
    <s v="Noida"/>
    <n v="33"/>
    <s v="Female"/>
    <n v="53.7"/>
    <n v="1.66"/>
    <n v="191"/>
    <n v="129"/>
    <n v="72"/>
    <n v="1.25"/>
    <n v="806"/>
    <x v="1"/>
    <n v="29.5"/>
    <n v="2.5"/>
    <x v="1"/>
    <n v="1"/>
    <n v="19.489999999999998"/>
    <s v="Normal Weight"/>
    <n v="644.79999999999995"/>
  </r>
  <r>
    <n v="614"/>
    <s v="Hyderabad"/>
    <n v="40"/>
    <s v="Male"/>
    <n v="63"/>
    <n v="2"/>
    <n v="176"/>
    <n v="161"/>
    <n v="71"/>
    <n v="1.42"/>
    <n v="1257"/>
    <x v="3"/>
    <n v="26.8"/>
    <n v="2.9"/>
    <x v="0"/>
    <n v="2"/>
    <n v="15.75"/>
    <s v="Underweight"/>
    <n v="885.21126760563379"/>
  </r>
  <r>
    <n v="615"/>
    <s v="Noida"/>
    <n v="28"/>
    <s v="Male"/>
    <n v="128.4"/>
    <n v="1.86"/>
    <n v="173"/>
    <n v="158"/>
    <n v="71"/>
    <n v="1.06"/>
    <n v="921"/>
    <x v="3"/>
    <n v="23.6"/>
    <n v="3.3"/>
    <x v="0"/>
    <n v="2"/>
    <n v="37.11"/>
    <s v="Obesity"/>
    <n v="868.86792452830184"/>
  </r>
  <r>
    <n v="616"/>
    <s v="Ahmedabad"/>
    <n v="29"/>
    <s v="Male"/>
    <n v="88"/>
    <n v="1.89"/>
    <n v="199"/>
    <n v="137"/>
    <n v="54"/>
    <n v="1.75"/>
    <n v="1319"/>
    <x v="2"/>
    <n v="13.3"/>
    <n v="3.5"/>
    <x v="2"/>
    <n v="3"/>
    <n v="24.64"/>
    <s v="Normal Weight"/>
    <n v="753.71428571428567"/>
  </r>
  <r>
    <n v="617"/>
    <s v="Noida"/>
    <n v="27"/>
    <s v="Female"/>
    <n v="63.7"/>
    <n v="1.52"/>
    <n v="195"/>
    <n v="120"/>
    <n v="60"/>
    <n v="1.19"/>
    <n v="714"/>
    <x v="3"/>
    <n v="25.4"/>
    <n v="2.1"/>
    <x v="0"/>
    <n v="2"/>
    <n v="27.57"/>
    <s v="Overweight"/>
    <n v="600"/>
  </r>
  <r>
    <n v="618"/>
    <s v="Delhi"/>
    <n v="49"/>
    <s v="Male"/>
    <n v="83.7"/>
    <n v="1.87"/>
    <n v="183"/>
    <n v="158"/>
    <n v="53"/>
    <n v="1.29"/>
    <n v="1009"/>
    <x v="1"/>
    <n v="23.9"/>
    <n v="2.2999999999999998"/>
    <x v="0"/>
    <n v="2"/>
    <n v="23.94"/>
    <s v="Normal Weight"/>
    <n v="782.17054263565888"/>
  </r>
  <r>
    <n v="619"/>
    <s v="Pune"/>
    <n v="33"/>
    <s v="Male"/>
    <n v="102.6"/>
    <n v="1.75"/>
    <n v="186"/>
    <n v="140"/>
    <n v="53"/>
    <n v="1.4"/>
    <n v="1078"/>
    <x v="1"/>
    <n v="27.9"/>
    <n v="2.2000000000000002"/>
    <x v="1"/>
    <n v="2"/>
    <n v="33.5"/>
    <s v="Obesity"/>
    <n v="770"/>
  </r>
  <r>
    <n v="620"/>
    <s v="Gurgaon"/>
    <n v="25"/>
    <s v="Female"/>
    <n v="77.7"/>
    <n v="1.55"/>
    <n v="184"/>
    <n v="120"/>
    <n v="52"/>
    <n v="0.55000000000000004"/>
    <n v="330"/>
    <x v="0"/>
    <n v="33"/>
    <n v="1.7"/>
    <x v="3"/>
    <n v="1"/>
    <n v="32.340000000000003"/>
    <s v="Obesity"/>
    <n v="600"/>
  </r>
  <r>
    <n v="621"/>
    <s v="Hyderabad"/>
    <n v="55"/>
    <s v="Male"/>
    <n v="87.5"/>
    <n v="1.88"/>
    <n v="191"/>
    <n v="134"/>
    <n v="73"/>
    <n v="1.19"/>
    <n v="789"/>
    <x v="0"/>
    <n v="27.2"/>
    <n v="2.6"/>
    <x v="0"/>
    <n v="2"/>
    <n v="24.76"/>
    <s v="Normal Weight"/>
    <n v="663.02521008403369"/>
  </r>
  <r>
    <n v="622"/>
    <s v="Chennai"/>
    <n v="29"/>
    <s v="Male"/>
    <n v="87"/>
    <n v="1.86"/>
    <n v="177"/>
    <n v="123"/>
    <n v="72"/>
    <n v="1.52"/>
    <n v="1028"/>
    <x v="0"/>
    <n v="11"/>
    <n v="3.5"/>
    <x v="0"/>
    <n v="3"/>
    <n v="25.15"/>
    <s v="Overweight"/>
    <n v="676.31578947368416"/>
  </r>
  <r>
    <n v="623"/>
    <s v="Mumbai"/>
    <n v="41"/>
    <s v="Male"/>
    <n v="82.8"/>
    <n v="1.66"/>
    <n v="177"/>
    <n v="139"/>
    <n v="74"/>
    <n v="1.97"/>
    <n v="1355"/>
    <x v="1"/>
    <n v="11.2"/>
    <n v="3.5"/>
    <x v="2"/>
    <n v="3"/>
    <n v="30.05"/>
    <s v="Obesity"/>
    <n v="687.81725888324877"/>
  </r>
  <r>
    <n v="624"/>
    <s v="Gurgaon"/>
    <n v="45"/>
    <s v="Female"/>
    <n v="65.400000000000006"/>
    <n v="1.68"/>
    <n v="196"/>
    <n v="129"/>
    <n v="66"/>
    <n v="0.76"/>
    <n v="441"/>
    <x v="1"/>
    <n v="35"/>
    <n v="2.6"/>
    <x v="1"/>
    <n v="1"/>
    <n v="23.17"/>
    <s v="Normal Weight"/>
    <n v="580.26315789473688"/>
  </r>
  <r>
    <n v="625"/>
    <s v="Mumbai"/>
    <n v="25"/>
    <s v="Female"/>
    <n v="47.2"/>
    <n v="1.71"/>
    <n v="185"/>
    <n v="142"/>
    <n v="56"/>
    <n v="0.89"/>
    <n v="632"/>
    <x v="2"/>
    <n v="26"/>
    <n v="2.5"/>
    <x v="3"/>
    <n v="1"/>
    <n v="16.14"/>
    <s v="Underweight"/>
    <n v="710.11235955056179"/>
  </r>
  <r>
    <n v="626"/>
    <s v="Pune"/>
    <n v="45"/>
    <s v="Female"/>
    <n v="58.2"/>
    <n v="1.7"/>
    <n v="168"/>
    <n v="160"/>
    <n v="53"/>
    <n v="0.95"/>
    <n v="684"/>
    <x v="0"/>
    <n v="26.8"/>
    <n v="2"/>
    <x v="1"/>
    <n v="1"/>
    <n v="20.14"/>
    <s v="Normal Weight"/>
    <n v="720"/>
  </r>
  <r>
    <n v="627"/>
    <s v="Hyderabad"/>
    <n v="53"/>
    <s v="Female"/>
    <n v="73.5"/>
    <n v="1.55"/>
    <n v="194"/>
    <n v="153"/>
    <n v="72"/>
    <n v="1.17"/>
    <n v="806"/>
    <x v="1"/>
    <n v="26.3"/>
    <n v="2.1"/>
    <x v="0"/>
    <n v="2"/>
    <n v="30.59"/>
    <s v="Obesity"/>
    <n v="688.88888888888891"/>
  </r>
  <r>
    <n v="628"/>
    <s v="Bengaluru"/>
    <n v="43"/>
    <s v="Female"/>
    <n v="55.2"/>
    <n v="1.73"/>
    <n v="167"/>
    <n v="165"/>
    <n v="62"/>
    <n v="1.67"/>
    <n v="1240"/>
    <x v="2"/>
    <n v="16.600000000000001"/>
    <n v="2.7"/>
    <x v="2"/>
    <n v="3"/>
    <n v="18.440000000000001"/>
    <s v="Underweight"/>
    <n v="742.51497005988028"/>
  </r>
  <r>
    <n v="629"/>
    <s v="Chennai"/>
    <n v="25"/>
    <s v="Female"/>
    <n v="64.400000000000006"/>
    <n v="1.71"/>
    <n v="179"/>
    <n v="167"/>
    <n v="61"/>
    <n v="1.1200000000000001"/>
    <n v="935"/>
    <x v="1"/>
    <n v="27.1"/>
    <n v="1.8"/>
    <x v="1"/>
    <n v="1"/>
    <n v="22.02"/>
    <s v="Normal Weight"/>
    <n v="834.82142857142844"/>
  </r>
  <r>
    <n v="630"/>
    <s v="Delhi"/>
    <n v="45"/>
    <s v="Female"/>
    <n v="73.5"/>
    <n v="1.74"/>
    <n v="181"/>
    <n v="152"/>
    <n v="50"/>
    <n v="1.18"/>
    <n v="807"/>
    <x v="2"/>
    <n v="30"/>
    <n v="2.2999999999999998"/>
    <x v="0"/>
    <n v="2"/>
    <n v="24.28"/>
    <s v="Normal Weight"/>
    <n v="683.89830508474574"/>
  </r>
  <r>
    <n v="631"/>
    <s v="Bengaluru"/>
    <n v="45"/>
    <s v="Male"/>
    <n v="89.6"/>
    <n v="1.81"/>
    <n v="178"/>
    <n v="153"/>
    <n v="70"/>
    <n v="1.7"/>
    <n v="1287"/>
    <x v="0"/>
    <n v="12.4"/>
    <n v="3.5"/>
    <x v="2"/>
    <n v="3"/>
    <n v="27.35"/>
    <s v="Overweight"/>
    <n v="757.05882352941182"/>
  </r>
  <r>
    <n v="632"/>
    <s v="Pune"/>
    <n v="54"/>
    <s v="Male"/>
    <n v="86.5"/>
    <n v="1.76"/>
    <n v="189"/>
    <n v="158"/>
    <n v="68"/>
    <n v="1.48"/>
    <n v="1158"/>
    <x v="0"/>
    <n v="29"/>
    <n v="3.4"/>
    <x v="1"/>
    <n v="2"/>
    <n v="27.92"/>
    <s v="Overweight"/>
    <n v="782.43243243243239"/>
  </r>
  <r>
    <n v="633"/>
    <s v="Gurgaon"/>
    <n v="58"/>
    <s v="Female"/>
    <n v="46.1"/>
    <n v="1.67"/>
    <n v="187"/>
    <n v="129"/>
    <n v="70"/>
    <n v="1.28"/>
    <n v="743"/>
    <x v="0"/>
    <n v="25.3"/>
    <n v="1.8"/>
    <x v="0"/>
    <n v="2"/>
    <n v="16.53"/>
    <s v="Underweight"/>
    <n v="580.46875"/>
  </r>
  <r>
    <n v="634"/>
    <s v="Delhi"/>
    <n v="53"/>
    <s v="Male"/>
    <n v="68.5"/>
    <n v="1.97"/>
    <n v="194"/>
    <n v="139"/>
    <n v="69"/>
    <n v="1.3"/>
    <n v="894"/>
    <x v="1"/>
    <n v="23.2"/>
    <n v="2.1"/>
    <x v="1"/>
    <n v="2"/>
    <n v="17.649999999999999"/>
    <s v="Underweight"/>
    <n v="687.69230769230762"/>
  </r>
  <r>
    <n v="635"/>
    <s v="Noida"/>
    <n v="44"/>
    <s v="Male"/>
    <n v="94.6"/>
    <n v="1.84"/>
    <n v="170"/>
    <n v="120"/>
    <n v="67"/>
    <n v="1.26"/>
    <n v="748"/>
    <x v="1"/>
    <n v="26"/>
    <n v="3.1"/>
    <x v="0"/>
    <n v="2"/>
    <n v="27.94"/>
    <s v="Overweight"/>
    <n v="593.65079365079362"/>
  </r>
  <r>
    <n v="636"/>
    <s v="Ahmedabad"/>
    <n v="34"/>
    <s v="Female"/>
    <n v="54.2"/>
    <n v="1.52"/>
    <n v="190"/>
    <n v="132"/>
    <n v="60"/>
    <n v="1.1299999999999999"/>
    <n v="746"/>
    <x v="2"/>
    <n v="31"/>
    <n v="2.2000000000000002"/>
    <x v="1"/>
    <n v="1"/>
    <n v="23.46"/>
    <s v="Normal Weight"/>
    <n v="660.17699115044252"/>
  </r>
  <r>
    <n v="637"/>
    <s v="Delhi"/>
    <n v="26"/>
    <s v="Male"/>
    <n v="47.7"/>
    <n v="1.77"/>
    <n v="198"/>
    <n v="120"/>
    <n v="69"/>
    <n v="1.1499999999999999"/>
    <n v="759"/>
    <x v="3"/>
    <n v="24.8"/>
    <n v="2.7"/>
    <x v="1"/>
    <n v="2"/>
    <n v="15.23"/>
    <s v="Underweight"/>
    <n v="660"/>
  </r>
  <r>
    <n v="638"/>
    <s v="Pune"/>
    <n v="50"/>
    <s v="Male"/>
    <n v="52.2"/>
    <n v="1.84"/>
    <n v="195"/>
    <n v="124"/>
    <n v="52"/>
    <n v="1.38"/>
    <n v="847"/>
    <x v="3"/>
    <n v="28.2"/>
    <n v="3.1"/>
    <x v="0"/>
    <n v="2"/>
    <n v="15.42"/>
    <s v="Underweight"/>
    <n v="613.768115942029"/>
  </r>
  <r>
    <n v="639"/>
    <s v="Kolkata"/>
    <n v="37"/>
    <s v="Male"/>
    <n v="88.8"/>
    <n v="1.95"/>
    <n v="189"/>
    <n v="135"/>
    <n v="66"/>
    <n v="1.58"/>
    <n v="1173"/>
    <x v="0"/>
    <n v="10.3"/>
    <n v="3.5"/>
    <x v="2"/>
    <n v="3"/>
    <n v="23.35"/>
    <s v="Normal Weight"/>
    <n v="742.40506329113919"/>
  </r>
  <r>
    <n v="640"/>
    <s v="Ahmedabad"/>
    <n v="30"/>
    <s v="Male"/>
    <n v="101"/>
    <n v="1.68"/>
    <n v="182"/>
    <n v="134"/>
    <n v="61"/>
    <n v="1.46"/>
    <n v="1076"/>
    <x v="3"/>
    <n v="28.2"/>
    <n v="2.9"/>
    <x v="0"/>
    <n v="2"/>
    <n v="35.79"/>
    <s v="Obesity"/>
    <n v="736.98630136986299"/>
  </r>
  <r>
    <n v="641"/>
    <s v="Mumbai"/>
    <n v="45"/>
    <s v="Male"/>
    <n v="118.4"/>
    <n v="1.95"/>
    <n v="178"/>
    <n v="168"/>
    <n v="59"/>
    <n v="1.06"/>
    <n v="881"/>
    <x v="0"/>
    <n v="24.9"/>
    <n v="2.4"/>
    <x v="1"/>
    <n v="2"/>
    <n v="31.14"/>
    <s v="Obesity"/>
    <n v="831.13207547169804"/>
  </r>
  <r>
    <n v="642"/>
    <s v="Chennai"/>
    <n v="46"/>
    <s v="Female"/>
    <n v="47.9"/>
    <n v="1.72"/>
    <n v="171"/>
    <n v="147"/>
    <n v="57"/>
    <n v="1.41"/>
    <n v="933"/>
    <x v="2"/>
    <n v="26.3"/>
    <n v="2"/>
    <x v="1"/>
    <n v="1"/>
    <n v="16.190000000000001"/>
    <s v="Underweight"/>
    <n v="661.70212765957456"/>
  </r>
  <r>
    <n v="643"/>
    <s v="Mumbai"/>
    <n v="30"/>
    <s v="Female"/>
    <n v="51.5"/>
    <n v="1.74"/>
    <n v="174"/>
    <n v="150"/>
    <n v="64"/>
    <n v="1.08"/>
    <n v="810"/>
    <x v="3"/>
    <n v="33.9"/>
    <n v="2"/>
    <x v="1"/>
    <n v="2"/>
    <n v="17.010000000000002"/>
    <s v="Underweight"/>
    <n v="750"/>
  </r>
  <r>
    <n v="644"/>
    <s v="Delhi"/>
    <n v="52"/>
    <s v="Female"/>
    <n v="79.900000000000006"/>
    <n v="1.51"/>
    <n v="190"/>
    <n v="142"/>
    <n v="54"/>
    <n v="0.75"/>
    <n v="479"/>
    <x v="3"/>
    <n v="31.5"/>
    <n v="2.6"/>
    <x v="1"/>
    <n v="1"/>
    <n v="35.04"/>
    <s v="Obesity"/>
    <n v="638.66666666666663"/>
  </r>
  <r>
    <n v="645"/>
    <s v="Mumbai"/>
    <n v="23"/>
    <s v="Male"/>
    <n v="121.3"/>
    <n v="1.85"/>
    <n v="196"/>
    <n v="167"/>
    <n v="53"/>
    <n v="0.72"/>
    <n v="661"/>
    <x v="0"/>
    <n v="21.6"/>
    <n v="3.6"/>
    <x v="3"/>
    <n v="1"/>
    <n v="35.44"/>
    <s v="Obesity"/>
    <n v="918.05555555555554"/>
  </r>
  <r>
    <n v="646"/>
    <s v="Pune"/>
    <n v="35"/>
    <s v="Female"/>
    <n v="78.900000000000006"/>
    <n v="1.64"/>
    <n v="196"/>
    <n v="164"/>
    <n v="70"/>
    <n v="1.28"/>
    <n v="1050"/>
    <x v="2"/>
    <n v="25.3"/>
    <n v="2.6"/>
    <x v="0"/>
    <n v="2"/>
    <n v="29.34"/>
    <s v="Overweight"/>
    <n v="820.3125"/>
  </r>
  <r>
    <n v="647"/>
    <s v="Noida"/>
    <n v="22"/>
    <s v="Male"/>
    <n v="88.5"/>
    <n v="1.62"/>
    <n v="174"/>
    <n v="162"/>
    <n v="69"/>
    <n v="1.88"/>
    <n v="1675"/>
    <x v="3"/>
    <n v="10.7"/>
    <n v="3.5"/>
    <x v="2"/>
    <n v="3"/>
    <n v="33.72"/>
    <s v="Obesity"/>
    <n v="890.95744680851067"/>
  </r>
  <r>
    <n v="648"/>
    <s v="Gurgaon"/>
    <n v="42"/>
    <s v="Male"/>
    <n v="73.5"/>
    <n v="1.63"/>
    <n v="188"/>
    <n v="136"/>
    <n v="68"/>
    <n v="0.52"/>
    <n v="350"/>
    <x v="3"/>
    <n v="26.1"/>
    <n v="3.2"/>
    <x v="1"/>
    <n v="1"/>
    <n v="27.66"/>
    <s v="Overweight"/>
    <n v="673.07692307692309"/>
  </r>
  <r>
    <n v="649"/>
    <s v="Chennai"/>
    <n v="19"/>
    <s v="Male"/>
    <n v="127.9"/>
    <n v="1.93"/>
    <n v="185"/>
    <n v="168"/>
    <n v="70"/>
    <n v="1.27"/>
    <n v="1173"/>
    <x v="3"/>
    <n v="21.8"/>
    <n v="3"/>
    <x v="0"/>
    <n v="2"/>
    <n v="34.340000000000003"/>
    <s v="Obesity"/>
    <n v="923.62204724409446"/>
  </r>
  <r>
    <n v="650"/>
    <s v="Mumbai"/>
    <n v="27"/>
    <s v="Male"/>
    <n v="88.5"/>
    <n v="1.98"/>
    <n v="161"/>
    <n v="153"/>
    <n v="53"/>
    <n v="1.8"/>
    <n v="1515"/>
    <x v="2"/>
    <n v="11.1"/>
    <n v="3.5"/>
    <x v="0"/>
    <n v="3"/>
    <n v="22.57"/>
    <s v="Normal Weight"/>
    <n v="841.66666666666663"/>
  </r>
  <r>
    <n v="651"/>
    <s v="Mumbai"/>
    <n v="47"/>
    <s v="Female"/>
    <n v="43.4"/>
    <n v="1.62"/>
    <n v="179"/>
    <n v="132"/>
    <n v="64"/>
    <n v="0.51"/>
    <n v="303"/>
    <x v="2"/>
    <n v="25.3"/>
    <n v="2.2999999999999998"/>
    <x v="1"/>
    <n v="1"/>
    <n v="16.54"/>
    <s v="Underweight"/>
    <n v="594.11764705882354"/>
  </r>
  <r>
    <n v="652"/>
    <s v="Delhi"/>
    <n v="22"/>
    <s v="Female"/>
    <n v="42.8"/>
    <n v="1.56"/>
    <n v="174"/>
    <n v="133"/>
    <n v="66"/>
    <n v="1.47"/>
    <n v="978"/>
    <x v="3"/>
    <n v="32.200000000000003"/>
    <n v="2.6"/>
    <x v="1"/>
    <n v="2"/>
    <n v="17.59"/>
    <s v="Underweight"/>
    <n v="665.30612244897964"/>
  </r>
  <r>
    <n v="653"/>
    <s v="Gurgaon"/>
    <n v="50"/>
    <s v="Male"/>
    <n v="64.5"/>
    <n v="1.79"/>
    <n v="163"/>
    <n v="130"/>
    <n v="61"/>
    <n v="1.17"/>
    <n v="753"/>
    <x v="0"/>
    <n v="28.1"/>
    <n v="2.4"/>
    <x v="0"/>
    <n v="2"/>
    <n v="20.13"/>
    <s v="Normal Weight"/>
    <n v="643.58974358974365"/>
  </r>
  <r>
    <n v="654"/>
    <s v="Bengaluru"/>
    <n v="18"/>
    <s v="Female"/>
    <n v="50.7"/>
    <n v="1.53"/>
    <n v="181"/>
    <n v="147"/>
    <n v="52"/>
    <n v="1.29"/>
    <n v="948"/>
    <x v="0"/>
    <n v="33"/>
    <n v="2.1"/>
    <x v="1"/>
    <n v="2"/>
    <n v="21.66"/>
    <s v="Normal Weight"/>
    <n v="734.88372093023258"/>
  </r>
  <r>
    <n v="655"/>
    <s v="Mumbai"/>
    <n v="35"/>
    <s v="Male"/>
    <n v="59.2"/>
    <n v="1.66"/>
    <n v="197"/>
    <n v="161"/>
    <n v="59"/>
    <n v="1.3"/>
    <n v="1151"/>
    <x v="3"/>
    <n v="21.3"/>
    <n v="3.2"/>
    <x v="1"/>
    <n v="1"/>
    <n v="21.48"/>
    <s v="Normal Weight"/>
    <n v="885.38461538461536"/>
  </r>
  <r>
    <n v="656"/>
    <s v="Pune"/>
    <n v="49"/>
    <s v="Female"/>
    <n v="78.900000000000006"/>
    <n v="1.73"/>
    <n v="182"/>
    <n v="151"/>
    <n v="64"/>
    <n v="1.38"/>
    <n v="938"/>
    <x v="2"/>
    <n v="34"/>
    <n v="2.2999999999999998"/>
    <x v="3"/>
    <n v="1"/>
    <n v="26.36"/>
    <s v="Overweight"/>
    <n v="679.71014492753625"/>
  </r>
  <r>
    <n v="657"/>
    <s v="Kolkata"/>
    <n v="28"/>
    <s v="Female"/>
    <n v="78.7"/>
    <n v="1.63"/>
    <n v="185"/>
    <n v="154"/>
    <n v="59"/>
    <n v="1.1000000000000001"/>
    <n v="847"/>
    <x v="3"/>
    <n v="31.7"/>
    <n v="1.8"/>
    <x v="1"/>
    <n v="2"/>
    <n v="29.62"/>
    <s v="Overweight"/>
    <n v="769.99999999999989"/>
  </r>
  <r>
    <n v="658"/>
    <s v="Chennai"/>
    <n v="38"/>
    <s v="Male"/>
    <n v="68.7"/>
    <n v="1.92"/>
    <n v="170"/>
    <n v="150"/>
    <n v="73"/>
    <n v="1.31"/>
    <n v="1081"/>
    <x v="2"/>
    <n v="29"/>
    <n v="3"/>
    <x v="0"/>
    <n v="2"/>
    <n v="18.64"/>
    <s v="Normal Weight"/>
    <n v="825.19083969465646"/>
  </r>
  <r>
    <n v="659"/>
    <s v="Mumbai"/>
    <n v="43"/>
    <s v="Female"/>
    <n v="53.1"/>
    <n v="1.59"/>
    <n v="187"/>
    <n v="136"/>
    <n v="72"/>
    <n v="0.82"/>
    <n v="502"/>
    <x v="3"/>
    <n v="29.5"/>
    <n v="2.5"/>
    <x v="3"/>
    <n v="1"/>
    <n v="21"/>
    <s v="Normal Weight"/>
    <n v="612.19512195121956"/>
  </r>
  <r>
    <n v="660"/>
    <s v="Pune"/>
    <n v="42"/>
    <s v="Male"/>
    <n v="64.8"/>
    <n v="1.65"/>
    <n v="161"/>
    <n v="166"/>
    <n v="67"/>
    <n v="1.1000000000000001"/>
    <n v="904"/>
    <x v="2"/>
    <n v="24.4"/>
    <n v="2.8"/>
    <x v="1"/>
    <n v="2"/>
    <n v="23.8"/>
    <s v="Normal Weight"/>
    <n v="821.81818181818176"/>
  </r>
  <r>
    <n v="661"/>
    <s v="Pune"/>
    <n v="39"/>
    <s v="Female"/>
    <n v="50.3"/>
    <n v="1.61"/>
    <n v="167"/>
    <n v="128"/>
    <n v="50"/>
    <n v="1.17"/>
    <n v="749"/>
    <x v="1"/>
    <n v="32.799999999999997"/>
    <n v="2.5"/>
    <x v="3"/>
    <n v="1"/>
    <n v="19.41"/>
    <s v="Normal Weight"/>
    <n v="640.17094017094018"/>
  </r>
  <r>
    <n v="662"/>
    <s v="Chennai"/>
    <n v="44"/>
    <s v="Male"/>
    <n v="102.3"/>
    <n v="1.63"/>
    <n v="188"/>
    <n v="129"/>
    <n v="52"/>
    <n v="1.34"/>
    <n v="856"/>
    <x v="0"/>
    <n v="20.9"/>
    <n v="2.6"/>
    <x v="0"/>
    <n v="2"/>
    <n v="38.5"/>
    <s v="Obesity"/>
    <n v="638.80597014925365"/>
  </r>
  <r>
    <n v="663"/>
    <s v="Bengaluru"/>
    <n v="30"/>
    <s v="Male"/>
    <n v="62.9"/>
    <n v="1.92"/>
    <n v="170"/>
    <n v="127"/>
    <n v="70"/>
    <n v="1.1299999999999999"/>
    <n v="789"/>
    <x v="1"/>
    <n v="25.2"/>
    <n v="3.6"/>
    <x v="3"/>
    <n v="1"/>
    <n v="17.059999999999999"/>
    <s v="Underweight"/>
    <n v="698.23008849557527"/>
  </r>
  <r>
    <n v="664"/>
    <s v="Pune"/>
    <n v="50"/>
    <s v="Female"/>
    <n v="56.5"/>
    <n v="1.6"/>
    <n v="196"/>
    <n v="140"/>
    <n v="61"/>
    <n v="1.88"/>
    <n v="1184"/>
    <x v="0"/>
    <n v="19.2"/>
    <n v="2.7"/>
    <x v="2"/>
    <n v="3"/>
    <n v="22.07"/>
    <s v="Normal Weight"/>
    <n v="629.78723404255322"/>
  </r>
  <r>
    <n v="665"/>
    <s v="Kolkata"/>
    <n v="51"/>
    <s v="Female"/>
    <n v="74.599999999999994"/>
    <n v="1.55"/>
    <n v="177"/>
    <n v="132"/>
    <n v="50"/>
    <n v="0.71"/>
    <n v="422"/>
    <x v="2"/>
    <n v="33.299999999999997"/>
    <n v="2.1"/>
    <x v="3"/>
    <n v="1"/>
    <n v="31.05"/>
    <s v="Obesity"/>
    <n v="594.36619718309862"/>
  </r>
  <r>
    <n v="666"/>
    <s v="Pune"/>
    <n v="58"/>
    <s v="Male"/>
    <n v="52"/>
    <n v="1.79"/>
    <n v="173"/>
    <n v="169"/>
    <n v="52"/>
    <n v="1.1200000000000001"/>
    <n v="937"/>
    <x v="1"/>
    <n v="29.6"/>
    <n v="3"/>
    <x v="1"/>
    <n v="1"/>
    <n v="16.23"/>
    <s v="Underweight"/>
    <n v="836.60714285714278"/>
  </r>
  <r>
    <n v="667"/>
    <s v="Pune"/>
    <n v="52"/>
    <s v="Female"/>
    <n v="52.1"/>
    <n v="1.67"/>
    <n v="169"/>
    <n v="124"/>
    <n v="52"/>
    <n v="1.5"/>
    <n v="837"/>
    <x v="0"/>
    <n v="32"/>
    <n v="1.5"/>
    <x v="3"/>
    <n v="1"/>
    <n v="18.68"/>
    <s v="Normal Weight"/>
    <n v="558"/>
  </r>
  <r>
    <n v="668"/>
    <s v="Pune"/>
    <n v="18"/>
    <s v="Female"/>
    <n v="72.2"/>
    <n v="1.54"/>
    <n v="194"/>
    <n v="125"/>
    <n v="54"/>
    <n v="0.97"/>
    <n v="606"/>
    <x v="3"/>
    <n v="27.1"/>
    <n v="1.7"/>
    <x v="3"/>
    <n v="1"/>
    <n v="30.44"/>
    <s v="Obesity"/>
    <n v="624.74226804123714"/>
  </r>
  <r>
    <n v="669"/>
    <s v="Noida"/>
    <n v="38"/>
    <s v="Male"/>
    <n v="85.8"/>
    <n v="1.8"/>
    <n v="168"/>
    <n v="149"/>
    <n v="68"/>
    <n v="1.72"/>
    <n v="1410"/>
    <x v="2"/>
    <n v="10.1"/>
    <n v="3.5"/>
    <x v="0"/>
    <n v="3"/>
    <n v="26.48"/>
    <s v="Overweight"/>
    <n v="819.76744186046517"/>
  </r>
  <r>
    <n v="670"/>
    <s v="Noida"/>
    <n v="23"/>
    <s v="Male"/>
    <n v="81.400000000000006"/>
    <n v="1.85"/>
    <n v="194"/>
    <n v="150"/>
    <n v="74"/>
    <n v="1.6"/>
    <n v="1320"/>
    <x v="2"/>
    <n v="12.4"/>
    <n v="3.5"/>
    <x v="0"/>
    <n v="3"/>
    <n v="23.78"/>
    <s v="Normal Weight"/>
    <n v="825"/>
  </r>
  <r>
    <n v="671"/>
    <s v="Bengaluru"/>
    <n v="45"/>
    <s v="Female"/>
    <n v="50.9"/>
    <n v="1.65"/>
    <n v="170"/>
    <n v="136"/>
    <n v="50"/>
    <n v="1.45"/>
    <n v="887"/>
    <x v="3"/>
    <n v="30.1"/>
    <n v="2.2999999999999998"/>
    <x v="3"/>
    <n v="1"/>
    <n v="18.7"/>
    <s v="Normal Weight"/>
    <n v="611.72413793103453"/>
  </r>
  <r>
    <n v="672"/>
    <s v="Mumbai"/>
    <n v="34"/>
    <s v="Male"/>
    <n v="52"/>
    <n v="1.78"/>
    <n v="171"/>
    <n v="130"/>
    <n v="53"/>
    <n v="1.38"/>
    <n v="987"/>
    <x v="3"/>
    <n v="22.4"/>
    <n v="2.7"/>
    <x v="0"/>
    <n v="2"/>
    <n v="16.41"/>
    <s v="Underweight"/>
    <n v="715.21739130434787"/>
  </r>
  <r>
    <n v="673"/>
    <s v="Pune"/>
    <n v="22"/>
    <s v="Male"/>
    <n v="71"/>
    <n v="1.93"/>
    <n v="162"/>
    <n v="139"/>
    <n v="53"/>
    <n v="1.42"/>
    <n v="1086"/>
    <x v="0"/>
    <n v="21.2"/>
    <n v="2.9"/>
    <x v="0"/>
    <n v="2"/>
    <n v="19.059999999999999"/>
    <s v="Normal Weight"/>
    <n v="764.78873239436621"/>
  </r>
  <r>
    <n v="674"/>
    <s v="Gurgaon"/>
    <n v="48"/>
    <s v="Male"/>
    <n v="80.599999999999994"/>
    <n v="1.77"/>
    <n v="198"/>
    <n v="167"/>
    <n v="66"/>
    <n v="1.51"/>
    <n v="1248"/>
    <x v="2"/>
    <n v="12.9"/>
    <n v="3.5"/>
    <x v="0"/>
    <n v="3"/>
    <n v="25.73"/>
    <s v="Overweight"/>
    <n v="826.49006622516561"/>
  </r>
  <r>
    <n v="675"/>
    <s v="Mumbai"/>
    <n v="22"/>
    <s v="Female"/>
    <n v="58.3"/>
    <n v="1.72"/>
    <n v="173"/>
    <n v="128"/>
    <n v="63"/>
    <n v="1"/>
    <n v="640"/>
    <x v="0"/>
    <n v="32.6"/>
    <n v="1.6"/>
    <x v="1"/>
    <n v="2"/>
    <n v="19.71"/>
    <s v="Normal Weight"/>
    <n v="640"/>
  </r>
  <r>
    <n v="676"/>
    <s v="Bengaluru"/>
    <n v="55"/>
    <s v="Female"/>
    <n v="63"/>
    <n v="1.7"/>
    <n v="187"/>
    <n v="121"/>
    <n v="67"/>
    <n v="1.32"/>
    <n v="719"/>
    <x v="3"/>
    <n v="34.9"/>
    <n v="2.5"/>
    <x v="1"/>
    <n v="1"/>
    <n v="21.8"/>
    <s v="Normal Weight"/>
    <n v="544.69696969696963"/>
  </r>
  <r>
    <n v="677"/>
    <s v="Hyderabad"/>
    <n v="20"/>
    <s v="Male"/>
    <n v="111"/>
    <n v="1.94"/>
    <n v="170"/>
    <n v="156"/>
    <n v="50"/>
    <n v="1.02"/>
    <n v="875"/>
    <x v="2"/>
    <n v="27.6"/>
    <n v="3.3"/>
    <x v="0"/>
    <n v="2"/>
    <n v="29.49"/>
    <s v="Overweight"/>
    <n v="857.84313725490199"/>
  </r>
  <r>
    <n v="678"/>
    <s v="Mumbai"/>
    <n v="40"/>
    <s v="Female"/>
    <n v="52.6"/>
    <n v="1.66"/>
    <n v="198"/>
    <n v="120"/>
    <n v="71"/>
    <n v="1.27"/>
    <n v="762"/>
    <x v="3"/>
    <n v="32.9"/>
    <n v="1.7"/>
    <x v="1"/>
    <n v="2"/>
    <n v="19.09"/>
    <s v="Normal Weight"/>
    <n v="600"/>
  </r>
  <r>
    <n v="679"/>
    <s v="Mumbai"/>
    <n v="54"/>
    <s v="Male"/>
    <n v="116.4"/>
    <n v="2"/>
    <n v="184"/>
    <n v="123"/>
    <n v="65"/>
    <n v="1.1299999999999999"/>
    <n v="688"/>
    <x v="0"/>
    <n v="26.2"/>
    <n v="3.1"/>
    <x v="1"/>
    <n v="1"/>
    <n v="29.1"/>
    <s v="Overweight"/>
    <n v="608.84955752212397"/>
  </r>
  <r>
    <n v="680"/>
    <s v="Ahmedabad"/>
    <n v="54"/>
    <s v="Female"/>
    <n v="75.599999999999994"/>
    <n v="1.61"/>
    <n v="180"/>
    <n v="155"/>
    <n v="52"/>
    <n v="1.41"/>
    <n v="983"/>
    <x v="0"/>
    <n v="34.9"/>
    <n v="2.5"/>
    <x v="0"/>
    <n v="2"/>
    <n v="29.17"/>
    <s v="Overweight"/>
    <n v="697.16312056737593"/>
  </r>
  <r>
    <n v="681"/>
    <s v="Delhi"/>
    <n v="27"/>
    <s v="Male"/>
    <n v="61.6"/>
    <n v="1.8"/>
    <n v="169"/>
    <n v="144"/>
    <n v="72"/>
    <n v="1.48"/>
    <n v="1172"/>
    <x v="0"/>
    <n v="26.4"/>
    <n v="3.1"/>
    <x v="3"/>
    <n v="1"/>
    <n v="19.010000000000002"/>
    <s v="Normal Weight"/>
    <n v="791.89189189189187"/>
  </r>
  <r>
    <n v="682"/>
    <s v="Ahmedabad"/>
    <n v="27"/>
    <s v="Male"/>
    <n v="108"/>
    <n v="1.8"/>
    <n v="174"/>
    <n v="122"/>
    <n v="70"/>
    <n v="1.38"/>
    <n v="926"/>
    <x v="2"/>
    <n v="28.6"/>
    <n v="2.5"/>
    <x v="0"/>
    <n v="2"/>
    <n v="33.33"/>
    <s v="Obesity"/>
    <n v="671.01449275362324"/>
  </r>
  <r>
    <n v="683"/>
    <s v="Kolkata"/>
    <n v="36"/>
    <s v="Female"/>
    <n v="59.3"/>
    <n v="1.75"/>
    <n v="178"/>
    <n v="128"/>
    <n v="58"/>
    <n v="0.99"/>
    <n v="634"/>
    <x v="3"/>
    <n v="34.5"/>
    <n v="2.2999999999999998"/>
    <x v="1"/>
    <n v="1"/>
    <n v="19.36"/>
    <s v="Normal Weight"/>
    <n v="640.40404040404042"/>
  </r>
  <r>
    <n v="684"/>
    <s v="Noida"/>
    <n v="34"/>
    <s v="Male"/>
    <n v="75.7"/>
    <n v="1.94"/>
    <n v="181"/>
    <n v="141"/>
    <n v="72"/>
    <n v="1.18"/>
    <n v="915"/>
    <x v="3"/>
    <n v="29.3"/>
    <n v="2.4"/>
    <x v="0"/>
    <n v="2"/>
    <n v="20.11"/>
    <s v="Normal Weight"/>
    <n v="775.42372881355936"/>
  </r>
  <r>
    <n v="685"/>
    <s v="Noida"/>
    <n v="38"/>
    <s v="Female"/>
    <n v="56.3"/>
    <n v="1.6"/>
    <n v="180"/>
    <n v="142"/>
    <n v="53"/>
    <n v="1.21"/>
    <n v="859"/>
    <x v="0"/>
    <n v="28.8"/>
    <n v="1.9"/>
    <x v="0"/>
    <n v="2"/>
    <n v="21.99"/>
    <s v="Normal Weight"/>
    <n v="709.91735537190084"/>
  </r>
  <r>
    <n v="686"/>
    <s v="Delhi"/>
    <n v="31"/>
    <s v="Female"/>
    <n v="58.2"/>
    <n v="1.73"/>
    <n v="191"/>
    <n v="131"/>
    <n v="70"/>
    <n v="1.17"/>
    <n v="766"/>
    <x v="0"/>
    <n v="25.8"/>
    <n v="1.8"/>
    <x v="1"/>
    <n v="2"/>
    <n v="19.45"/>
    <s v="Normal Weight"/>
    <n v="654.70085470085473"/>
  </r>
  <r>
    <n v="687"/>
    <s v="Chennai"/>
    <n v="26"/>
    <s v="Male"/>
    <n v="55.7"/>
    <n v="1.68"/>
    <n v="182"/>
    <n v="129"/>
    <n v="54"/>
    <n v="1.1299999999999999"/>
    <n v="802"/>
    <x v="0"/>
    <n v="21.7"/>
    <n v="2.9"/>
    <x v="1"/>
    <n v="1"/>
    <n v="19.73"/>
    <s v="Normal Weight"/>
    <n v="709.73451327433634"/>
  </r>
  <r>
    <n v="688"/>
    <s v="Chennai"/>
    <n v="18"/>
    <s v="Male"/>
    <n v="125.9"/>
    <n v="1.67"/>
    <n v="172"/>
    <n v="153"/>
    <n v="60"/>
    <n v="1.46"/>
    <n v="1229"/>
    <x v="0"/>
    <n v="20.6"/>
    <n v="2.2000000000000002"/>
    <x v="1"/>
    <n v="2"/>
    <n v="45.14"/>
    <s v="Obesity"/>
    <n v="841.78082191780823"/>
  </r>
  <r>
    <n v="689"/>
    <s v="Bengaluru"/>
    <n v="30"/>
    <s v="Female"/>
    <n v="62.7"/>
    <n v="1.67"/>
    <n v="164"/>
    <n v="162"/>
    <n v="70"/>
    <n v="1.02"/>
    <n v="826"/>
    <x v="1"/>
    <n v="26.1"/>
    <n v="2.6"/>
    <x v="0"/>
    <n v="2"/>
    <n v="22.48"/>
    <s v="Normal Weight"/>
    <n v="809.8039215686274"/>
  </r>
  <r>
    <n v="690"/>
    <s v="Delhi"/>
    <n v="21"/>
    <s v="Male"/>
    <n v="86.6"/>
    <n v="1.86"/>
    <n v="163"/>
    <n v="129"/>
    <n v="58"/>
    <n v="1.37"/>
    <n v="972"/>
    <x v="1"/>
    <n v="21.8"/>
    <n v="2.6"/>
    <x v="1"/>
    <n v="2"/>
    <n v="25.03"/>
    <s v="Overweight"/>
    <n v="709.48905109489044"/>
  </r>
  <r>
    <n v="691"/>
    <s v="Mumbai"/>
    <n v="18"/>
    <s v="Male"/>
    <n v="64.5"/>
    <n v="1.82"/>
    <n v="187"/>
    <n v="149"/>
    <n v="52"/>
    <n v="1.2"/>
    <n v="983"/>
    <x v="1"/>
    <n v="23.4"/>
    <n v="2.4"/>
    <x v="1"/>
    <n v="2"/>
    <n v="19.47"/>
    <s v="Normal Weight"/>
    <n v="819.16666666666674"/>
  </r>
  <r>
    <n v="692"/>
    <s v="Chennai"/>
    <n v="57"/>
    <s v="Male"/>
    <n v="76.599999999999994"/>
    <n v="1.86"/>
    <n v="173"/>
    <n v="141"/>
    <n v="55"/>
    <n v="1.1399999999999999"/>
    <n v="796"/>
    <x v="0"/>
    <n v="25.4"/>
    <n v="2.8"/>
    <x v="0"/>
    <n v="2"/>
    <n v="22.14"/>
    <s v="Normal Weight"/>
    <n v="698.24561403508778"/>
  </r>
  <r>
    <n v="693"/>
    <s v="Pune"/>
    <n v="49"/>
    <s v="Male"/>
    <n v="81.400000000000006"/>
    <n v="1.83"/>
    <n v="167"/>
    <n v="125"/>
    <n v="73"/>
    <n v="1.98"/>
    <n v="1225"/>
    <x v="0"/>
    <n v="13.6"/>
    <n v="3.5"/>
    <x v="2"/>
    <n v="3"/>
    <n v="24.31"/>
    <s v="Normal Weight"/>
    <n v="618.68686868686871"/>
  </r>
  <r>
    <n v="694"/>
    <s v="Gurgaon"/>
    <n v="51"/>
    <s v="Male"/>
    <n v="60.7"/>
    <n v="1.71"/>
    <n v="168"/>
    <n v="169"/>
    <n v="60"/>
    <n v="1.1399999999999999"/>
    <n v="954"/>
    <x v="3"/>
    <n v="22.1"/>
    <n v="2.5"/>
    <x v="3"/>
    <n v="1"/>
    <n v="20.76"/>
    <s v="Normal Weight"/>
    <n v="836.84210526315792"/>
  </r>
  <r>
    <n v="695"/>
    <s v="Mumbai"/>
    <n v="45"/>
    <s v="Female"/>
    <n v="57.2"/>
    <n v="1.55"/>
    <n v="194"/>
    <n v="121"/>
    <n v="58"/>
    <n v="1.67"/>
    <n v="909"/>
    <x v="2"/>
    <n v="18.399999999999999"/>
    <n v="2.7"/>
    <x v="2"/>
    <n v="3"/>
    <n v="23.81"/>
    <s v="Normal Weight"/>
    <n v="544.31137724550899"/>
  </r>
  <r>
    <n v="696"/>
    <s v="Kolkata"/>
    <n v="48"/>
    <s v="Female"/>
    <n v="73"/>
    <n v="1.59"/>
    <n v="196"/>
    <n v="149"/>
    <n v="64"/>
    <n v="1.19"/>
    <n v="798"/>
    <x v="3"/>
    <n v="32"/>
    <n v="2.1"/>
    <x v="1"/>
    <n v="2"/>
    <n v="28.88"/>
    <s v="Overweight"/>
    <n v="670.58823529411768"/>
  </r>
  <r>
    <n v="697"/>
    <s v="Pune"/>
    <n v="25"/>
    <s v="Male"/>
    <n v="123.8"/>
    <n v="1.99"/>
    <n v="180"/>
    <n v="121"/>
    <n v="72"/>
    <n v="1.1299999999999999"/>
    <n v="752"/>
    <x v="1"/>
    <n v="25.6"/>
    <n v="2.6"/>
    <x v="1"/>
    <n v="1"/>
    <n v="31.26"/>
    <s v="Obesity"/>
    <n v="665.48672566371692"/>
  </r>
  <r>
    <n v="698"/>
    <s v="Pune"/>
    <n v="56"/>
    <s v="Male"/>
    <n v="93.6"/>
    <n v="1.66"/>
    <n v="177"/>
    <n v="151"/>
    <n v="52"/>
    <n v="1.37"/>
    <n v="1024"/>
    <x v="3"/>
    <n v="29"/>
    <n v="2.2000000000000002"/>
    <x v="3"/>
    <n v="1"/>
    <n v="33.97"/>
    <s v="Obesity"/>
    <n v="747.44525547445255"/>
  </r>
  <r>
    <n v="699"/>
    <s v="Delhi"/>
    <n v="43"/>
    <s v="Male"/>
    <n v="76.8"/>
    <n v="1.92"/>
    <n v="192"/>
    <n v="161"/>
    <n v="50"/>
    <n v="1.24"/>
    <n v="988"/>
    <x v="0"/>
    <n v="21.1"/>
    <n v="2.5"/>
    <x v="1"/>
    <n v="1"/>
    <n v="20.83"/>
    <s v="Normal Weight"/>
    <n v="796.77419354838707"/>
  </r>
  <r>
    <n v="700"/>
    <s v="Bengaluru"/>
    <n v="51"/>
    <s v="Female"/>
    <n v="54.7"/>
    <n v="1.53"/>
    <n v="167"/>
    <n v="135"/>
    <n v="69"/>
    <n v="1.1100000000000001"/>
    <n v="674"/>
    <x v="1"/>
    <n v="26.8"/>
    <n v="2"/>
    <x v="0"/>
    <n v="2"/>
    <n v="23.37"/>
    <s v="Normal Weight"/>
    <n v="607.20720720720715"/>
  </r>
  <r>
    <n v="701"/>
    <s v="Kolkata"/>
    <n v="20"/>
    <s v="Male"/>
    <n v="92.3"/>
    <n v="1.94"/>
    <n v="176"/>
    <n v="131"/>
    <n v="71"/>
    <n v="1.1399999999999999"/>
    <n v="821"/>
    <x v="1"/>
    <n v="24.3"/>
    <n v="2.1"/>
    <x v="1"/>
    <n v="2"/>
    <n v="24.52"/>
    <s v="Normal Weight"/>
    <n v="720.17543859649129"/>
  </r>
  <r>
    <n v="702"/>
    <s v="Chennai"/>
    <n v="29"/>
    <s v="Female"/>
    <n v="71.8"/>
    <n v="1.55"/>
    <n v="190"/>
    <n v="120"/>
    <n v="68"/>
    <n v="1.2"/>
    <n v="720"/>
    <x v="2"/>
    <n v="26.3"/>
    <n v="2.4"/>
    <x v="0"/>
    <n v="2"/>
    <n v="29.89"/>
    <s v="Overweight"/>
    <n v="600"/>
  </r>
  <r>
    <n v="703"/>
    <s v="Delhi"/>
    <n v="18"/>
    <s v="Female"/>
    <n v="66.900000000000006"/>
    <n v="1.57"/>
    <n v="193"/>
    <n v="127"/>
    <n v="63"/>
    <n v="1.07"/>
    <n v="679"/>
    <x v="2"/>
    <n v="30.7"/>
    <n v="2.2000000000000002"/>
    <x v="1"/>
    <n v="2"/>
    <n v="27.14"/>
    <s v="Overweight"/>
    <n v="634.57943925233644"/>
  </r>
  <r>
    <n v="704"/>
    <s v="Chennai"/>
    <n v="22"/>
    <s v="Female"/>
    <n v="48.7"/>
    <n v="1.76"/>
    <n v="165"/>
    <n v="167"/>
    <n v="66"/>
    <n v="1.37"/>
    <n v="1144"/>
    <x v="1"/>
    <n v="29"/>
    <n v="2.2000000000000002"/>
    <x v="0"/>
    <n v="2"/>
    <n v="15.72"/>
    <s v="Underweight"/>
    <n v="835.03649635036493"/>
  </r>
  <r>
    <n v="705"/>
    <s v="Delhi"/>
    <n v="47"/>
    <s v="Male"/>
    <n v="66.2"/>
    <n v="1.71"/>
    <n v="181"/>
    <n v="169"/>
    <n v="71"/>
    <n v="1.42"/>
    <n v="1188"/>
    <x v="1"/>
    <n v="22.8"/>
    <n v="2.9"/>
    <x v="1"/>
    <n v="1"/>
    <n v="22.64"/>
    <s v="Normal Weight"/>
    <n v="836.61971830985919"/>
  </r>
  <r>
    <n v="706"/>
    <s v="Delhi"/>
    <n v="47"/>
    <s v="Female"/>
    <n v="40"/>
    <n v="1.76"/>
    <n v="173"/>
    <n v="132"/>
    <n v="63"/>
    <n v="0.8"/>
    <n v="475"/>
    <x v="3"/>
    <n v="26.7"/>
    <n v="2.2000000000000002"/>
    <x v="1"/>
    <n v="1"/>
    <n v="12.91"/>
    <s v="Underweight"/>
    <n v="593.75"/>
  </r>
  <r>
    <n v="707"/>
    <s v="Delhi"/>
    <n v="34"/>
    <s v="Male"/>
    <n v="112.4"/>
    <n v="1.85"/>
    <n v="162"/>
    <n v="134"/>
    <n v="66"/>
    <n v="1.18"/>
    <n v="870"/>
    <x v="1"/>
    <n v="23.4"/>
    <n v="3.6"/>
    <x v="0"/>
    <n v="2"/>
    <n v="32.840000000000003"/>
    <s v="Obesity"/>
    <n v="737.28813559322043"/>
  </r>
  <r>
    <n v="708"/>
    <s v="Bengaluru"/>
    <n v="40"/>
    <s v="Female"/>
    <n v="70"/>
    <n v="1.55"/>
    <n v="171"/>
    <n v="163"/>
    <n v="74"/>
    <n v="0.85"/>
    <n v="693"/>
    <x v="0"/>
    <n v="31.1"/>
    <n v="1.5"/>
    <x v="1"/>
    <n v="1"/>
    <n v="29.14"/>
    <s v="Overweight"/>
    <n v="815.2941176470589"/>
  </r>
  <r>
    <n v="709"/>
    <s v="Delhi"/>
    <n v="32"/>
    <s v="Male"/>
    <n v="84"/>
    <n v="1.74"/>
    <n v="195"/>
    <n v="127"/>
    <n v="63"/>
    <n v="1.45"/>
    <n v="1013"/>
    <x v="3"/>
    <n v="25.8"/>
    <n v="2.1"/>
    <x v="1"/>
    <n v="1"/>
    <n v="27.74"/>
    <s v="Overweight"/>
    <n v="698.62068965517244"/>
  </r>
  <r>
    <n v="710"/>
    <s v="Hyderabad"/>
    <n v="54"/>
    <s v="Female"/>
    <n v="43.8"/>
    <n v="1.65"/>
    <n v="171"/>
    <n v="129"/>
    <n v="61"/>
    <n v="1.29"/>
    <n v="749"/>
    <x v="0"/>
    <n v="26.6"/>
    <n v="1.7"/>
    <x v="0"/>
    <n v="2"/>
    <n v="16.09"/>
    <s v="Underweight"/>
    <n v="580.62015503875966"/>
  </r>
  <r>
    <n v="711"/>
    <s v="Gurgaon"/>
    <n v="38"/>
    <s v="Male"/>
    <n v="123.3"/>
    <n v="1.62"/>
    <n v="161"/>
    <n v="165"/>
    <n v="65"/>
    <n v="1.34"/>
    <n v="1216"/>
    <x v="0"/>
    <n v="21.2"/>
    <n v="2.2999999999999998"/>
    <x v="0"/>
    <n v="2"/>
    <n v="46.98"/>
    <s v="Obesity"/>
    <n v="907.46268656716416"/>
  </r>
  <r>
    <n v="712"/>
    <s v="Chennai"/>
    <n v="31"/>
    <s v="Female"/>
    <n v="57.9"/>
    <n v="1.56"/>
    <n v="161"/>
    <n v="124"/>
    <n v="50"/>
    <n v="1.8"/>
    <n v="1116"/>
    <x v="0"/>
    <n v="15.1"/>
    <n v="2.7"/>
    <x v="2"/>
    <n v="3"/>
    <n v="23.79"/>
    <s v="Normal Weight"/>
    <n v="620"/>
  </r>
  <r>
    <n v="713"/>
    <s v="Mumbai"/>
    <n v="19"/>
    <s v="Male"/>
    <n v="82.4"/>
    <n v="1.96"/>
    <n v="174"/>
    <n v="169"/>
    <n v="62"/>
    <n v="1.9"/>
    <n v="1766"/>
    <x v="1"/>
    <n v="10.1"/>
    <n v="3.5"/>
    <x v="2"/>
    <n v="3"/>
    <n v="21.45"/>
    <s v="Normal Weight"/>
    <n v="929.47368421052636"/>
  </r>
  <r>
    <n v="714"/>
    <s v="Ahmedabad"/>
    <n v="28"/>
    <s v="Male"/>
    <n v="84.8"/>
    <n v="1.79"/>
    <n v="182"/>
    <n v="138"/>
    <n v="55"/>
    <n v="1.35"/>
    <n v="1025"/>
    <x v="2"/>
    <n v="28.8"/>
    <n v="2.2999999999999998"/>
    <x v="0"/>
    <n v="2"/>
    <n v="26.47"/>
    <s v="Overweight"/>
    <n v="759.25925925925924"/>
  </r>
  <r>
    <n v="715"/>
    <s v="Kolkata"/>
    <n v="56"/>
    <s v="Male"/>
    <n v="109.6"/>
    <n v="1.66"/>
    <n v="188"/>
    <n v="166"/>
    <n v="66"/>
    <n v="1.29"/>
    <n v="1060"/>
    <x v="2"/>
    <n v="20.5"/>
    <n v="3.1"/>
    <x v="1"/>
    <n v="2"/>
    <n v="39.770000000000003"/>
    <s v="Obesity"/>
    <n v="821.7054263565891"/>
  </r>
  <r>
    <n v="716"/>
    <s v="Noida"/>
    <n v="55"/>
    <s v="Male"/>
    <n v="86.4"/>
    <n v="1.77"/>
    <n v="176"/>
    <n v="157"/>
    <n v="61"/>
    <n v="1"/>
    <n v="777"/>
    <x v="0"/>
    <n v="27.3"/>
    <n v="2.8"/>
    <x v="1"/>
    <n v="2"/>
    <n v="27.58"/>
    <s v="Overweight"/>
    <n v="777"/>
  </r>
  <r>
    <n v="717"/>
    <s v="Bengaluru"/>
    <n v="51"/>
    <s v="Female"/>
    <n v="63.9"/>
    <n v="1.8"/>
    <n v="191"/>
    <n v="130"/>
    <n v="72"/>
    <n v="1.07"/>
    <n v="626"/>
    <x v="1"/>
    <n v="33.700000000000003"/>
    <n v="2.7"/>
    <x v="0"/>
    <n v="2"/>
    <n v="19.72"/>
    <s v="Normal Weight"/>
    <n v="585.04672897196258"/>
  </r>
  <r>
    <n v="718"/>
    <s v="Mumbai"/>
    <n v="55"/>
    <s v="Female"/>
    <n v="70.8"/>
    <n v="1.62"/>
    <n v="166"/>
    <n v="162"/>
    <n v="68"/>
    <n v="0.54"/>
    <n v="394"/>
    <x v="3"/>
    <n v="26"/>
    <n v="1.8"/>
    <x v="1"/>
    <n v="1"/>
    <n v="26.98"/>
    <s v="Overweight"/>
    <n v="729.62962962962956"/>
  </r>
  <r>
    <n v="719"/>
    <s v="Pune"/>
    <n v="51"/>
    <s v="Male"/>
    <n v="115.3"/>
    <n v="1.67"/>
    <n v="189"/>
    <n v="139"/>
    <n v="55"/>
    <n v="1.38"/>
    <n v="950"/>
    <x v="0"/>
    <n v="24.4"/>
    <n v="2.5"/>
    <x v="1"/>
    <n v="2"/>
    <n v="41.34"/>
    <s v="Obesity"/>
    <n v="688.40579710144937"/>
  </r>
  <r>
    <n v="720"/>
    <s v="Hyderabad"/>
    <n v="35"/>
    <s v="Female"/>
    <n v="55.3"/>
    <n v="1.56"/>
    <n v="187"/>
    <n v="139"/>
    <n v="56"/>
    <n v="1.71"/>
    <n v="1188"/>
    <x v="3"/>
    <n v="19.8"/>
    <n v="2.7"/>
    <x v="2"/>
    <n v="3"/>
    <n v="22.72"/>
    <s v="Normal Weight"/>
    <n v="694.73684210526312"/>
  </r>
  <r>
    <n v="721"/>
    <s v="Noida"/>
    <n v="47"/>
    <s v="Male"/>
    <n v="73.900000000000006"/>
    <n v="1.8"/>
    <n v="173"/>
    <n v="140"/>
    <n v="50"/>
    <n v="1.36"/>
    <n v="942"/>
    <x v="3"/>
    <n v="28.3"/>
    <n v="3.7"/>
    <x v="1"/>
    <n v="1"/>
    <n v="22.81"/>
    <s v="Normal Weight"/>
    <n v="692.64705882352939"/>
  </r>
  <r>
    <n v="722"/>
    <s v="Ahmedabad"/>
    <n v="32"/>
    <s v="Male"/>
    <n v="97.3"/>
    <n v="1.96"/>
    <n v="189"/>
    <n v="137"/>
    <n v="50"/>
    <n v="1.36"/>
    <n v="1025"/>
    <x v="1"/>
    <n v="24.9"/>
    <n v="3.4"/>
    <x v="1"/>
    <n v="2"/>
    <n v="25.33"/>
    <s v="Overweight"/>
    <n v="753.67647058823525"/>
  </r>
  <r>
    <n v="723"/>
    <s v="Mumbai"/>
    <n v="44"/>
    <s v="Female"/>
    <n v="60.4"/>
    <n v="1.65"/>
    <n v="176"/>
    <n v="169"/>
    <n v="54"/>
    <n v="1.27"/>
    <n v="966"/>
    <x v="1"/>
    <n v="32.6"/>
    <n v="2.1"/>
    <x v="0"/>
    <n v="2"/>
    <n v="22.19"/>
    <s v="Normal Weight"/>
    <n v="760.62992125984249"/>
  </r>
  <r>
    <n v="724"/>
    <s v="Noida"/>
    <n v="51"/>
    <s v="Male"/>
    <n v="49.3"/>
    <n v="1.61"/>
    <n v="191"/>
    <n v="129"/>
    <n v="55"/>
    <n v="1.36"/>
    <n v="868"/>
    <x v="2"/>
    <n v="28.3"/>
    <n v="2.9"/>
    <x v="3"/>
    <n v="1"/>
    <n v="19.02"/>
    <s v="Normal Weight"/>
    <n v="638.23529411764696"/>
  </r>
  <r>
    <n v="725"/>
    <s v="Mumbai"/>
    <n v="55"/>
    <s v="Male"/>
    <n v="91.8"/>
    <n v="1.78"/>
    <n v="165"/>
    <n v="153"/>
    <n v="65"/>
    <n v="1.44"/>
    <n v="1091"/>
    <x v="2"/>
    <n v="23.5"/>
    <n v="3.4"/>
    <x v="1"/>
    <n v="1"/>
    <n v="28.97"/>
    <s v="Overweight"/>
    <n v="757.63888888888891"/>
  </r>
  <r>
    <n v="726"/>
    <s v="Hyderabad"/>
    <n v="50"/>
    <s v="Female"/>
    <n v="73.599999999999994"/>
    <n v="1.55"/>
    <n v="183"/>
    <n v="145"/>
    <n v="74"/>
    <n v="0.89"/>
    <n v="581"/>
    <x v="1"/>
    <n v="33.9"/>
    <n v="2.1"/>
    <x v="1"/>
    <n v="1"/>
    <n v="30.63"/>
    <s v="Obesity"/>
    <n v="652.8089887640449"/>
  </r>
  <r>
    <n v="727"/>
    <s v="Ahmedabad"/>
    <n v="41"/>
    <s v="Male"/>
    <n v="47.1"/>
    <n v="1.78"/>
    <n v="165"/>
    <n v="149"/>
    <n v="65"/>
    <n v="1.26"/>
    <n v="929"/>
    <x v="0"/>
    <n v="24.7"/>
    <n v="2.4"/>
    <x v="1"/>
    <n v="1"/>
    <n v="14.87"/>
    <s v="Underweight"/>
    <n v="737.30158730158735"/>
  </r>
  <r>
    <n v="728"/>
    <s v="Pune"/>
    <n v="32"/>
    <s v="Male"/>
    <n v="65.2"/>
    <n v="1.62"/>
    <n v="186"/>
    <n v="128"/>
    <n v="63"/>
    <n v="0.57999999999999996"/>
    <n v="408"/>
    <x v="2"/>
    <n v="25.3"/>
    <n v="3.4"/>
    <x v="3"/>
    <n v="1"/>
    <n v="24.84"/>
    <s v="Normal Weight"/>
    <n v="703.44827586206907"/>
  </r>
  <r>
    <n v="729"/>
    <s v="Delhi"/>
    <n v="47"/>
    <s v="Male"/>
    <n v="87.2"/>
    <n v="1.64"/>
    <n v="177"/>
    <n v="165"/>
    <n v="50"/>
    <n v="2"/>
    <n v="1634"/>
    <x v="3"/>
    <n v="15"/>
    <n v="3.5"/>
    <x v="0"/>
    <n v="3"/>
    <n v="32.42"/>
    <s v="Obesity"/>
    <n v="817"/>
  </r>
  <r>
    <n v="730"/>
    <s v="Chennai"/>
    <n v="59"/>
    <s v="Male"/>
    <n v="96.7"/>
    <n v="1.71"/>
    <n v="183"/>
    <n v="150"/>
    <n v="62"/>
    <n v="0.56999999999999995"/>
    <n v="423"/>
    <x v="0"/>
    <n v="28.4"/>
    <n v="2.9"/>
    <x v="1"/>
    <n v="1"/>
    <n v="33.07"/>
    <s v="Obesity"/>
    <n v="742.1052631578948"/>
  </r>
  <r>
    <n v="731"/>
    <s v="Pune"/>
    <n v="34"/>
    <s v="Female"/>
    <n v="46.9"/>
    <n v="1.61"/>
    <n v="196"/>
    <n v="161"/>
    <n v="69"/>
    <n v="1.02"/>
    <n v="821"/>
    <x v="3"/>
    <n v="28.6"/>
    <n v="1.7"/>
    <x v="1"/>
    <n v="2"/>
    <n v="18.09"/>
    <s v="Underweight"/>
    <n v="804.9019607843137"/>
  </r>
  <r>
    <n v="732"/>
    <s v="Delhi"/>
    <n v="22"/>
    <s v="Female"/>
    <n v="72.099999999999994"/>
    <n v="1.62"/>
    <n v="183"/>
    <n v="123"/>
    <n v="59"/>
    <n v="1.38"/>
    <n v="849"/>
    <x v="1"/>
    <n v="25.1"/>
    <n v="2.1"/>
    <x v="1"/>
    <n v="1"/>
    <n v="27.47"/>
    <s v="Overweight"/>
    <n v="615.21739130434787"/>
  </r>
  <r>
    <n v="733"/>
    <s v="Bengaluru"/>
    <n v="46"/>
    <s v="Female"/>
    <n v="62.5"/>
    <n v="1.54"/>
    <n v="197"/>
    <n v="125"/>
    <n v="73"/>
    <n v="1.61"/>
    <n v="906"/>
    <x v="3"/>
    <n v="18.100000000000001"/>
    <n v="2.7"/>
    <x v="0"/>
    <n v="3"/>
    <n v="26.35"/>
    <s v="Overweight"/>
    <n v="562.73291925465833"/>
  </r>
  <r>
    <n v="734"/>
    <s v="Gurgaon"/>
    <n v="21"/>
    <s v="Male"/>
    <n v="110.7"/>
    <n v="1.69"/>
    <n v="193"/>
    <n v="133"/>
    <n v="59"/>
    <n v="1.06"/>
    <n v="775"/>
    <x v="0"/>
    <n v="27"/>
    <n v="2.7"/>
    <x v="1"/>
    <n v="1"/>
    <n v="38.76"/>
    <s v="Obesity"/>
    <n v="731.13207547169804"/>
  </r>
  <r>
    <n v="735"/>
    <s v="Kolkata"/>
    <n v="27"/>
    <s v="Male"/>
    <n v="102.6"/>
    <n v="1.83"/>
    <n v="199"/>
    <n v="123"/>
    <n v="58"/>
    <n v="1.41"/>
    <n v="954"/>
    <x v="1"/>
    <n v="26.5"/>
    <n v="3.5"/>
    <x v="1"/>
    <n v="2"/>
    <n v="30.64"/>
    <s v="Obesity"/>
    <n v="676.59574468085111"/>
  </r>
  <r>
    <n v="736"/>
    <s v="Kolkata"/>
    <n v="34"/>
    <s v="Female"/>
    <n v="64.3"/>
    <n v="1.62"/>
    <n v="174"/>
    <n v="145"/>
    <n v="62"/>
    <n v="1.76"/>
    <n v="1276"/>
    <x v="0"/>
    <n v="19.8"/>
    <n v="2.7"/>
    <x v="2"/>
    <n v="3"/>
    <n v="24.5"/>
    <s v="Normal Weight"/>
    <n v="725"/>
  </r>
  <r>
    <n v="737"/>
    <s v="Chennai"/>
    <n v="27"/>
    <s v="Male"/>
    <n v="80.7"/>
    <n v="1.61"/>
    <n v="170"/>
    <n v="166"/>
    <n v="52"/>
    <n v="1.75"/>
    <n v="1598"/>
    <x v="3"/>
    <n v="14.3"/>
    <n v="3.5"/>
    <x v="0"/>
    <n v="3"/>
    <n v="31.13"/>
    <s v="Obesity"/>
    <n v="913.14285714285711"/>
  </r>
  <r>
    <n v="738"/>
    <s v="Ahmedabad"/>
    <n v="34"/>
    <s v="Male"/>
    <n v="115.3"/>
    <n v="1.81"/>
    <n v="181"/>
    <n v="167"/>
    <n v="67"/>
    <n v="1.36"/>
    <n v="1249"/>
    <x v="0"/>
    <n v="24.5"/>
    <n v="2.2000000000000002"/>
    <x v="3"/>
    <n v="1"/>
    <n v="35.19"/>
    <s v="Obesity"/>
    <n v="918.38235294117635"/>
  </r>
  <r>
    <n v="739"/>
    <s v="Hyderabad"/>
    <n v="37"/>
    <s v="Male"/>
    <n v="87.8"/>
    <n v="1.69"/>
    <n v="183"/>
    <n v="158"/>
    <n v="69"/>
    <n v="1.81"/>
    <n v="1573"/>
    <x v="1"/>
    <n v="10.3"/>
    <n v="3.5"/>
    <x v="2"/>
    <n v="3"/>
    <n v="30.74"/>
    <s v="Obesity"/>
    <n v="869.06077348066299"/>
  </r>
  <r>
    <n v="740"/>
    <s v="Ahmedabad"/>
    <n v="41"/>
    <s v="Male"/>
    <n v="74.3"/>
    <n v="1.61"/>
    <n v="160"/>
    <n v="136"/>
    <n v="51"/>
    <n v="1.06"/>
    <n v="714"/>
    <x v="3"/>
    <n v="24.8"/>
    <n v="3.5"/>
    <x v="0"/>
    <n v="2"/>
    <n v="28.66"/>
    <s v="Overweight"/>
    <n v="673.58490566037733"/>
  </r>
  <r>
    <n v="741"/>
    <s v="Hyderabad"/>
    <n v="22"/>
    <s v="Female"/>
    <n v="78.5"/>
    <n v="1.7"/>
    <n v="177"/>
    <n v="138"/>
    <n v="66"/>
    <n v="1.36"/>
    <n v="938"/>
    <x v="3"/>
    <n v="31.9"/>
    <n v="2.1"/>
    <x v="0"/>
    <n v="2"/>
    <n v="27.16"/>
    <s v="Overweight"/>
    <n v="689.7058823529411"/>
  </r>
  <r>
    <n v="742"/>
    <s v="Ahmedabad"/>
    <n v="51"/>
    <s v="Female"/>
    <n v="77.3"/>
    <n v="1.58"/>
    <n v="171"/>
    <n v="168"/>
    <n v="68"/>
    <n v="0.97"/>
    <n v="733"/>
    <x v="2"/>
    <n v="31.1"/>
    <n v="2"/>
    <x v="3"/>
    <n v="1"/>
    <n v="30.96"/>
    <s v="Obesity"/>
    <n v="755.67010309278351"/>
  </r>
  <r>
    <n v="743"/>
    <s v="Gurgaon"/>
    <n v="23"/>
    <s v="Female"/>
    <n v="64.5"/>
    <n v="1.7"/>
    <n v="187"/>
    <n v="125"/>
    <n v="72"/>
    <n v="0.51"/>
    <n v="319"/>
    <x v="2"/>
    <n v="30.4"/>
    <n v="1.7"/>
    <x v="3"/>
    <n v="1"/>
    <n v="22.32"/>
    <s v="Normal Weight"/>
    <n v="625.49019607843138"/>
  </r>
  <r>
    <n v="744"/>
    <s v="Bengaluru"/>
    <n v="19"/>
    <s v="Male"/>
    <n v="72"/>
    <n v="1.94"/>
    <n v="199"/>
    <n v="148"/>
    <n v="62"/>
    <n v="1.17"/>
    <n v="952"/>
    <x v="0"/>
    <n v="24.7"/>
    <n v="3.2"/>
    <x v="1"/>
    <n v="2"/>
    <n v="19.13"/>
    <s v="Normal Weight"/>
    <n v="813.67521367521374"/>
  </r>
  <r>
    <n v="745"/>
    <s v="Bengaluru"/>
    <n v="30"/>
    <s v="Female"/>
    <n v="77.900000000000006"/>
    <n v="1.77"/>
    <n v="166"/>
    <n v="130"/>
    <n v="62"/>
    <n v="1.41"/>
    <n v="916"/>
    <x v="2"/>
    <n v="27.9"/>
    <n v="2.6"/>
    <x v="0"/>
    <n v="2"/>
    <n v="24.87"/>
    <s v="Normal Weight"/>
    <n v="649.64539007092208"/>
  </r>
  <r>
    <n v="746"/>
    <s v="Delhi"/>
    <n v="28"/>
    <s v="Female"/>
    <n v="69.599999999999994"/>
    <n v="1.58"/>
    <n v="182"/>
    <n v="135"/>
    <n v="50"/>
    <n v="1.49"/>
    <n v="1006"/>
    <x v="2"/>
    <n v="27.8"/>
    <n v="2"/>
    <x v="1"/>
    <n v="2"/>
    <n v="27.88"/>
    <s v="Overweight"/>
    <n v="675.16778523489938"/>
  </r>
  <r>
    <n v="747"/>
    <s v="Noida"/>
    <n v="40"/>
    <s v="Male"/>
    <n v="68.900000000000006"/>
    <n v="1.99"/>
    <n v="180"/>
    <n v="149"/>
    <n v="51"/>
    <n v="1.1599999999999999"/>
    <n v="951"/>
    <x v="2"/>
    <n v="25"/>
    <n v="2.4"/>
    <x v="0"/>
    <n v="2"/>
    <n v="17.399999999999999"/>
    <s v="Underweight"/>
    <n v="819.82758620689663"/>
  </r>
  <r>
    <n v="748"/>
    <s v="Bengaluru"/>
    <n v="33"/>
    <s v="Male"/>
    <n v="45.9"/>
    <n v="1.89"/>
    <n v="193"/>
    <n v="144"/>
    <n v="50"/>
    <n v="1.45"/>
    <n v="1148"/>
    <x v="2"/>
    <n v="21.6"/>
    <n v="2.9"/>
    <x v="1"/>
    <n v="2"/>
    <n v="12.85"/>
    <s v="Underweight"/>
    <n v="791.72413793103453"/>
  </r>
  <r>
    <n v="749"/>
    <s v="Bengaluru"/>
    <n v="48"/>
    <s v="Female"/>
    <n v="68.2"/>
    <n v="1.69"/>
    <n v="170"/>
    <n v="159"/>
    <n v="73"/>
    <n v="0.75"/>
    <n v="537"/>
    <x v="1"/>
    <n v="28.4"/>
    <n v="2.5"/>
    <x v="1"/>
    <n v="1"/>
    <n v="23.88"/>
    <s v="Normal Weight"/>
    <n v="716"/>
  </r>
  <r>
    <n v="750"/>
    <s v="Pune"/>
    <n v="28"/>
    <s v="Female"/>
    <n v="79.599999999999994"/>
    <n v="1.59"/>
    <n v="181"/>
    <n v="130"/>
    <n v="54"/>
    <n v="1.49"/>
    <n v="968"/>
    <x v="1"/>
    <n v="28.2"/>
    <n v="1.5"/>
    <x v="1"/>
    <n v="2"/>
    <n v="31.49"/>
    <s v="Obesity"/>
    <n v="649.66442953020135"/>
  </r>
  <r>
    <n v="751"/>
    <s v="Pune"/>
    <n v="33"/>
    <s v="Female"/>
    <n v="53.6"/>
    <n v="1.52"/>
    <n v="194"/>
    <n v="126"/>
    <n v="73"/>
    <n v="1.02"/>
    <n v="643"/>
    <x v="2"/>
    <n v="30.9"/>
    <n v="2.2999999999999998"/>
    <x v="3"/>
    <n v="1"/>
    <n v="23.2"/>
    <s v="Normal Weight"/>
    <n v="630.39215686274508"/>
  </r>
  <r>
    <n v="752"/>
    <s v="Delhi"/>
    <n v="25"/>
    <s v="Female"/>
    <n v="57.7"/>
    <n v="1.58"/>
    <n v="188"/>
    <n v="145"/>
    <n v="52"/>
    <n v="1.36"/>
    <n v="986"/>
    <x v="0"/>
    <n v="25.7"/>
    <n v="2.2000000000000002"/>
    <x v="1"/>
    <n v="2"/>
    <n v="23.11"/>
    <s v="Normal Weight"/>
    <n v="725"/>
  </r>
  <r>
    <n v="753"/>
    <s v="Noida"/>
    <n v="21"/>
    <s v="Male"/>
    <n v="74.2"/>
    <n v="1.93"/>
    <n v="187"/>
    <n v="141"/>
    <n v="56"/>
    <n v="1.32"/>
    <n v="1024"/>
    <x v="1"/>
    <n v="28.3"/>
    <n v="2.5"/>
    <x v="1"/>
    <n v="2"/>
    <n v="19.920000000000002"/>
    <s v="Normal Weight"/>
    <n v="775.75757575757575"/>
  </r>
  <r>
    <n v="754"/>
    <s v="Chennai"/>
    <n v="57"/>
    <s v="Female"/>
    <n v="64.400000000000006"/>
    <n v="1.56"/>
    <n v="177"/>
    <n v="144"/>
    <n v="73"/>
    <n v="1.52"/>
    <n v="985"/>
    <x v="2"/>
    <n v="17.8"/>
    <n v="2.7"/>
    <x v="2"/>
    <n v="3"/>
    <n v="26.46"/>
    <s v="Overweight"/>
    <n v="648.02631578947364"/>
  </r>
  <r>
    <n v="755"/>
    <s v="Pune"/>
    <n v="21"/>
    <s v="Female"/>
    <n v="54.9"/>
    <n v="1.78"/>
    <n v="173"/>
    <n v="138"/>
    <n v="71"/>
    <n v="0.55000000000000004"/>
    <n v="380"/>
    <x v="1"/>
    <n v="31.7"/>
    <n v="2"/>
    <x v="3"/>
    <n v="1"/>
    <n v="17.329999999999998"/>
    <s v="Underweight"/>
    <n v="690.90909090909088"/>
  </r>
  <r>
    <n v="756"/>
    <s v="Chennai"/>
    <n v="42"/>
    <s v="Male"/>
    <n v="50.3"/>
    <n v="1.64"/>
    <n v="177"/>
    <n v="150"/>
    <n v="62"/>
    <n v="0.63"/>
    <n v="468"/>
    <x v="3"/>
    <n v="27"/>
    <n v="2.4"/>
    <x v="1"/>
    <n v="1"/>
    <n v="18.7"/>
    <s v="Normal Weight"/>
    <n v="742.85714285714289"/>
  </r>
  <r>
    <n v="757"/>
    <s v="Mumbai"/>
    <n v="20"/>
    <s v="Female"/>
    <n v="46.5"/>
    <n v="1.68"/>
    <n v="187"/>
    <n v="145"/>
    <n v="72"/>
    <n v="0.91"/>
    <n v="660"/>
    <x v="1"/>
    <n v="27.9"/>
    <n v="2.4"/>
    <x v="3"/>
    <n v="1"/>
    <n v="16.48"/>
    <s v="Underweight"/>
    <n v="725.27472527472526"/>
  </r>
  <r>
    <n v="758"/>
    <s v="Pune"/>
    <n v="49"/>
    <s v="Male"/>
    <n v="57.8"/>
    <n v="1.99"/>
    <n v="183"/>
    <n v="161"/>
    <n v="67"/>
    <n v="0.93"/>
    <n v="741"/>
    <x v="1"/>
    <n v="24.7"/>
    <n v="3.1"/>
    <x v="1"/>
    <n v="1"/>
    <n v="14.6"/>
    <s v="Underweight"/>
    <n v="796.77419354838707"/>
  </r>
  <r>
    <n v="759"/>
    <s v="Gurgaon"/>
    <n v="20"/>
    <s v="Male"/>
    <n v="83"/>
    <n v="1.8"/>
    <n v="167"/>
    <n v="160"/>
    <n v="73"/>
    <n v="0.79"/>
    <n v="695"/>
    <x v="0"/>
    <n v="29.6"/>
    <n v="2.9"/>
    <x v="3"/>
    <n v="1"/>
    <n v="25.62"/>
    <s v="Overweight"/>
    <n v="879.74683544303798"/>
  </r>
  <r>
    <n v="760"/>
    <s v="Noida"/>
    <n v="44"/>
    <s v="Male"/>
    <n v="82.5"/>
    <n v="1.79"/>
    <n v="167"/>
    <n v="155"/>
    <n v="70"/>
    <n v="1.51"/>
    <n v="1159"/>
    <x v="1"/>
    <n v="13.8"/>
    <n v="3.5"/>
    <x v="2"/>
    <n v="3"/>
    <n v="25.75"/>
    <s v="Overweight"/>
    <n v="767.5496688741722"/>
  </r>
  <r>
    <n v="761"/>
    <s v="Delhi"/>
    <n v="46"/>
    <s v="Female"/>
    <n v="66.5"/>
    <n v="1.73"/>
    <n v="163"/>
    <n v="142"/>
    <n v="56"/>
    <n v="1.1100000000000001"/>
    <n v="709"/>
    <x v="0"/>
    <n v="34.700000000000003"/>
    <n v="2"/>
    <x v="1"/>
    <n v="1"/>
    <n v="22.22"/>
    <s v="Normal Weight"/>
    <n v="638.73873873873868"/>
  </r>
  <r>
    <n v="762"/>
    <s v="Mumbai"/>
    <n v="49"/>
    <s v="Female"/>
    <n v="70.2"/>
    <n v="1.67"/>
    <n v="186"/>
    <n v="166"/>
    <n v="50"/>
    <n v="0.93"/>
    <n v="695"/>
    <x v="3"/>
    <n v="32.5"/>
    <n v="1.8"/>
    <x v="1"/>
    <n v="1"/>
    <n v="25.17"/>
    <s v="Overweight"/>
    <n v="747.31182795698919"/>
  </r>
  <r>
    <n v="763"/>
    <s v="Noida"/>
    <n v="36"/>
    <s v="Male"/>
    <n v="121.9"/>
    <n v="1.93"/>
    <n v="195"/>
    <n v="132"/>
    <n v="54"/>
    <n v="1.49"/>
    <n v="1082"/>
    <x v="2"/>
    <n v="21.8"/>
    <n v="3.4"/>
    <x v="1"/>
    <n v="2"/>
    <n v="32.729999999999997"/>
    <s v="Obesity"/>
    <n v="726.17449664429535"/>
  </r>
  <r>
    <n v="764"/>
    <s v="Gurgaon"/>
    <n v="38"/>
    <s v="Female"/>
    <n v="70.3"/>
    <n v="1.52"/>
    <n v="164"/>
    <n v="144"/>
    <n v="66"/>
    <n v="1.19"/>
    <n v="857"/>
    <x v="0"/>
    <n v="25.6"/>
    <n v="2"/>
    <x v="0"/>
    <n v="2"/>
    <n v="30.43"/>
    <s v="Obesity"/>
    <n v="720.1680672268908"/>
  </r>
  <r>
    <n v="765"/>
    <s v="Noida"/>
    <n v="22"/>
    <s v="Female"/>
    <n v="40.299999999999997"/>
    <n v="1.56"/>
    <n v="192"/>
    <n v="121"/>
    <n v="57"/>
    <n v="1.45"/>
    <n v="877"/>
    <x v="1"/>
    <n v="30.8"/>
    <n v="2.1"/>
    <x v="0"/>
    <n v="2"/>
    <n v="16.559999999999999"/>
    <s v="Underweight"/>
    <n v="604.82758620689663"/>
  </r>
  <r>
    <n v="766"/>
    <s v="Gurgaon"/>
    <n v="35"/>
    <s v="Male"/>
    <n v="101.4"/>
    <n v="1.76"/>
    <n v="193"/>
    <n v="121"/>
    <n v="64"/>
    <n v="0.84"/>
    <n v="559"/>
    <x v="1"/>
    <n v="23.6"/>
    <n v="2.9"/>
    <x v="3"/>
    <n v="1"/>
    <n v="32.74"/>
    <s v="Obesity"/>
    <n v="665.47619047619048"/>
  </r>
  <r>
    <n v="767"/>
    <s v="Gurgaon"/>
    <n v="45"/>
    <s v="Male"/>
    <n v="79.2"/>
    <n v="1.95"/>
    <n v="189"/>
    <n v="135"/>
    <n v="69"/>
    <n v="1.47"/>
    <n v="982"/>
    <x v="0"/>
    <n v="22.8"/>
    <n v="2.8"/>
    <x v="1"/>
    <n v="2"/>
    <n v="20.83"/>
    <s v="Normal Weight"/>
    <n v="668.02721088435374"/>
  </r>
  <r>
    <n v="768"/>
    <s v="Chennai"/>
    <n v="59"/>
    <s v="Female"/>
    <n v="75.8"/>
    <n v="1.77"/>
    <n v="167"/>
    <n v="128"/>
    <n v="53"/>
    <n v="1.46"/>
    <n v="841"/>
    <x v="3"/>
    <n v="33.1"/>
    <n v="1.8"/>
    <x v="1"/>
    <n v="1"/>
    <n v="24.19"/>
    <s v="Normal Weight"/>
    <n v="576.02739726027403"/>
  </r>
  <r>
    <n v="769"/>
    <s v="Ahmedabad"/>
    <n v="39"/>
    <s v="Male"/>
    <n v="71.7"/>
    <n v="1.88"/>
    <n v="198"/>
    <n v="147"/>
    <n v="51"/>
    <n v="0.55000000000000004"/>
    <n v="445"/>
    <x v="2"/>
    <n v="23.7"/>
    <n v="2.2000000000000002"/>
    <x v="3"/>
    <n v="1"/>
    <n v="20.29"/>
    <s v="Normal Weight"/>
    <n v="809.09090909090901"/>
  </r>
  <r>
    <n v="770"/>
    <s v="Mumbai"/>
    <n v="38"/>
    <s v="Female"/>
    <n v="57.7"/>
    <n v="1.56"/>
    <n v="185"/>
    <n v="132"/>
    <n v="54"/>
    <n v="1.64"/>
    <n v="1082"/>
    <x v="1"/>
    <n v="16.600000000000001"/>
    <n v="2.7"/>
    <x v="2"/>
    <n v="3"/>
    <n v="23.71"/>
    <s v="Normal Weight"/>
    <n v="659.7560975609756"/>
  </r>
  <r>
    <n v="771"/>
    <s v="Noida"/>
    <n v="23"/>
    <s v="Female"/>
    <n v="47.4"/>
    <n v="1.6"/>
    <n v="196"/>
    <n v="154"/>
    <n v="50"/>
    <n v="0.76"/>
    <n v="585"/>
    <x v="3"/>
    <n v="33.5"/>
    <n v="1.6"/>
    <x v="1"/>
    <n v="1"/>
    <n v="18.52"/>
    <s v="Normal Weight"/>
    <n v="769.73684210526312"/>
  </r>
  <r>
    <n v="772"/>
    <s v="Hyderabad"/>
    <n v="18"/>
    <s v="Female"/>
    <n v="57.2"/>
    <n v="1.75"/>
    <n v="193"/>
    <n v="160"/>
    <n v="74"/>
    <n v="1.29"/>
    <n v="1032"/>
    <x v="2"/>
    <n v="33.5"/>
    <n v="2.4"/>
    <x v="1"/>
    <n v="2"/>
    <n v="18.68"/>
    <s v="Normal Weight"/>
    <n v="800"/>
  </r>
  <r>
    <n v="773"/>
    <s v="Mumbai"/>
    <n v="22"/>
    <s v="Female"/>
    <n v="44.8"/>
    <n v="1.72"/>
    <n v="166"/>
    <n v="132"/>
    <n v="54"/>
    <n v="1.48"/>
    <n v="977"/>
    <x v="2"/>
    <n v="28.6"/>
    <n v="1.8"/>
    <x v="0"/>
    <n v="2"/>
    <n v="15.14"/>
    <s v="Underweight"/>
    <n v="660.1351351351351"/>
  </r>
  <r>
    <n v="774"/>
    <s v="Ahmedabad"/>
    <n v="58"/>
    <s v="Male"/>
    <n v="90.2"/>
    <n v="1.72"/>
    <n v="199"/>
    <n v="150"/>
    <n v="55"/>
    <n v="0.9"/>
    <n v="668"/>
    <x v="1"/>
    <n v="28.3"/>
    <n v="2.1"/>
    <x v="3"/>
    <n v="1"/>
    <n v="30.49"/>
    <s v="Obesity"/>
    <n v="742.22222222222217"/>
  </r>
  <r>
    <n v="775"/>
    <s v="Mumbai"/>
    <n v="29"/>
    <s v="Male"/>
    <n v="84.9"/>
    <n v="1.72"/>
    <n v="187"/>
    <n v="140"/>
    <n v="51"/>
    <n v="1.79"/>
    <n v="1378"/>
    <x v="0"/>
    <n v="14.3"/>
    <n v="3.5"/>
    <x v="0"/>
    <n v="3"/>
    <n v="28.7"/>
    <s v="Overweight"/>
    <n v="769.8324022346369"/>
  </r>
  <r>
    <n v="776"/>
    <s v="Bengaluru"/>
    <n v="43"/>
    <s v="Male"/>
    <n v="95.7"/>
    <n v="1.77"/>
    <n v="198"/>
    <n v="151"/>
    <n v="50"/>
    <n v="1.08"/>
    <n v="807"/>
    <x v="1"/>
    <n v="24.2"/>
    <n v="3.4"/>
    <x v="1"/>
    <n v="1"/>
    <n v="30.55"/>
    <s v="Obesity"/>
    <n v="747.22222222222217"/>
  </r>
  <r>
    <n v="777"/>
    <s v="Hyderabad"/>
    <n v="51"/>
    <s v="Male"/>
    <n v="59"/>
    <n v="1.65"/>
    <n v="198"/>
    <n v="153"/>
    <n v="53"/>
    <n v="1.22"/>
    <n v="924"/>
    <x v="1"/>
    <n v="20.7"/>
    <n v="2.2999999999999998"/>
    <x v="1"/>
    <n v="2"/>
    <n v="21.67"/>
    <s v="Normal Weight"/>
    <n v="757.37704918032784"/>
  </r>
  <r>
    <n v="778"/>
    <s v="Ahmedabad"/>
    <n v="31"/>
    <s v="Female"/>
    <n v="60.5"/>
    <n v="1.77"/>
    <n v="187"/>
    <n v="127"/>
    <n v="56"/>
    <n v="1.72"/>
    <n v="1092"/>
    <x v="1"/>
    <n v="15"/>
    <n v="2.7"/>
    <x v="0"/>
    <n v="3"/>
    <n v="19.309999999999999"/>
    <s v="Normal Weight"/>
    <n v="634.88372093023258"/>
  </r>
  <r>
    <n v="779"/>
    <s v="Chennai"/>
    <n v="43"/>
    <s v="Female"/>
    <n v="53.8"/>
    <n v="1.72"/>
    <n v="173"/>
    <n v="160"/>
    <n v="71"/>
    <n v="1.03"/>
    <n v="742"/>
    <x v="3"/>
    <n v="30.2"/>
    <n v="2.2999999999999998"/>
    <x v="0"/>
    <n v="2"/>
    <n v="18.190000000000001"/>
    <s v="Underweight"/>
    <n v="720.38834951456306"/>
  </r>
  <r>
    <n v="780"/>
    <s v="Noida"/>
    <n v="44"/>
    <s v="Male"/>
    <n v="86.6"/>
    <n v="1.97"/>
    <n v="197"/>
    <n v="167"/>
    <n v="50"/>
    <n v="1.66"/>
    <n v="1372"/>
    <x v="0"/>
    <n v="11.7"/>
    <n v="3.5"/>
    <x v="2"/>
    <n v="3"/>
    <n v="22.31"/>
    <s v="Normal Weight"/>
    <n v="826.50602409638554"/>
  </r>
  <r>
    <n v="781"/>
    <s v="Kolkata"/>
    <n v="26"/>
    <s v="Female"/>
    <n v="72.8"/>
    <n v="1.67"/>
    <n v="163"/>
    <n v="121"/>
    <n v="50"/>
    <n v="1.37"/>
    <n v="829"/>
    <x v="3"/>
    <n v="35"/>
    <n v="1.9"/>
    <x v="3"/>
    <n v="1"/>
    <n v="26.1"/>
    <s v="Overweight"/>
    <n v="605.1094890510949"/>
  </r>
  <r>
    <n v="782"/>
    <s v="Ahmedabad"/>
    <n v="43"/>
    <s v="Female"/>
    <n v="66.3"/>
    <n v="1.77"/>
    <n v="177"/>
    <n v="157"/>
    <n v="57"/>
    <n v="1.48"/>
    <n v="1046"/>
    <x v="1"/>
    <n v="32.700000000000003"/>
    <n v="1.7"/>
    <x v="0"/>
    <n v="2"/>
    <n v="21.16"/>
    <s v="Normal Weight"/>
    <n v="706.75675675675677"/>
  </r>
  <r>
    <n v="783"/>
    <s v="Delhi"/>
    <n v="39"/>
    <s v="Female"/>
    <n v="56"/>
    <n v="1.6"/>
    <n v="184"/>
    <n v="151"/>
    <n v="69"/>
    <n v="0.89"/>
    <n v="672"/>
    <x v="0"/>
    <n v="32.6"/>
    <n v="2"/>
    <x v="3"/>
    <n v="1"/>
    <n v="21.87"/>
    <s v="Normal Weight"/>
    <n v="755.05617977528084"/>
  </r>
  <r>
    <n v="784"/>
    <s v="Noida"/>
    <n v="47"/>
    <s v="Male"/>
    <n v="45.9"/>
    <n v="1.93"/>
    <n v="166"/>
    <n v="159"/>
    <n v="65"/>
    <n v="1.29"/>
    <n v="1015"/>
    <x v="2"/>
    <n v="29.6"/>
    <n v="2"/>
    <x v="1"/>
    <n v="2"/>
    <n v="12.32"/>
    <s v="Underweight"/>
    <n v="786.82170542635652"/>
  </r>
  <r>
    <n v="785"/>
    <s v="Ahmedabad"/>
    <n v="34"/>
    <s v="Male"/>
    <n v="88"/>
    <n v="1.64"/>
    <n v="197"/>
    <n v="147"/>
    <n v="70"/>
    <n v="1.9"/>
    <n v="1536"/>
    <x v="0"/>
    <n v="14.4"/>
    <n v="3.5"/>
    <x v="0"/>
    <n v="3"/>
    <n v="32.72"/>
    <s v="Obesity"/>
    <n v="808.42105263157896"/>
  </r>
  <r>
    <n v="786"/>
    <s v="Bengaluru"/>
    <n v="43"/>
    <s v="Male"/>
    <n v="94"/>
    <n v="1.79"/>
    <n v="187"/>
    <n v="156"/>
    <n v="62"/>
    <n v="1.31"/>
    <n v="1012"/>
    <x v="1"/>
    <n v="23.2"/>
    <n v="3.4"/>
    <x v="3"/>
    <n v="1"/>
    <n v="29.34"/>
    <s v="Overweight"/>
    <n v="772.51908396946567"/>
  </r>
  <r>
    <n v="787"/>
    <s v="Kolkata"/>
    <n v="53"/>
    <s v="Female"/>
    <n v="44.7"/>
    <n v="1.79"/>
    <n v="164"/>
    <n v="160"/>
    <n v="72"/>
    <n v="1.34"/>
    <n v="965"/>
    <x v="0"/>
    <n v="26.7"/>
    <n v="2.1"/>
    <x v="1"/>
    <n v="2"/>
    <n v="13.95"/>
    <s v="Underweight"/>
    <n v="720.14925373134326"/>
  </r>
  <r>
    <n v="788"/>
    <s v="Bengaluru"/>
    <n v="18"/>
    <s v="Male"/>
    <n v="63.2"/>
    <n v="1.63"/>
    <n v="162"/>
    <n v="120"/>
    <n v="73"/>
    <n v="0.66"/>
    <n v="436"/>
    <x v="2"/>
    <n v="27.5"/>
    <n v="2.2000000000000002"/>
    <x v="1"/>
    <n v="1"/>
    <n v="23.79"/>
    <s v="Normal Weight"/>
    <n v="660.60606060606062"/>
  </r>
  <r>
    <n v="789"/>
    <s v="Kolkata"/>
    <n v="25"/>
    <s v="Male"/>
    <n v="95.6"/>
    <n v="1.9"/>
    <n v="190"/>
    <n v="160"/>
    <n v="72"/>
    <n v="1.47"/>
    <n v="1294"/>
    <x v="2"/>
    <n v="23.8"/>
    <n v="2.4"/>
    <x v="0"/>
    <n v="2"/>
    <n v="26.48"/>
    <s v="Overweight"/>
    <n v="880.27210884353747"/>
  </r>
  <r>
    <n v="790"/>
    <s v="Delhi"/>
    <n v="52"/>
    <s v="Male"/>
    <n v="47.8"/>
    <n v="1.86"/>
    <n v="179"/>
    <n v="129"/>
    <n v="67"/>
    <n v="1.01"/>
    <n v="645"/>
    <x v="0"/>
    <n v="24.7"/>
    <n v="2.8"/>
    <x v="1"/>
    <n v="2"/>
    <n v="13.82"/>
    <s v="Underweight"/>
    <n v="638.61386138613864"/>
  </r>
  <r>
    <n v="791"/>
    <s v="Noida"/>
    <n v="32"/>
    <s v="Male"/>
    <n v="85.3"/>
    <n v="1.64"/>
    <n v="178"/>
    <n v="123"/>
    <n v="69"/>
    <n v="1.77"/>
    <n v="1197"/>
    <x v="2"/>
    <n v="13.2"/>
    <n v="3.5"/>
    <x v="0"/>
    <n v="3"/>
    <n v="31.71"/>
    <s v="Obesity"/>
    <n v="676.27118644067798"/>
  </r>
  <r>
    <n v="792"/>
    <s v="Chennai"/>
    <n v="39"/>
    <s v="Male"/>
    <n v="59.7"/>
    <n v="1.83"/>
    <n v="170"/>
    <n v="154"/>
    <n v="59"/>
    <n v="1.35"/>
    <n v="1143"/>
    <x v="3"/>
    <n v="29.1"/>
    <n v="2.2999999999999998"/>
    <x v="0"/>
    <n v="2"/>
    <n v="17.829999999999998"/>
    <s v="Underweight"/>
    <n v="846.66666666666663"/>
  </r>
  <r>
    <n v="793"/>
    <s v="Bengaluru"/>
    <n v="31"/>
    <s v="Male"/>
    <n v="70.2"/>
    <n v="1.98"/>
    <n v="199"/>
    <n v="129"/>
    <n v="61"/>
    <n v="0.71"/>
    <n v="504"/>
    <x v="0"/>
    <n v="24.2"/>
    <n v="2.5"/>
    <x v="3"/>
    <n v="1"/>
    <n v="17.91"/>
    <s v="Underweight"/>
    <n v="709.85915492957747"/>
  </r>
  <r>
    <n v="794"/>
    <s v="Bengaluru"/>
    <n v="43"/>
    <s v="Female"/>
    <n v="72.7"/>
    <n v="1.8"/>
    <n v="162"/>
    <n v="166"/>
    <n v="50"/>
    <n v="0.79"/>
    <n v="590"/>
    <x v="2"/>
    <n v="32.799999999999997"/>
    <n v="2.1"/>
    <x v="1"/>
    <n v="1"/>
    <n v="22.44"/>
    <s v="Normal Weight"/>
    <n v="746.83544303797464"/>
  </r>
  <r>
    <n v="795"/>
    <s v="Gurgaon"/>
    <n v="45"/>
    <s v="Female"/>
    <n v="50.4"/>
    <n v="1.79"/>
    <n v="182"/>
    <n v="130"/>
    <n v="59"/>
    <n v="0.74"/>
    <n v="433"/>
    <x v="2"/>
    <n v="27.7"/>
    <n v="2.5"/>
    <x v="3"/>
    <n v="1"/>
    <n v="15.73"/>
    <s v="Underweight"/>
    <n v="585.1351351351351"/>
  </r>
  <r>
    <n v="796"/>
    <s v="Kolkata"/>
    <n v="40"/>
    <s v="Male"/>
    <n v="81.7"/>
    <n v="1.74"/>
    <n v="166"/>
    <n v="133"/>
    <n v="58"/>
    <n v="0.91"/>
    <n v="666"/>
    <x v="0"/>
    <n v="27"/>
    <n v="2.7"/>
    <x v="3"/>
    <n v="1"/>
    <n v="26.99"/>
    <s v="Overweight"/>
    <n v="731.86813186813185"/>
  </r>
  <r>
    <n v="797"/>
    <s v="Pune"/>
    <n v="31"/>
    <s v="Male"/>
    <n v="49.3"/>
    <n v="1.62"/>
    <n v="182"/>
    <n v="157"/>
    <n v="52"/>
    <n v="0.56000000000000005"/>
    <n v="484"/>
    <x v="3"/>
    <n v="20"/>
    <n v="3.2"/>
    <x v="3"/>
    <n v="1"/>
    <n v="18.79"/>
    <s v="Normal Weight"/>
    <n v="864.28571428571422"/>
  </r>
  <r>
    <n v="798"/>
    <s v="Noida"/>
    <n v="41"/>
    <s v="Female"/>
    <n v="61.9"/>
    <n v="1.64"/>
    <n v="166"/>
    <n v="131"/>
    <n v="68"/>
    <n v="1.93"/>
    <n v="1138"/>
    <x v="0"/>
    <n v="19.399999999999999"/>
    <n v="2.7"/>
    <x v="0"/>
    <n v="3"/>
    <n v="23.01"/>
    <s v="Normal Weight"/>
    <n v="589.63730569948189"/>
  </r>
  <r>
    <n v="799"/>
    <s v="Kolkata"/>
    <n v="19"/>
    <s v="Female"/>
    <n v="49.1"/>
    <n v="1.68"/>
    <n v="193"/>
    <n v="164"/>
    <n v="58"/>
    <n v="1.42"/>
    <n v="1164"/>
    <x v="2"/>
    <n v="25.3"/>
    <n v="2.6"/>
    <x v="0"/>
    <n v="2"/>
    <n v="17.399999999999999"/>
    <s v="Underweight"/>
    <n v="819.71830985915494"/>
  </r>
  <r>
    <n v="800"/>
    <s v="Gurgaon"/>
    <n v="43"/>
    <s v="Male"/>
    <n v="66.5"/>
    <n v="1.83"/>
    <n v="178"/>
    <n v="136"/>
    <n v="59"/>
    <n v="1.1100000000000001"/>
    <n v="747"/>
    <x v="0"/>
    <n v="27.1"/>
    <n v="2.4"/>
    <x v="1"/>
    <n v="2"/>
    <n v="19.86"/>
    <s v="Normal Weight"/>
    <n v="672.97297297297291"/>
  </r>
  <r>
    <n v="801"/>
    <s v="Mumbai"/>
    <n v="31"/>
    <s v="Male"/>
    <n v="75.5"/>
    <n v="1.93"/>
    <n v="168"/>
    <n v="135"/>
    <n v="68"/>
    <n v="0.6"/>
    <n v="446"/>
    <x v="2"/>
    <n v="20.5"/>
    <n v="3.4"/>
    <x v="3"/>
    <n v="1"/>
    <n v="20.27"/>
    <s v="Normal Weight"/>
    <n v="743.33333333333337"/>
  </r>
  <r>
    <n v="802"/>
    <s v="Kolkata"/>
    <n v="24"/>
    <s v="Male"/>
    <n v="88.2"/>
    <n v="1.79"/>
    <n v="177"/>
    <n v="154"/>
    <n v="65"/>
    <n v="1.76"/>
    <n v="1491"/>
    <x v="1"/>
    <n v="11.3"/>
    <n v="3.5"/>
    <x v="0"/>
    <n v="3"/>
    <n v="27.53"/>
    <s v="Overweight"/>
    <n v="847.15909090909088"/>
  </r>
  <r>
    <n v="803"/>
    <s v="Chennai"/>
    <n v="20"/>
    <s v="Male"/>
    <n v="74.8"/>
    <n v="1.75"/>
    <n v="184"/>
    <n v="121"/>
    <n v="73"/>
    <n v="1.33"/>
    <n v="885"/>
    <x v="0"/>
    <n v="25"/>
    <n v="3.3"/>
    <x v="1"/>
    <n v="2"/>
    <n v="24.42"/>
    <s v="Normal Weight"/>
    <n v="665.41353383458647"/>
  </r>
  <r>
    <n v="804"/>
    <s v="Noida"/>
    <n v="40"/>
    <s v="Female"/>
    <n v="72.2"/>
    <n v="1.6"/>
    <n v="173"/>
    <n v="130"/>
    <n v="67"/>
    <n v="0.87"/>
    <n v="566"/>
    <x v="0"/>
    <n v="29.2"/>
    <n v="1.9"/>
    <x v="1"/>
    <n v="1"/>
    <n v="28.2"/>
    <s v="Overweight"/>
    <n v="650.57471264367814"/>
  </r>
  <r>
    <n v="805"/>
    <s v="Gurgaon"/>
    <n v="35"/>
    <s v="Male"/>
    <n v="62.8"/>
    <n v="1.63"/>
    <n v="184"/>
    <n v="160"/>
    <n v="63"/>
    <n v="1.41"/>
    <n v="1241"/>
    <x v="2"/>
    <n v="21.9"/>
    <n v="3.7"/>
    <x v="0"/>
    <n v="2"/>
    <n v="23.64"/>
    <s v="Normal Weight"/>
    <n v="880.14184397163126"/>
  </r>
  <r>
    <n v="806"/>
    <s v="Mumbai"/>
    <n v="55"/>
    <s v="Male"/>
    <n v="84.7"/>
    <n v="1.79"/>
    <n v="178"/>
    <n v="122"/>
    <n v="52"/>
    <n v="1.19"/>
    <n v="719"/>
    <x v="2"/>
    <n v="23.3"/>
    <n v="2.4"/>
    <x v="1"/>
    <n v="2"/>
    <n v="26.43"/>
    <s v="Overweight"/>
    <n v="604.20168067226894"/>
  </r>
  <r>
    <n v="807"/>
    <s v="Hyderabad"/>
    <n v="52"/>
    <s v="Male"/>
    <n v="116.5"/>
    <n v="1.69"/>
    <n v="198"/>
    <n v="148"/>
    <n v="51"/>
    <n v="0.53"/>
    <n v="388"/>
    <x v="2"/>
    <n v="27.3"/>
    <n v="2.4"/>
    <x v="3"/>
    <n v="1"/>
    <n v="40.79"/>
    <s v="Obesity"/>
    <n v="732.07547169811312"/>
  </r>
  <r>
    <n v="808"/>
    <s v="Gurgaon"/>
    <n v="32"/>
    <s v="Male"/>
    <n v="77.400000000000006"/>
    <n v="1.92"/>
    <n v="174"/>
    <n v="137"/>
    <n v="50"/>
    <n v="1.39"/>
    <n v="1047"/>
    <x v="2"/>
    <n v="26.7"/>
    <n v="3.3"/>
    <x v="1"/>
    <n v="2"/>
    <n v="21"/>
    <s v="Normal Weight"/>
    <n v="753.23741007194246"/>
  </r>
  <r>
    <n v="809"/>
    <s v="Hyderabad"/>
    <n v="42"/>
    <s v="Female"/>
    <n v="72.900000000000006"/>
    <n v="1.62"/>
    <n v="175"/>
    <n v="139"/>
    <n v="67"/>
    <n v="1.17"/>
    <n v="732"/>
    <x v="0"/>
    <n v="25.7"/>
    <n v="2"/>
    <x v="0"/>
    <n v="2"/>
    <n v="27.78"/>
    <s v="Overweight"/>
    <n v="625.64102564102564"/>
  </r>
  <r>
    <n v="810"/>
    <s v="Noida"/>
    <n v="54"/>
    <s v="Female"/>
    <n v="58.4"/>
    <n v="1.59"/>
    <n v="186"/>
    <n v="166"/>
    <n v="73"/>
    <n v="1.08"/>
    <n v="807"/>
    <x v="2"/>
    <n v="32.5"/>
    <n v="1.9"/>
    <x v="3"/>
    <n v="1"/>
    <n v="23.1"/>
    <s v="Normal Weight"/>
    <n v="747.22222222222217"/>
  </r>
  <r>
    <n v="811"/>
    <s v="Bengaluru"/>
    <n v="45"/>
    <s v="Female"/>
    <n v="64.3"/>
    <n v="1.54"/>
    <n v="199"/>
    <n v="133"/>
    <n v="58"/>
    <n v="1.67"/>
    <n v="999"/>
    <x v="0"/>
    <n v="15.3"/>
    <n v="2.7"/>
    <x v="0"/>
    <n v="3"/>
    <n v="27.11"/>
    <s v="Overweight"/>
    <n v="598.20359281437129"/>
  </r>
  <r>
    <n v="812"/>
    <s v="Gurgaon"/>
    <n v="27"/>
    <s v="Male"/>
    <n v="89.3"/>
    <n v="1.87"/>
    <n v="169"/>
    <n v="153"/>
    <n v="62"/>
    <n v="1.62"/>
    <n v="1363"/>
    <x v="3"/>
    <n v="12.7"/>
    <n v="3.5"/>
    <x v="2"/>
    <n v="3"/>
    <n v="25.54"/>
    <s v="Overweight"/>
    <n v="841.35802469135797"/>
  </r>
  <r>
    <n v="813"/>
    <s v="Delhi"/>
    <n v="56"/>
    <s v="Male"/>
    <n v="90.2"/>
    <n v="1.61"/>
    <n v="163"/>
    <n v="168"/>
    <n v="51"/>
    <n v="1.38"/>
    <n v="1148"/>
    <x v="0"/>
    <n v="22.6"/>
    <n v="2.2999999999999998"/>
    <x v="1"/>
    <n v="2"/>
    <n v="34.799999999999997"/>
    <s v="Obesity"/>
    <n v="831.88405797101461"/>
  </r>
  <r>
    <n v="814"/>
    <s v="Hyderabad"/>
    <n v="34"/>
    <s v="Female"/>
    <n v="59"/>
    <n v="1.62"/>
    <n v="178"/>
    <n v="150"/>
    <n v="56"/>
    <n v="1.1299999999999999"/>
    <n v="847"/>
    <x v="2"/>
    <n v="30.9"/>
    <n v="2.4"/>
    <x v="0"/>
    <n v="2"/>
    <n v="22.48"/>
    <s v="Normal Weight"/>
    <n v="749.55752212389393"/>
  </r>
  <r>
    <n v="815"/>
    <s v="Chennai"/>
    <n v="56"/>
    <s v="Male"/>
    <n v="58.7"/>
    <n v="1.86"/>
    <n v="187"/>
    <n v="159"/>
    <n v="65"/>
    <n v="1.0900000000000001"/>
    <n v="858"/>
    <x v="2"/>
    <n v="22.6"/>
    <n v="3.3"/>
    <x v="1"/>
    <n v="2"/>
    <n v="16.97"/>
    <s v="Underweight"/>
    <n v="787.15596330275218"/>
  </r>
  <r>
    <n v="816"/>
    <s v="Delhi"/>
    <n v="39"/>
    <s v="Male"/>
    <n v="127.5"/>
    <n v="1.82"/>
    <n v="180"/>
    <n v="161"/>
    <n v="70"/>
    <n v="1.26"/>
    <n v="1116"/>
    <x v="3"/>
    <n v="29.8"/>
    <n v="3"/>
    <x v="1"/>
    <n v="2"/>
    <n v="38.49"/>
    <s v="Obesity"/>
    <n v="885.71428571428567"/>
  </r>
  <r>
    <n v="817"/>
    <s v="Ahmedabad"/>
    <n v="43"/>
    <s v="Female"/>
    <n v="68.599999999999994"/>
    <n v="1.52"/>
    <n v="173"/>
    <n v="137"/>
    <n v="68"/>
    <n v="1.42"/>
    <n v="875"/>
    <x v="0"/>
    <n v="28.1"/>
    <n v="2.6"/>
    <x v="0"/>
    <n v="2"/>
    <n v="29.69"/>
    <s v="Overweight"/>
    <n v="616.19718309859161"/>
  </r>
  <r>
    <n v="818"/>
    <s v="Ahmedabad"/>
    <n v="42"/>
    <s v="Female"/>
    <n v="56.7"/>
    <n v="1.53"/>
    <n v="192"/>
    <n v="149"/>
    <n v="74"/>
    <n v="1.07"/>
    <n v="717"/>
    <x v="3"/>
    <n v="27.4"/>
    <n v="1.9"/>
    <x v="1"/>
    <n v="1"/>
    <n v="24.22"/>
    <s v="Normal Weight"/>
    <n v="670.09345794392516"/>
  </r>
  <r>
    <n v="819"/>
    <s v="Mumbai"/>
    <n v="34"/>
    <s v="Female"/>
    <n v="64.5"/>
    <n v="1.78"/>
    <n v="169"/>
    <n v="144"/>
    <n v="64"/>
    <n v="1.33"/>
    <n v="958"/>
    <x v="0"/>
    <n v="27.8"/>
    <n v="1.8"/>
    <x v="0"/>
    <n v="2"/>
    <n v="20.36"/>
    <s v="Normal Weight"/>
    <n v="720.30075187969919"/>
  </r>
  <r>
    <n v="820"/>
    <s v="Bengaluru"/>
    <n v="30"/>
    <s v="Female"/>
    <n v="61.6"/>
    <n v="1.52"/>
    <n v="178"/>
    <n v="138"/>
    <n v="71"/>
    <n v="1.78"/>
    <n v="1228"/>
    <x v="2"/>
    <n v="19.5"/>
    <n v="2.7"/>
    <x v="0"/>
    <n v="3"/>
    <n v="26.66"/>
    <s v="Overweight"/>
    <n v="689.88764044943821"/>
  </r>
  <r>
    <n v="821"/>
    <s v="Noida"/>
    <n v="37"/>
    <s v="Male"/>
    <n v="75.099999999999994"/>
    <n v="1.82"/>
    <n v="189"/>
    <n v="127"/>
    <n v="60"/>
    <n v="1.23"/>
    <n v="859"/>
    <x v="0"/>
    <n v="26.4"/>
    <n v="3.2"/>
    <x v="0"/>
    <n v="2"/>
    <n v="22.67"/>
    <s v="Normal Weight"/>
    <n v="698.3739837398374"/>
  </r>
  <r>
    <n v="822"/>
    <s v="Gurgaon"/>
    <n v="42"/>
    <s v="Male"/>
    <n v="79.3"/>
    <n v="1.93"/>
    <n v="181"/>
    <n v="147"/>
    <n v="50"/>
    <n v="1.22"/>
    <n v="888"/>
    <x v="2"/>
    <n v="27.3"/>
    <n v="3.3"/>
    <x v="3"/>
    <n v="1"/>
    <n v="21.29"/>
    <s v="Normal Weight"/>
    <n v="727.86885245901647"/>
  </r>
  <r>
    <n v="823"/>
    <s v="Pune"/>
    <n v="21"/>
    <s v="Female"/>
    <n v="72.599999999999994"/>
    <n v="1.68"/>
    <n v="162"/>
    <n v="127"/>
    <n v="70"/>
    <n v="1.19"/>
    <n v="756"/>
    <x v="2"/>
    <n v="34.200000000000003"/>
    <n v="1.8"/>
    <x v="1"/>
    <n v="2"/>
    <n v="25.72"/>
    <s v="Overweight"/>
    <n v="635.2941176470589"/>
  </r>
  <r>
    <n v="824"/>
    <s v="Chennai"/>
    <n v="27"/>
    <s v="Male"/>
    <n v="76.7"/>
    <n v="1.7"/>
    <n v="196"/>
    <n v="150"/>
    <n v="56"/>
    <n v="0.96"/>
    <n v="792"/>
    <x v="1"/>
    <n v="29.1"/>
    <n v="2.1"/>
    <x v="1"/>
    <n v="1"/>
    <n v="26.54"/>
    <s v="Overweight"/>
    <n v="825"/>
  </r>
  <r>
    <n v="825"/>
    <s v="Hyderabad"/>
    <n v="20"/>
    <s v="Female"/>
    <n v="44.2"/>
    <n v="1.61"/>
    <n v="177"/>
    <n v="122"/>
    <n v="69"/>
    <n v="1.08"/>
    <n v="659"/>
    <x v="1"/>
    <n v="32.4"/>
    <n v="2.5"/>
    <x v="3"/>
    <n v="1"/>
    <n v="17.05"/>
    <s v="Underweight"/>
    <n v="610.18518518518511"/>
  </r>
  <r>
    <n v="826"/>
    <s v="Noida"/>
    <n v="58"/>
    <s v="Female"/>
    <n v="56.5"/>
    <n v="1.7"/>
    <n v="170"/>
    <n v="122"/>
    <n v="57"/>
    <n v="0.74"/>
    <n v="406"/>
    <x v="0"/>
    <n v="27"/>
    <n v="2.7"/>
    <x v="3"/>
    <n v="1"/>
    <n v="19.55"/>
    <s v="Normal Weight"/>
    <n v="548.64864864864865"/>
  </r>
  <r>
    <n v="827"/>
    <s v="Delhi"/>
    <n v="35"/>
    <s v="Male"/>
    <n v="100.9"/>
    <n v="1.63"/>
    <n v="161"/>
    <n v="163"/>
    <n v="59"/>
    <n v="1.1000000000000001"/>
    <n v="986"/>
    <x v="2"/>
    <n v="28.4"/>
    <n v="3.1"/>
    <x v="3"/>
    <n v="1"/>
    <n v="37.979999999999997"/>
    <s v="Obesity"/>
    <n v="896.36363636363626"/>
  </r>
  <r>
    <n v="828"/>
    <s v="Ahmedabad"/>
    <n v="53"/>
    <s v="Female"/>
    <n v="55.8"/>
    <n v="1.55"/>
    <n v="171"/>
    <n v="141"/>
    <n v="54"/>
    <n v="1.1200000000000001"/>
    <n v="711"/>
    <x v="3"/>
    <n v="27"/>
    <n v="1.8"/>
    <x v="0"/>
    <n v="2"/>
    <n v="23.23"/>
    <s v="Normal Weight"/>
    <n v="634.82142857142856"/>
  </r>
  <r>
    <n v="829"/>
    <s v="Chennai"/>
    <n v="39"/>
    <s v="Male"/>
    <n v="58.3"/>
    <n v="1.93"/>
    <n v="165"/>
    <n v="136"/>
    <n v="58"/>
    <n v="1.35"/>
    <n v="1010"/>
    <x v="2"/>
    <n v="27.4"/>
    <n v="3.7"/>
    <x v="0"/>
    <n v="2"/>
    <n v="15.65"/>
    <s v="Underweight"/>
    <n v="748.14814814814815"/>
  </r>
  <r>
    <n v="830"/>
    <s v="Pune"/>
    <n v="51"/>
    <s v="Male"/>
    <n v="48.6"/>
    <n v="1.77"/>
    <n v="199"/>
    <n v="155"/>
    <n v="74"/>
    <n v="1.47"/>
    <n v="1128"/>
    <x v="3"/>
    <n v="26.9"/>
    <n v="3.5"/>
    <x v="3"/>
    <n v="1"/>
    <n v="15.51"/>
    <s v="Underweight"/>
    <n v="767.34693877551024"/>
  </r>
  <r>
    <n v="831"/>
    <s v="Gurgaon"/>
    <n v="25"/>
    <s v="Male"/>
    <n v="81.7"/>
    <n v="1.95"/>
    <n v="188"/>
    <n v="136"/>
    <n v="74"/>
    <n v="1.94"/>
    <n v="1451"/>
    <x v="0"/>
    <n v="13.8"/>
    <n v="3.5"/>
    <x v="0"/>
    <n v="3"/>
    <n v="21.49"/>
    <s v="Normal Weight"/>
    <n v="747.93814432989689"/>
  </r>
  <r>
    <n v="832"/>
    <s v="Mumbai"/>
    <n v="57"/>
    <s v="Male"/>
    <n v="85.6"/>
    <n v="1.69"/>
    <n v="189"/>
    <n v="133"/>
    <n v="50"/>
    <n v="1.76"/>
    <n v="1159"/>
    <x v="0"/>
    <n v="12.7"/>
    <n v="3.5"/>
    <x v="2"/>
    <n v="3"/>
    <n v="29.97"/>
    <s v="Overweight"/>
    <n v="658.52272727272725"/>
  </r>
  <r>
    <n v="833"/>
    <s v="Pune"/>
    <n v="36"/>
    <s v="Female"/>
    <n v="60"/>
    <n v="1.72"/>
    <n v="161"/>
    <n v="128"/>
    <n v="51"/>
    <n v="1.63"/>
    <n v="1043"/>
    <x v="3"/>
    <n v="18.2"/>
    <n v="2.7"/>
    <x v="2"/>
    <n v="3"/>
    <n v="20.28"/>
    <s v="Normal Weight"/>
    <n v="639.87730061349703"/>
  </r>
  <r>
    <n v="834"/>
    <s v="Chennai"/>
    <n v="59"/>
    <s v="Male"/>
    <n v="126.4"/>
    <n v="1.69"/>
    <n v="168"/>
    <n v="149"/>
    <n v="68"/>
    <n v="1.24"/>
    <n v="915"/>
    <x v="3"/>
    <n v="29.5"/>
    <n v="2.9"/>
    <x v="1"/>
    <n v="1"/>
    <n v="44.26"/>
    <s v="Obesity"/>
    <n v="737.90322580645159"/>
  </r>
  <r>
    <n v="835"/>
    <s v="Pune"/>
    <n v="58"/>
    <s v="Female"/>
    <n v="75.400000000000006"/>
    <n v="1.78"/>
    <n v="161"/>
    <n v="140"/>
    <n v="63"/>
    <n v="1.05"/>
    <n v="662"/>
    <x v="2"/>
    <n v="26"/>
    <n v="2.5"/>
    <x v="0"/>
    <n v="2"/>
    <n v="23.8"/>
    <s v="Normal Weight"/>
    <n v="630.47619047619048"/>
  </r>
  <r>
    <n v="836"/>
    <s v="Chennai"/>
    <n v="54"/>
    <s v="Female"/>
    <n v="64.2"/>
    <n v="1.69"/>
    <n v="188"/>
    <n v="131"/>
    <n v="69"/>
    <n v="1.69"/>
    <n v="996"/>
    <x v="0"/>
    <n v="16.5"/>
    <n v="2.7"/>
    <x v="0"/>
    <n v="3"/>
    <n v="22.48"/>
    <s v="Normal Weight"/>
    <n v="589.3491124260355"/>
  </r>
  <r>
    <n v="837"/>
    <s v="Chennai"/>
    <n v="23"/>
    <s v="Female"/>
    <n v="65.2"/>
    <n v="1.62"/>
    <n v="192"/>
    <n v="156"/>
    <n v="59"/>
    <n v="1.37"/>
    <n v="1069"/>
    <x v="2"/>
    <n v="31.1"/>
    <n v="2.5"/>
    <x v="1"/>
    <n v="2"/>
    <n v="24.84"/>
    <s v="Normal Weight"/>
    <n v="780.29197080291965"/>
  </r>
  <r>
    <n v="838"/>
    <s v="Kolkata"/>
    <n v="43"/>
    <s v="Female"/>
    <n v="70.099999999999994"/>
    <n v="1.66"/>
    <n v="169"/>
    <n v="151"/>
    <n v="58"/>
    <n v="0.99"/>
    <n v="673"/>
    <x v="3"/>
    <n v="34.6"/>
    <n v="2.6"/>
    <x v="3"/>
    <n v="1"/>
    <n v="25.44"/>
    <s v="Overweight"/>
    <n v="679.79797979797979"/>
  </r>
  <r>
    <n v="839"/>
    <s v="Hyderabad"/>
    <n v="51"/>
    <s v="Male"/>
    <n v="102.6"/>
    <n v="1.77"/>
    <n v="193"/>
    <n v="130"/>
    <n v="59"/>
    <n v="1.21"/>
    <n v="779"/>
    <x v="1"/>
    <n v="21"/>
    <n v="3.4"/>
    <x v="3"/>
    <n v="1"/>
    <n v="32.75"/>
    <s v="Obesity"/>
    <n v="643.80165289256195"/>
  </r>
  <r>
    <n v="840"/>
    <s v="Ahmedabad"/>
    <n v="23"/>
    <s v="Male"/>
    <n v="107.2"/>
    <n v="1.93"/>
    <n v="167"/>
    <n v="139"/>
    <n v="55"/>
    <n v="1.1499999999999999"/>
    <n v="879"/>
    <x v="1"/>
    <n v="20.2"/>
    <n v="3.1"/>
    <x v="0"/>
    <n v="2"/>
    <n v="28.78"/>
    <s v="Overweight"/>
    <n v="764.34782608695662"/>
  </r>
  <r>
    <n v="841"/>
    <s v="Kolkata"/>
    <n v="54"/>
    <s v="Female"/>
    <n v="56.5"/>
    <n v="1.75"/>
    <n v="196"/>
    <n v="154"/>
    <n v="66"/>
    <n v="1.76"/>
    <n v="1220"/>
    <x v="1"/>
    <n v="15.3"/>
    <n v="2.7"/>
    <x v="2"/>
    <n v="3"/>
    <n v="18.45"/>
    <s v="Underweight"/>
    <n v="693.18181818181813"/>
  </r>
  <r>
    <n v="842"/>
    <s v="Gurgaon"/>
    <n v="50"/>
    <s v="Female"/>
    <n v="61.6"/>
    <n v="1.75"/>
    <n v="192"/>
    <n v="166"/>
    <n v="74"/>
    <n v="1.22"/>
    <n v="911"/>
    <x v="3"/>
    <n v="25.5"/>
    <n v="2.2000000000000002"/>
    <x v="0"/>
    <n v="2"/>
    <n v="20.11"/>
    <s v="Normal Weight"/>
    <n v="746.72131147540983"/>
  </r>
  <r>
    <n v="843"/>
    <s v="Kolkata"/>
    <n v="39"/>
    <s v="Male"/>
    <n v="81.7"/>
    <n v="1.75"/>
    <n v="165"/>
    <n v="165"/>
    <n v="55"/>
    <n v="1.32"/>
    <n v="1198"/>
    <x v="2"/>
    <n v="29.1"/>
    <n v="2.8"/>
    <x v="0"/>
    <n v="2"/>
    <n v="26.68"/>
    <s v="Overweight"/>
    <n v="907.57575757575751"/>
  </r>
  <r>
    <n v="844"/>
    <s v="Bengaluru"/>
    <n v="38"/>
    <s v="Female"/>
    <n v="76.599999999999994"/>
    <n v="1.58"/>
    <n v="199"/>
    <n v="130"/>
    <n v="53"/>
    <n v="0.74"/>
    <n v="481"/>
    <x v="0"/>
    <n v="32.200000000000003"/>
    <n v="2.2999999999999998"/>
    <x v="3"/>
    <n v="1"/>
    <n v="30.68"/>
    <s v="Obesity"/>
    <n v="650"/>
  </r>
  <r>
    <n v="845"/>
    <s v="Bengaluru"/>
    <n v="23"/>
    <s v="Male"/>
    <n v="116.8"/>
    <n v="1.79"/>
    <n v="178"/>
    <n v="127"/>
    <n v="69"/>
    <n v="1"/>
    <n v="698"/>
    <x v="3"/>
    <n v="26.8"/>
    <n v="3.4"/>
    <x v="0"/>
    <n v="2"/>
    <n v="36.450000000000003"/>
    <s v="Obesity"/>
    <n v="698"/>
  </r>
  <r>
    <n v="846"/>
    <s v="Ahmedabad"/>
    <n v="23"/>
    <s v="Female"/>
    <n v="60.1"/>
    <n v="1.59"/>
    <n v="191"/>
    <n v="123"/>
    <n v="52"/>
    <n v="1.8"/>
    <n v="1107"/>
    <x v="1"/>
    <n v="17.600000000000001"/>
    <n v="2.7"/>
    <x v="0"/>
    <n v="3"/>
    <n v="23.77"/>
    <s v="Normal Weight"/>
    <n v="615"/>
  </r>
  <r>
    <n v="847"/>
    <s v="Pune"/>
    <n v="21"/>
    <s v="Male"/>
    <n v="93.7"/>
    <n v="1.73"/>
    <n v="186"/>
    <n v="146"/>
    <n v="72"/>
    <n v="1"/>
    <n v="803"/>
    <x v="2"/>
    <n v="27.8"/>
    <n v="3.6"/>
    <x v="3"/>
    <n v="1"/>
    <n v="31.31"/>
    <s v="Obesity"/>
    <n v="803"/>
  </r>
  <r>
    <n v="848"/>
    <s v="Hyderabad"/>
    <n v="47"/>
    <s v="Female"/>
    <n v="41.6"/>
    <n v="1.58"/>
    <n v="160"/>
    <n v="163"/>
    <n v="68"/>
    <n v="1.03"/>
    <n v="756"/>
    <x v="0"/>
    <n v="26.6"/>
    <n v="2.1"/>
    <x v="0"/>
    <n v="2"/>
    <n v="16.66"/>
    <s v="Underweight"/>
    <n v="733.98058252427188"/>
  </r>
  <r>
    <n v="849"/>
    <s v="Ahmedabad"/>
    <n v="28"/>
    <s v="Female"/>
    <n v="55.1"/>
    <n v="1.79"/>
    <n v="192"/>
    <n v="159"/>
    <n v="67"/>
    <n v="1.99"/>
    <n v="1582"/>
    <x v="0"/>
    <n v="17"/>
    <n v="2.7"/>
    <x v="2"/>
    <n v="3"/>
    <n v="17.2"/>
    <s v="Underweight"/>
    <n v="794.9748743718593"/>
  </r>
  <r>
    <n v="850"/>
    <s v="Chennai"/>
    <n v="47"/>
    <s v="Male"/>
    <n v="127.1"/>
    <n v="1.76"/>
    <n v="199"/>
    <n v="157"/>
    <n v="73"/>
    <n v="0.71"/>
    <n v="552"/>
    <x v="3"/>
    <n v="24.9"/>
    <n v="3"/>
    <x v="3"/>
    <n v="1"/>
    <n v="41.03"/>
    <s v="Obesity"/>
    <n v="777.46478873239437"/>
  </r>
  <r>
    <n v="851"/>
    <s v="Delhi"/>
    <n v="48"/>
    <s v="Female"/>
    <n v="69.099999999999994"/>
    <n v="1.6"/>
    <n v="191"/>
    <n v="166"/>
    <n v="53"/>
    <n v="1.34"/>
    <n v="1001"/>
    <x v="3"/>
    <n v="26.1"/>
    <n v="2"/>
    <x v="0"/>
    <n v="2"/>
    <n v="26.99"/>
    <s v="Overweight"/>
    <n v="747.01492537313425"/>
  </r>
  <r>
    <n v="852"/>
    <s v="Hyderabad"/>
    <n v="41"/>
    <s v="Female"/>
    <n v="66.8"/>
    <n v="1.74"/>
    <n v="164"/>
    <n v="149"/>
    <n v="57"/>
    <n v="1.34"/>
    <n v="898"/>
    <x v="0"/>
    <n v="29.2"/>
    <n v="2.2999999999999998"/>
    <x v="1"/>
    <n v="1"/>
    <n v="22.06"/>
    <s v="Normal Weight"/>
    <n v="670.14925373134326"/>
  </r>
  <r>
    <n v="853"/>
    <s v="Hyderabad"/>
    <n v="26"/>
    <s v="Male"/>
    <n v="125.5"/>
    <n v="1.76"/>
    <n v="176"/>
    <n v="163"/>
    <n v="66"/>
    <n v="1.1499999999999999"/>
    <n v="1031"/>
    <x v="0"/>
    <n v="23.2"/>
    <n v="3.1"/>
    <x v="0"/>
    <n v="2"/>
    <n v="40.520000000000003"/>
    <s v="Obesity"/>
    <n v="896.52173913043487"/>
  </r>
  <r>
    <n v="854"/>
    <s v="Chennai"/>
    <n v="20"/>
    <s v="Female"/>
    <n v="71.3"/>
    <n v="1.58"/>
    <n v="167"/>
    <n v="167"/>
    <n v="54"/>
    <n v="1.07"/>
    <n v="893"/>
    <x v="1"/>
    <n v="25.4"/>
    <n v="1.5"/>
    <x v="1"/>
    <n v="2"/>
    <n v="28.56"/>
    <s v="Overweight"/>
    <n v="834.57943925233644"/>
  </r>
  <r>
    <n v="855"/>
    <s v="Chennai"/>
    <n v="48"/>
    <s v="Male"/>
    <n v="129.19999999999999"/>
    <n v="1.61"/>
    <n v="193"/>
    <n v="167"/>
    <n v="62"/>
    <n v="1.06"/>
    <n v="876"/>
    <x v="0"/>
    <n v="21.4"/>
    <n v="2.9"/>
    <x v="0"/>
    <n v="2"/>
    <n v="49.84"/>
    <s v="Obesity"/>
    <n v="826.41509433962256"/>
  </r>
  <r>
    <n v="856"/>
    <s v="Mumbai"/>
    <n v="57"/>
    <s v="Male"/>
    <n v="96.3"/>
    <n v="1.86"/>
    <n v="168"/>
    <n v="146"/>
    <n v="74"/>
    <n v="1.1000000000000001"/>
    <n v="795"/>
    <x v="3"/>
    <n v="27.6"/>
    <n v="2.2000000000000002"/>
    <x v="1"/>
    <n v="2"/>
    <n v="27.84"/>
    <s v="Overweight"/>
    <n v="722.72727272727263"/>
  </r>
  <r>
    <n v="857"/>
    <s v="Ahmedabad"/>
    <n v="54"/>
    <s v="Female"/>
    <n v="67.5"/>
    <n v="1.54"/>
    <n v="182"/>
    <n v="140"/>
    <n v="50"/>
    <n v="0.72"/>
    <n v="454"/>
    <x v="2"/>
    <n v="25.2"/>
    <n v="1.5"/>
    <x v="1"/>
    <n v="1"/>
    <n v="28.46"/>
    <s v="Overweight"/>
    <n v="630.55555555555554"/>
  </r>
  <r>
    <n v="858"/>
    <s v="Chennai"/>
    <n v="53"/>
    <s v="Female"/>
    <n v="64.400000000000006"/>
    <n v="1.55"/>
    <n v="194"/>
    <n v="139"/>
    <n v="62"/>
    <n v="1.77"/>
    <n v="1107"/>
    <x v="1"/>
    <n v="19.7"/>
    <n v="2.7"/>
    <x v="0"/>
    <n v="3"/>
    <n v="26.81"/>
    <s v="Overweight"/>
    <n v="625.42372881355936"/>
  </r>
  <r>
    <n v="859"/>
    <s v="Bengaluru"/>
    <n v="41"/>
    <s v="Female"/>
    <n v="64.900000000000006"/>
    <n v="1.57"/>
    <n v="166"/>
    <n v="123"/>
    <n v="53"/>
    <n v="1.04"/>
    <n v="576"/>
    <x v="1"/>
    <n v="25.9"/>
    <n v="2.4"/>
    <x v="0"/>
    <n v="2"/>
    <n v="26.33"/>
    <s v="Overweight"/>
    <n v="553.84615384615381"/>
  </r>
  <r>
    <n v="860"/>
    <s v="Gurgaon"/>
    <n v="48"/>
    <s v="Female"/>
    <n v="52.3"/>
    <n v="1.66"/>
    <n v="174"/>
    <n v="130"/>
    <n v="71"/>
    <n v="0.74"/>
    <n v="433"/>
    <x v="0"/>
    <n v="33"/>
    <n v="1.8"/>
    <x v="1"/>
    <n v="1"/>
    <n v="18.98"/>
    <s v="Normal Weight"/>
    <n v="585.1351351351351"/>
  </r>
  <r>
    <n v="861"/>
    <s v="Delhi"/>
    <n v="23"/>
    <s v="Female"/>
    <n v="56.7"/>
    <n v="1.55"/>
    <n v="179"/>
    <n v="132"/>
    <n v="73"/>
    <n v="1.38"/>
    <n v="911"/>
    <x v="2"/>
    <n v="34"/>
    <n v="1.9"/>
    <x v="0"/>
    <n v="2"/>
    <n v="23.6"/>
    <s v="Normal Weight"/>
    <n v="660.14492753623199"/>
  </r>
  <r>
    <n v="862"/>
    <s v="Ahmedabad"/>
    <n v="19"/>
    <s v="Female"/>
    <n v="46.8"/>
    <n v="1.63"/>
    <n v="184"/>
    <n v="128"/>
    <n v="63"/>
    <n v="1.35"/>
    <n v="864"/>
    <x v="1"/>
    <n v="34.4"/>
    <n v="1.6"/>
    <x v="0"/>
    <n v="2"/>
    <n v="17.61"/>
    <s v="Underweight"/>
    <n v="640"/>
  </r>
  <r>
    <n v="863"/>
    <s v="Noida"/>
    <n v="37"/>
    <s v="Female"/>
    <n v="70.3"/>
    <n v="1.77"/>
    <n v="162"/>
    <n v="123"/>
    <n v="52"/>
    <n v="1.01"/>
    <n v="621"/>
    <x v="3"/>
    <n v="33.700000000000003"/>
    <n v="1.7"/>
    <x v="3"/>
    <n v="1"/>
    <n v="22.44"/>
    <s v="Normal Weight"/>
    <n v="614.85148514851483"/>
  </r>
  <r>
    <n v="864"/>
    <s v="Bengaluru"/>
    <n v="45"/>
    <s v="Male"/>
    <n v="80.8"/>
    <n v="1.76"/>
    <n v="183"/>
    <n v="131"/>
    <n v="54"/>
    <n v="1.7"/>
    <n v="1102"/>
    <x v="0"/>
    <n v="11.4"/>
    <n v="3.5"/>
    <x v="0"/>
    <n v="3"/>
    <n v="26.08"/>
    <s v="Overweight"/>
    <n v="648.23529411764707"/>
  </r>
  <r>
    <n v="865"/>
    <s v="Pune"/>
    <n v="28"/>
    <s v="Female"/>
    <n v="56"/>
    <n v="1.5"/>
    <n v="193"/>
    <n v="128"/>
    <n v="56"/>
    <n v="1.94"/>
    <n v="1242"/>
    <x v="3"/>
    <n v="16.7"/>
    <n v="2.7"/>
    <x v="2"/>
    <n v="3"/>
    <n v="24.89"/>
    <s v="Normal Weight"/>
    <n v="640.20618556701038"/>
  </r>
  <r>
    <n v="866"/>
    <s v="Chennai"/>
    <n v="21"/>
    <s v="Male"/>
    <n v="101.2"/>
    <n v="1.84"/>
    <n v="181"/>
    <n v="132"/>
    <n v="50"/>
    <n v="1.3"/>
    <n v="944"/>
    <x v="0"/>
    <n v="24.3"/>
    <n v="3.3"/>
    <x v="3"/>
    <n v="1"/>
    <n v="29.89"/>
    <s v="Overweight"/>
    <n v="726.15384615384608"/>
  </r>
  <r>
    <n v="867"/>
    <s v="Noida"/>
    <n v="32"/>
    <s v="Female"/>
    <n v="56.6"/>
    <n v="1.57"/>
    <n v="170"/>
    <n v="167"/>
    <n v="72"/>
    <n v="1.65"/>
    <n v="1378"/>
    <x v="1"/>
    <n v="15.7"/>
    <n v="2.7"/>
    <x v="0"/>
    <n v="3"/>
    <n v="22.96"/>
    <s v="Normal Weight"/>
    <n v="835.15151515151524"/>
  </r>
  <r>
    <n v="868"/>
    <s v="Chennai"/>
    <n v="23"/>
    <s v="Female"/>
    <n v="40.9"/>
    <n v="1.75"/>
    <n v="167"/>
    <n v="145"/>
    <n v="61"/>
    <n v="0.82"/>
    <n v="594"/>
    <x v="0"/>
    <n v="25.2"/>
    <n v="2.1"/>
    <x v="1"/>
    <n v="1"/>
    <n v="13.36"/>
    <s v="Underweight"/>
    <n v="724.39024390243912"/>
  </r>
  <r>
    <n v="869"/>
    <s v="Hyderabad"/>
    <n v="47"/>
    <s v="Male"/>
    <n v="127.8"/>
    <n v="1.65"/>
    <n v="198"/>
    <n v="157"/>
    <n v="60"/>
    <n v="0.77"/>
    <n v="598"/>
    <x v="2"/>
    <n v="28.7"/>
    <n v="3.5"/>
    <x v="3"/>
    <n v="1"/>
    <n v="46.94"/>
    <s v="Obesity"/>
    <n v="776.62337662337666"/>
  </r>
  <r>
    <n v="870"/>
    <s v="Bengaluru"/>
    <n v="55"/>
    <s v="Female"/>
    <n v="49.3"/>
    <n v="1.76"/>
    <n v="194"/>
    <n v="161"/>
    <n v="73"/>
    <n v="1.28"/>
    <n v="927"/>
    <x v="3"/>
    <n v="30.5"/>
    <n v="2"/>
    <x v="3"/>
    <n v="1"/>
    <n v="15.92"/>
    <s v="Underweight"/>
    <n v="724.21875"/>
  </r>
  <r>
    <n v="871"/>
    <s v="Hyderabad"/>
    <n v="19"/>
    <s v="Female"/>
    <n v="64.3"/>
    <n v="1.63"/>
    <n v="197"/>
    <n v="132"/>
    <n v="57"/>
    <n v="1.87"/>
    <n v="1234"/>
    <x v="2"/>
    <n v="18"/>
    <n v="2.7"/>
    <x v="2"/>
    <n v="3"/>
    <n v="24.2"/>
    <s v="Normal Weight"/>
    <n v="659.89304812834223"/>
  </r>
  <r>
    <n v="872"/>
    <s v="Mumbai"/>
    <n v="32"/>
    <s v="Male"/>
    <n v="49.3"/>
    <n v="1.62"/>
    <n v="167"/>
    <n v="158"/>
    <n v="74"/>
    <n v="1.18"/>
    <n v="1025"/>
    <x v="3"/>
    <n v="29.3"/>
    <n v="2.5"/>
    <x v="1"/>
    <n v="2"/>
    <n v="18.79"/>
    <s v="Normal Weight"/>
    <n v="868.64406779661022"/>
  </r>
  <r>
    <n v="873"/>
    <s v="Hyderabad"/>
    <n v="28"/>
    <s v="Female"/>
    <n v="63"/>
    <n v="1.62"/>
    <n v="196"/>
    <n v="147"/>
    <n v="55"/>
    <n v="0.68"/>
    <n v="500"/>
    <x v="3"/>
    <n v="31.7"/>
    <n v="1.9"/>
    <x v="3"/>
    <n v="1"/>
    <n v="24.01"/>
    <s v="Normal Weight"/>
    <n v="735.29411764705878"/>
  </r>
  <r>
    <n v="874"/>
    <s v="Mumbai"/>
    <n v="25"/>
    <s v="Female"/>
    <n v="41.1"/>
    <n v="1.67"/>
    <n v="186"/>
    <n v="138"/>
    <n v="71"/>
    <n v="1.03"/>
    <n v="711"/>
    <x v="0"/>
    <n v="31.9"/>
    <n v="2.4"/>
    <x v="1"/>
    <n v="2"/>
    <n v="14.74"/>
    <s v="Underweight"/>
    <n v="690.29126213592235"/>
  </r>
  <r>
    <n v="875"/>
    <s v="Mumbai"/>
    <n v="43"/>
    <s v="Female"/>
    <n v="40.5"/>
    <n v="1.74"/>
    <n v="187"/>
    <n v="143"/>
    <n v="51"/>
    <n v="1.5"/>
    <n v="965"/>
    <x v="1"/>
    <n v="32.9"/>
    <n v="2.2000000000000002"/>
    <x v="1"/>
    <n v="2"/>
    <n v="13.38"/>
    <s v="Underweight"/>
    <n v="643.33333333333337"/>
  </r>
  <r>
    <n v="876"/>
    <s v="Noida"/>
    <n v="22"/>
    <s v="Male"/>
    <n v="71"/>
    <n v="1.62"/>
    <n v="199"/>
    <n v="138"/>
    <n v="68"/>
    <n v="0.91"/>
    <n v="691"/>
    <x v="1"/>
    <n v="21.2"/>
    <n v="3.5"/>
    <x v="3"/>
    <n v="1"/>
    <n v="27.05"/>
    <s v="Overweight"/>
    <n v="759.34065934065927"/>
  </r>
  <r>
    <n v="877"/>
    <s v="Chennai"/>
    <n v="23"/>
    <s v="Female"/>
    <n v="60.9"/>
    <n v="1.62"/>
    <n v="193"/>
    <n v="168"/>
    <n v="69"/>
    <n v="1.59"/>
    <n v="1336"/>
    <x v="2"/>
    <n v="16.8"/>
    <n v="2.7"/>
    <x v="2"/>
    <n v="3"/>
    <n v="23.21"/>
    <s v="Normal Weight"/>
    <n v="840.25157232704396"/>
  </r>
  <r>
    <n v="878"/>
    <s v="Pune"/>
    <n v="43"/>
    <s v="Female"/>
    <n v="64.7"/>
    <n v="1.66"/>
    <n v="191"/>
    <n v="132"/>
    <n v="69"/>
    <n v="1.88"/>
    <n v="1117"/>
    <x v="0"/>
    <n v="19.8"/>
    <n v="2.7"/>
    <x v="0"/>
    <n v="3"/>
    <n v="23.48"/>
    <s v="Normal Weight"/>
    <n v="594.14893617021278"/>
  </r>
  <r>
    <n v="879"/>
    <s v="Hyderabad"/>
    <n v="21"/>
    <s v="Female"/>
    <n v="51"/>
    <n v="1.71"/>
    <n v="174"/>
    <n v="132"/>
    <n v="73"/>
    <n v="1.07"/>
    <n v="706"/>
    <x v="1"/>
    <n v="34.200000000000003"/>
    <n v="2.2000000000000002"/>
    <x v="1"/>
    <n v="2"/>
    <n v="17.440000000000001"/>
    <s v="Underweight"/>
    <n v="659.81308411214945"/>
  </r>
  <r>
    <n v="880"/>
    <s v="Bengaluru"/>
    <n v="36"/>
    <s v="Female"/>
    <n v="57.7"/>
    <n v="1.77"/>
    <n v="176"/>
    <n v="147"/>
    <n v="63"/>
    <n v="1.65"/>
    <n v="1213"/>
    <x v="3"/>
    <n v="19.399999999999999"/>
    <n v="2.7"/>
    <x v="0"/>
    <n v="3"/>
    <n v="18.420000000000002"/>
    <s v="Underweight"/>
    <n v="735.15151515151524"/>
  </r>
  <r>
    <n v="881"/>
    <s v="Mumbai"/>
    <n v="37"/>
    <s v="Male"/>
    <n v="76.900000000000006"/>
    <n v="1.82"/>
    <n v="192"/>
    <n v="121"/>
    <n v="50"/>
    <n v="1.49"/>
    <n v="992"/>
    <x v="3"/>
    <n v="24.5"/>
    <n v="2.8"/>
    <x v="0"/>
    <n v="2"/>
    <n v="23.22"/>
    <s v="Normal Weight"/>
    <n v="665.77181208053696"/>
  </r>
  <r>
    <n v="882"/>
    <s v="Chennai"/>
    <n v="50"/>
    <s v="Male"/>
    <n v="80.5"/>
    <n v="1.77"/>
    <n v="175"/>
    <n v="129"/>
    <n v="59"/>
    <n v="1.85"/>
    <n v="1181"/>
    <x v="0"/>
    <n v="14.3"/>
    <n v="3.5"/>
    <x v="0"/>
    <n v="3"/>
    <n v="25.7"/>
    <s v="Overweight"/>
    <n v="638.37837837837833"/>
  </r>
  <r>
    <n v="883"/>
    <s v="Delhi"/>
    <n v="37"/>
    <s v="Female"/>
    <n v="73.3"/>
    <n v="1.74"/>
    <n v="188"/>
    <n v="141"/>
    <n v="65"/>
    <n v="1.03"/>
    <n v="726"/>
    <x v="2"/>
    <n v="25.5"/>
    <n v="2.4"/>
    <x v="1"/>
    <n v="2"/>
    <n v="24.21"/>
    <s v="Normal Weight"/>
    <n v="704.85436893203882"/>
  </r>
  <r>
    <n v="884"/>
    <s v="Ahmedabad"/>
    <n v="29"/>
    <s v="Female"/>
    <n v="49"/>
    <n v="1.57"/>
    <n v="168"/>
    <n v="132"/>
    <n v="53"/>
    <n v="1.33"/>
    <n v="878"/>
    <x v="0"/>
    <n v="26.5"/>
    <n v="2.6"/>
    <x v="1"/>
    <n v="2"/>
    <n v="19.88"/>
    <s v="Normal Weight"/>
    <n v="660.1503759398496"/>
  </r>
  <r>
    <n v="885"/>
    <s v="Noida"/>
    <n v="18"/>
    <s v="Male"/>
    <n v="114.5"/>
    <n v="1.97"/>
    <n v="192"/>
    <n v="128"/>
    <n v="60"/>
    <n v="1.03"/>
    <n v="725"/>
    <x v="2"/>
    <n v="24.1"/>
    <n v="2.6"/>
    <x v="1"/>
    <n v="1"/>
    <n v="29.5"/>
    <s v="Overweight"/>
    <n v="703.88349514563106"/>
  </r>
  <r>
    <n v="886"/>
    <s v="Pune"/>
    <n v="43"/>
    <s v="Male"/>
    <n v="81"/>
    <n v="1.78"/>
    <n v="188"/>
    <n v="152"/>
    <n v="65"/>
    <n v="1.58"/>
    <n v="1189"/>
    <x v="0"/>
    <n v="12.4"/>
    <n v="3.5"/>
    <x v="2"/>
    <n v="3"/>
    <n v="25.56"/>
    <s v="Overweight"/>
    <n v="752.5316455696202"/>
  </r>
  <r>
    <n v="887"/>
    <s v="Kolkata"/>
    <n v="31"/>
    <s v="Female"/>
    <n v="53.5"/>
    <n v="1.76"/>
    <n v="172"/>
    <n v="133"/>
    <n v="69"/>
    <n v="1.22"/>
    <n v="811"/>
    <x v="3"/>
    <n v="27.6"/>
    <n v="1.8"/>
    <x v="0"/>
    <n v="2"/>
    <n v="17.27"/>
    <s v="Underweight"/>
    <n v="664.7540983606558"/>
  </r>
  <r>
    <n v="888"/>
    <s v="Noida"/>
    <n v="55"/>
    <s v="Male"/>
    <n v="52.1"/>
    <n v="1.68"/>
    <n v="180"/>
    <n v="167"/>
    <n v="50"/>
    <n v="0.77"/>
    <n v="637"/>
    <x v="0"/>
    <n v="23.6"/>
    <n v="3"/>
    <x v="1"/>
    <n v="1"/>
    <n v="18.46"/>
    <s v="Underweight"/>
    <n v="827.27272727272725"/>
  </r>
  <r>
    <n v="889"/>
    <s v="Delhi"/>
    <n v="54"/>
    <s v="Female"/>
    <n v="70.099999999999994"/>
    <n v="1.52"/>
    <n v="180"/>
    <n v="139"/>
    <n v="65"/>
    <n v="0.76"/>
    <n v="475"/>
    <x v="1"/>
    <n v="26.6"/>
    <n v="2.1"/>
    <x v="3"/>
    <n v="1"/>
    <n v="30.34"/>
    <s v="Obesity"/>
    <n v="625"/>
  </r>
  <r>
    <n v="890"/>
    <s v="Ahmedabad"/>
    <n v="28"/>
    <s v="Male"/>
    <n v="86.9"/>
    <n v="1.78"/>
    <n v="164"/>
    <n v="134"/>
    <n v="68"/>
    <n v="1.29"/>
    <n v="951"/>
    <x v="1"/>
    <n v="24.9"/>
    <n v="3.7"/>
    <x v="0"/>
    <n v="2"/>
    <n v="27.43"/>
    <s v="Overweight"/>
    <n v="737.20930232558135"/>
  </r>
  <r>
    <n v="891"/>
    <s v="Delhi"/>
    <n v="53"/>
    <s v="Male"/>
    <n v="73.400000000000006"/>
    <n v="1.76"/>
    <n v="169"/>
    <n v="151"/>
    <n v="70"/>
    <n v="1.0900000000000001"/>
    <n v="815"/>
    <x v="0"/>
    <n v="27.9"/>
    <n v="2.8"/>
    <x v="1"/>
    <n v="2"/>
    <n v="23.7"/>
    <s v="Normal Weight"/>
    <n v="747.70642201834858"/>
  </r>
  <r>
    <n v="892"/>
    <s v="Hyderabad"/>
    <n v="30"/>
    <s v="Male"/>
    <n v="90"/>
    <n v="1.66"/>
    <n v="165"/>
    <n v="152"/>
    <n v="71"/>
    <n v="1.32"/>
    <n v="1104"/>
    <x v="2"/>
    <n v="26.6"/>
    <n v="2.1"/>
    <x v="0"/>
    <n v="2"/>
    <n v="32.659999999999997"/>
    <s v="Obesity"/>
    <n v="836.36363636363637"/>
  </r>
  <r>
    <n v="893"/>
    <s v="Mumbai"/>
    <n v="20"/>
    <s v="Male"/>
    <n v="85.7"/>
    <n v="1.92"/>
    <n v="172"/>
    <n v="136"/>
    <n v="58"/>
    <n v="1.72"/>
    <n v="1287"/>
    <x v="2"/>
    <n v="10.5"/>
    <n v="3.5"/>
    <x v="2"/>
    <n v="3"/>
    <n v="23.25"/>
    <s v="Normal Weight"/>
    <n v="748.25581395348843"/>
  </r>
  <r>
    <n v="894"/>
    <s v="Pune"/>
    <n v="50"/>
    <s v="Female"/>
    <n v="70.400000000000006"/>
    <n v="1.55"/>
    <n v="160"/>
    <n v="143"/>
    <n v="58"/>
    <n v="0.73"/>
    <n v="470"/>
    <x v="3"/>
    <n v="29.9"/>
    <n v="2.7"/>
    <x v="3"/>
    <n v="1"/>
    <n v="29.3"/>
    <s v="Overweight"/>
    <n v="643.83561643835617"/>
  </r>
  <r>
    <n v="895"/>
    <s v="Gurgaon"/>
    <n v="23"/>
    <s v="Male"/>
    <n v="57.7"/>
    <n v="1.71"/>
    <n v="179"/>
    <n v="149"/>
    <n v="58"/>
    <n v="1.1499999999999999"/>
    <n v="942"/>
    <x v="3"/>
    <n v="27"/>
    <n v="3.4"/>
    <x v="1"/>
    <n v="2"/>
    <n v="19.73"/>
    <s v="Normal Weight"/>
    <n v="819.13043478260875"/>
  </r>
  <r>
    <n v="896"/>
    <s v="Mumbai"/>
    <n v="27"/>
    <s v="Male"/>
    <n v="75.7"/>
    <n v="1.76"/>
    <n v="167"/>
    <n v="132"/>
    <n v="66"/>
    <n v="0.68"/>
    <n v="494"/>
    <x v="2"/>
    <n v="25.3"/>
    <n v="2.2999999999999998"/>
    <x v="1"/>
    <n v="1"/>
    <n v="24.44"/>
    <s v="Normal Weight"/>
    <n v="726.47058823529403"/>
  </r>
  <r>
    <n v="897"/>
    <s v="Gurgaon"/>
    <n v="22"/>
    <s v="Female"/>
    <n v="61.8"/>
    <n v="1.52"/>
    <n v="169"/>
    <n v="166"/>
    <n v="61"/>
    <n v="1.83"/>
    <n v="1519"/>
    <x v="0"/>
    <n v="17"/>
    <n v="2.7"/>
    <x v="2"/>
    <n v="3"/>
    <n v="26.75"/>
    <s v="Overweight"/>
    <n v="830.05464480874309"/>
  </r>
  <r>
    <n v="898"/>
    <s v="Ahmedabad"/>
    <n v="40"/>
    <s v="Male"/>
    <n v="80.3"/>
    <n v="1.76"/>
    <n v="168"/>
    <n v="167"/>
    <n v="74"/>
    <n v="1.63"/>
    <n v="1497"/>
    <x v="3"/>
    <n v="13.1"/>
    <n v="3.5"/>
    <x v="2"/>
    <n v="3"/>
    <n v="25.92"/>
    <s v="Overweight"/>
    <n v="918.40490797546022"/>
  </r>
  <r>
    <n v="899"/>
    <s v="Chennai"/>
    <n v="27"/>
    <s v="Male"/>
    <n v="104.3"/>
    <n v="1.68"/>
    <n v="162"/>
    <n v="135"/>
    <n v="62"/>
    <n v="1.28"/>
    <n v="950"/>
    <x v="2"/>
    <n v="29.7"/>
    <n v="3.5"/>
    <x v="1"/>
    <n v="2"/>
    <n v="36.950000000000003"/>
    <s v="Obesity"/>
    <n v="742.1875"/>
  </r>
  <r>
    <n v="900"/>
    <s v="Kolkata"/>
    <n v="19"/>
    <s v="Female"/>
    <n v="65.7"/>
    <n v="1.58"/>
    <n v="170"/>
    <n v="121"/>
    <n v="57"/>
    <n v="1.46"/>
    <n v="883"/>
    <x v="2"/>
    <n v="25.9"/>
    <n v="1.9"/>
    <x v="1"/>
    <n v="2"/>
    <n v="26.32"/>
    <s v="Overweight"/>
    <n v="604.79452054794524"/>
  </r>
  <r>
    <n v="901"/>
    <s v="Bengaluru"/>
    <n v="30"/>
    <s v="Male"/>
    <n v="120.3"/>
    <n v="1.96"/>
    <n v="171"/>
    <n v="136"/>
    <n v="65"/>
    <n v="0.66"/>
    <n v="494"/>
    <x v="0"/>
    <n v="23.9"/>
    <n v="2.6"/>
    <x v="3"/>
    <n v="1"/>
    <n v="31.32"/>
    <s v="Obesity"/>
    <n v="748.4848484848485"/>
  </r>
  <r>
    <n v="902"/>
    <s v="Mumbai"/>
    <n v="57"/>
    <s v="Female"/>
    <n v="51.9"/>
    <n v="1.57"/>
    <n v="169"/>
    <n v="151"/>
    <n v="67"/>
    <n v="1.05"/>
    <n v="713"/>
    <x v="1"/>
    <n v="29.1"/>
    <n v="2.6"/>
    <x v="1"/>
    <n v="2"/>
    <n v="21.06"/>
    <s v="Normal Weight"/>
    <n v="679.04761904761904"/>
  </r>
  <r>
    <n v="903"/>
    <s v="Pune"/>
    <n v="19"/>
    <s v="Female"/>
    <n v="59.1"/>
    <n v="1.57"/>
    <n v="184"/>
    <n v="162"/>
    <n v="50"/>
    <n v="1.65"/>
    <n v="1336"/>
    <x v="2"/>
    <n v="17.899999999999999"/>
    <n v="2.7"/>
    <x v="2"/>
    <n v="3"/>
    <n v="23.98"/>
    <s v="Normal Weight"/>
    <n v="809.69696969696975"/>
  </r>
  <r>
    <n v="904"/>
    <s v="Delhi"/>
    <n v="37"/>
    <s v="Female"/>
    <n v="66.900000000000006"/>
    <n v="1.75"/>
    <n v="184"/>
    <n v="127"/>
    <n v="50"/>
    <n v="1.38"/>
    <n v="876"/>
    <x v="3"/>
    <n v="26.5"/>
    <n v="2.1"/>
    <x v="0"/>
    <n v="2"/>
    <n v="21.84"/>
    <s v="Normal Weight"/>
    <n v="634.78260869565224"/>
  </r>
  <r>
    <n v="905"/>
    <s v="Pune"/>
    <n v="18"/>
    <s v="Female"/>
    <n v="66.900000000000006"/>
    <n v="1.75"/>
    <n v="170"/>
    <n v="122"/>
    <n v="61"/>
    <n v="0.94"/>
    <n v="573"/>
    <x v="0"/>
    <n v="26.8"/>
    <n v="1.7"/>
    <x v="3"/>
    <n v="1"/>
    <n v="21.84"/>
    <s v="Normal Weight"/>
    <n v="609.57446808510645"/>
  </r>
  <r>
    <n v="906"/>
    <s v="Ahmedabad"/>
    <n v="54"/>
    <s v="Male"/>
    <n v="78.7"/>
    <n v="1.66"/>
    <n v="195"/>
    <n v="131"/>
    <n v="55"/>
    <n v="1.42"/>
    <n v="921"/>
    <x v="0"/>
    <n v="22.9"/>
    <n v="2.6"/>
    <x v="1"/>
    <n v="2"/>
    <n v="28.56"/>
    <s v="Overweight"/>
    <n v="648.59154929577471"/>
  </r>
  <r>
    <n v="907"/>
    <s v="Gurgaon"/>
    <n v="26"/>
    <s v="Female"/>
    <n v="62.4"/>
    <n v="1.61"/>
    <n v="198"/>
    <n v="139"/>
    <n v="58"/>
    <n v="1.88"/>
    <n v="1307"/>
    <x v="0"/>
    <n v="19.8"/>
    <n v="2.7"/>
    <x v="0"/>
    <n v="3"/>
    <n v="24.07"/>
    <s v="Normal Weight"/>
    <n v="695.21276595744689"/>
  </r>
  <r>
    <n v="908"/>
    <s v="Delhi"/>
    <n v="34"/>
    <s v="Male"/>
    <n v="102.1"/>
    <n v="1.71"/>
    <n v="185"/>
    <n v="135"/>
    <n v="72"/>
    <n v="0.96"/>
    <n v="713"/>
    <x v="1"/>
    <n v="27.3"/>
    <n v="3.2"/>
    <x v="3"/>
    <n v="1"/>
    <n v="34.92"/>
    <s v="Obesity"/>
    <n v="742.70833333333337"/>
  </r>
  <r>
    <n v="909"/>
    <s v="Bengaluru"/>
    <n v="26"/>
    <s v="Male"/>
    <n v="51.9"/>
    <n v="2"/>
    <n v="173"/>
    <n v="133"/>
    <n v="54"/>
    <n v="0.75"/>
    <n v="549"/>
    <x v="1"/>
    <n v="26.6"/>
    <n v="2.2999999999999998"/>
    <x v="3"/>
    <n v="1"/>
    <n v="12.97"/>
    <s v="Underweight"/>
    <n v="732"/>
  </r>
  <r>
    <n v="910"/>
    <s v="Bengaluru"/>
    <n v="28"/>
    <s v="Male"/>
    <n v="58.3"/>
    <n v="2"/>
    <n v="198"/>
    <n v="135"/>
    <n v="65"/>
    <n v="1.32"/>
    <n v="980"/>
    <x v="3"/>
    <n v="28.2"/>
    <n v="3"/>
    <x v="0"/>
    <n v="2"/>
    <n v="14.57"/>
    <s v="Underweight"/>
    <n v="742.42424242424238"/>
  </r>
  <r>
    <n v="911"/>
    <s v="Mumbai"/>
    <n v="32"/>
    <s v="Male"/>
    <n v="89.8"/>
    <n v="1.92"/>
    <n v="199"/>
    <n v="168"/>
    <n v="67"/>
    <n v="1.93"/>
    <n v="1783"/>
    <x v="3"/>
    <n v="10.6"/>
    <n v="3.5"/>
    <x v="0"/>
    <n v="3"/>
    <n v="24.36"/>
    <s v="Normal Weight"/>
    <n v="923.83419689119171"/>
  </r>
  <r>
    <n v="912"/>
    <s v="Ahmedabad"/>
    <n v="41"/>
    <s v="Male"/>
    <n v="101.1"/>
    <n v="1.83"/>
    <n v="160"/>
    <n v="162"/>
    <n v="66"/>
    <n v="0.79"/>
    <n v="634"/>
    <x v="0"/>
    <n v="28.6"/>
    <n v="3.2"/>
    <x v="3"/>
    <n v="1"/>
    <n v="30.19"/>
    <s v="Obesity"/>
    <n v="802.5316455696202"/>
  </r>
  <r>
    <n v="913"/>
    <s v="Chennai"/>
    <n v="55"/>
    <s v="Male"/>
    <n v="118.6"/>
    <n v="1.72"/>
    <n v="163"/>
    <n v="168"/>
    <n v="67"/>
    <n v="0.77"/>
    <n v="640"/>
    <x v="3"/>
    <n v="25.9"/>
    <n v="2.6"/>
    <x v="1"/>
    <n v="1"/>
    <n v="40.090000000000003"/>
    <s v="Obesity"/>
    <n v="831.16883116883116"/>
  </r>
  <r>
    <n v="914"/>
    <s v="Ahmedabad"/>
    <n v="52"/>
    <s v="Male"/>
    <n v="84.8"/>
    <n v="1.85"/>
    <n v="189"/>
    <n v="152"/>
    <n v="50"/>
    <n v="1.19"/>
    <n v="895"/>
    <x v="2"/>
    <n v="23.4"/>
    <n v="3.2"/>
    <x v="3"/>
    <n v="1"/>
    <n v="24.78"/>
    <s v="Normal Weight"/>
    <n v="752.10084033613452"/>
  </r>
  <r>
    <n v="915"/>
    <s v="Gurgaon"/>
    <n v="47"/>
    <s v="Male"/>
    <n v="80"/>
    <n v="1.77"/>
    <n v="171"/>
    <n v="149"/>
    <n v="68"/>
    <n v="0.72"/>
    <n v="531"/>
    <x v="1"/>
    <n v="28.2"/>
    <n v="3.5"/>
    <x v="1"/>
    <n v="1"/>
    <n v="25.54"/>
    <s v="Overweight"/>
    <n v="737.5"/>
  </r>
  <r>
    <n v="916"/>
    <s v="Pune"/>
    <n v="48"/>
    <s v="Male"/>
    <n v="73.099999999999994"/>
    <n v="1.83"/>
    <n v="194"/>
    <n v="131"/>
    <n v="71"/>
    <n v="1.05"/>
    <n v="681"/>
    <x v="0"/>
    <n v="28"/>
    <n v="2.8"/>
    <x v="0"/>
    <n v="2"/>
    <n v="21.83"/>
    <s v="Normal Weight"/>
    <n v="648.57142857142856"/>
  </r>
  <r>
    <n v="917"/>
    <s v="Bengaluru"/>
    <n v="22"/>
    <s v="Male"/>
    <n v="117.3"/>
    <n v="1.68"/>
    <n v="172"/>
    <n v="134"/>
    <n v="57"/>
    <n v="1.24"/>
    <n v="914"/>
    <x v="0"/>
    <n v="28.5"/>
    <n v="2.7"/>
    <x v="1"/>
    <n v="2"/>
    <n v="41.56"/>
    <s v="Obesity"/>
    <n v="737.09677419354841"/>
  </r>
  <r>
    <n v="918"/>
    <s v="Pune"/>
    <n v="31"/>
    <s v="Female"/>
    <n v="77.400000000000006"/>
    <n v="1.71"/>
    <n v="190"/>
    <n v="137"/>
    <n v="52"/>
    <n v="1.26"/>
    <n v="863"/>
    <x v="2"/>
    <n v="26.2"/>
    <n v="1.8"/>
    <x v="0"/>
    <n v="2"/>
    <n v="26.47"/>
    <s v="Overweight"/>
    <n v="684.92063492063494"/>
  </r>
  <r>
    <n v="919"/>
    <s v="Pune"/>
    <n v="28"/>
    <s v="Female"/>
    <n v="72.900000000000006"/>
    <n v="1.67"/>
    <n v="197"/>
    <n v="147"/>
    <n v="74"/>
    <n v="1.1299999999999999"/>
    <n v="831"/>
    <x v="2"/>
    <n v="34.700000000000003"/>
    <n v="2.2000000000000002"/>
    <x v="1"/>
    <n v="2"/>
    <n v="26.14"/>
    <s v="Overweight"/>
    <n v="735.39823008849567"/>
  </r>
  <r>
    <n v="920"/>
    <s v="Pune"/>
    <n v="26"/>
    <s v="Female"/>
    <n v="71.2"/>
    <n v="1.5"/>
    <n v="182"/>
    <n v="142"/>
    <n v="54"/>
    <n v="1.1499999999999999"/>
    <n v="816"/>
    <x v="2"/>
    <n v="34.6"/>
    <n v="2.6"/>
    <x v="3"/>
    <n v="1"/>
    <n v="31.64"/>
    <s v="Obesity"/>
    <n v="709.56521739130437"/>
  </r>
  <r>
    <n v="921"/>
    <s v="Bengaluru"/>
    <n v="51"/>
    <s v="Male"/>
    <n v="88.2"/>
    <n v="1.62"/>
    <n v="163"/>
    <n v="133"/>
    <n v="72"/>
    <n v="1.56"/>
    <n v="1027"/>
    <x v="2"/>
    <n v="11.8"/>
    <n v="3.5"/>
    <x v="0"/>
    <n v="3"/>
    <n v="33.61"/>
    <s v="Obesity"/>
    <n v="658.33333333333326"/>
  </r>
  <r>
    <n v="922"/>
    <s v="Noida"/>
    <n v="29"/>
    <s v="Female"/>
    <n v="75.599999999999994"/>
    <n v="1.8"/>
    <n v="175"/>
    <n v="149"/>
    <n v="57"/>
    <n v="1.31"/>
    <n v="976"/>
    <x v="0"/>
    <n v="25.7"/>
    <n v="1.9"/>
    <x v="0"/>
    <n v="2"/>
    <n v="23.33"/>
    <s v="Normal Weight"/>
    <n v="745.03816793893122"/>
  </r>
  <r>
    <n v="923"/>
    <s v="Hyderabad"/>
    <n v="52"/>
    <s v="Female"/>
    <n v="57.9"/>
    <n v="1.56"/>
    <n v="166"/>
    <n v="152"/>
    <n v="68"/>
    <n v="1.66"/>
    <n v="1135"/>
    <x v="1"/>
    <n v="15.8"/>
    <n v="2.7"/>
    <x v="0"/>
    <n v="3"/>
    <n v="23.79"/>
    <s v="Normal Weight"/>
    <n v="683.73493975903614"/>
  </r>
  <r>
    <n v="924"/>
    <s v="Gurgaon"/>
    <n v="52"/>
    <s v="Female"/>
    <n v="70.599999999999994"/>
    <n v="1.58"/>
    <n v="181"/>
    <n v="164"/>
    <n v="67"/>
    <n v="1.02"/>
    <n v="753"/>
    <x v="1"/>
    <n v="34.9"/>
    <n v="2"/>
    <x v="1"/>
    <n v="2"/>
    <n v="28.28"/>
    <s v="Overweight"/>
    <n v="738.23529411764707"/>
  </r>
  <r>
    <n v="925"/>
    <s v="Noida"/>
    <n v="18"/>
    <s v="Male"/>
    <n v="118.6"/>
    <n v="1.64"/>
    <n v="188"/>
    <n v="134"/>
    <n v="67"/>
    <n v="0.94"/>
    <n v="693"/>
    <x v="2"/>
    <n v="25.6"/>
    <n v="2.7"/>
    <x v="1"/>
    <n v="1"/>
    <n v="44.1"/>
    <s v="Obesity"/>
    <n v="737.23404255319156"/>
  </r>
  <r>
    <n v="926"/>
    <s v="Gurgaon"/>
    <n v="57"/>
    <s v="Male"/>
    <n v="55.7"/>
    <n v="1.99"/>
    <n v="170"/>
    <n v="126"/>
    <n v="70"/>
    <n v="1.1299999999999999"/>
    <n v="705"/>
    <x v="3"/>
    <n v="23.6"/>
    <n v="3"/>
    <x v="1"/>
    <n v="2"/>
    <n v="14.07"/>
    <s v="Underweight"/>
    <n v="623.8938053097346"/>
  </r>
  <r>
    <n v="927"/>
    <s v="Delhi"/>
    <n v="39"/>
    <s v="Male"/>
    <n v="102.3"/>
    <n v="1.94"/>
    <n v="192"/>
    <n v="134"/>
    <n v="50"/>
    <n v="0.89"/>
    <n v="656"/>
    <x v="0"/>
    <n v="22.9"/>
    <n v="2.4"/>
    <x v="1"/>
    <n v="1"/>
    <n v="27.18"/>
    <s v="Overweight"/>
    <n v="737.0786516853932"/>
  </r>
  <r>
    <n v="928"/>
    <s v="Ahmedabad"/>
    <n v="46"/>
    <s v="Male"/>
    <n v="72.599999999999994"/>
    <n v="1.87"/>
    <n v="188"/>
    <n v="161"/>
    <n v="64"/>
    <n v="1.31"/>
    <n v="1044"/>
    <x v="1"/>
    <n v="22.6"/>
    <n v="3.4"/>
    <x v="0"/>
    <n v="2"/>
    <n v="20.76"/>
    <s v="Normal Weight"/>
    <n v="796.94656488549617"/>
  </r>
  <r>
    <n v="929"/>
    <s v="Ahmedabad"/>
    <n v="25"/>
    <s v="Female"/>
    <n v="63.8"/>
    <n v="1.68"/>
    <n v="198"/>
    <n v="165"/>
    <n v="67"/>
    <n v="0.95"/>
    <n v="784"/>
    <x v="2"/>
    <n v="31.6"/>
    <n v="1.9"/>
    <x v="3"/>
    <n v="1"/>
    <n v="22.6"/>
    <s v="Normal Weight"/>
    <n v="825.26315789473688"/>
  </r>
  <r>
    <n v="930"/>
    <s v="Kolkata"/>
    <n v="28"/>
    <s v="Female"/>
    <n v="67.3"/>
    <n v="1.67"/>
    <n v="171"/>
    <n v="157"/>
    <n v="74"/>
    <n v="0.61"/>
    <n v="479"/>
    <x v="3"/>
    <n v="29.2"/>
    <n v="2.2999999999999998"/>
    <x v="1"/>
    <n v="1"/>
    <n v="24.13"/>
    <s v="Normal Weight"/>
    <n v="785.24590163934431"/>
  </r>
  <r>
    <n v="931"/>
    <s v="Ahmedabad"/>
    <n v="58"/>
    <s v="Female"/>
    <n v="59.3"/>
    <n v="1.58"/>
    <n v="166"/>
    <n v="165"/>
    <n v="56"/>
    <n v="1.97"/>
    <n v="1463"/>
    <x v="3"/>
    <n v="19.8"/>
    <n v="2.7"/>
    <x v="0"/>
    <n v="3"/>
    <n v="23.75"/>
    <s v="Normal Weight"/>
    <n v="742.63959390862942"/>
  </r>
  <r>
    <n v="932"/>
    <s v="Bengaluru"/>
    <n v="54"/>
    <s v="Female"/>
    <n v="70.7"/>
    <n v="1.57"/>
    <n v="198"/>
    <n v="163"/>
    <n v="65"/>
    <n v="1.1399999999999999"/>
    <n v="836"/>
    <x v="2"/>
    <n v="31.8"/>
    <n v="2.1"/>
    <x v="1"/>
    <n v="1"/>
    <n v="28.68"/>
    <s v="Overweight"/>
    <n v="733.33333333333337"/>
  </r>
  <r>
    <n v="933"/>
    <s v="Chennai"/>
    <n v="31"/>
    <s v="Male"/>
    <n v="86.9"/>
    <n v="1.69"/>
    <n v="185"/>
    <n v="130"/>
    <n v="65"/>
    <n v="1.72"/>
    <n v="1230"/>
    <x v="0"/>
    <n v="14"/>
    <n v="3.5"/>
    <x v="0"/>
    <n v="3"/>
    <n v="30.43"/>
    <s v="Obesity"/>
    <n v="715.11627906976742"/>
  </r>
  <r>
    <n v="934"/>
    <s v="Mumbai"/>
    <n v="47"/>
    <s v="Male"/>
    <n v="98.2"/>
    <n v="1.9"/>
    <n v="199"/>
    <n v="148"/>
    <n v="64"/>
    <n v="0.76"/>
    <n v="557"/>
    <x v="1"/>
    <n v="22.9"/>
    <n v="3"/>
    <x v="1"/>
    <n v="1"/>
    <n v="27.2"/>
    <s v="Overweight"/>
    <n v="732.8947368421052"/>
  </r>
  <r>
    <n v="935"/>
    <s v="Kolkata"/>
    <n v="52"/>
    <s v="Male"/>
    <n v="63.6"/>
    <n v="1.62"/>
    <n v="168"/>
    <n v="150"/>
    <n v="55"/>
    <n v="1.3"/>
    <n v="965"/>
    <x v="3"/>
    <n v="20.8"/>
    <n v="2.2999999999999998"/>
    <x v="0"/>
    <n v="2"/>
    <n v="24.23"/>
    <s v="Normal Weight"/>
    <n v="742.30769230769226"/>
  </r>
  <r>
    <n v="936"/>
    <s v="Mumbai"/>
    <n v="38"/>
    <s v="Female"/>
    <n v="45.2"/>
    <n v="1.68"/>
    <n v="193"/>
    <n v="144"/>
    <n v="58"/>
    <n v="1.01"/>
    <n v="727"/>
    <x v="1"/>
    <n v="29.9"/>
    <n v="2.4"/>
    <x v="1"/>
    <n v="2"/>
    <n v="16.010000000000002"/>
    <s v="Underweight"/>
    <n v="719.80198019801981"/>
  </r>
  <r>
    <n v="937"/>
    <s v="Gurgaon"/>
    <n v="54"/>
    <s v="Male"/>
    <n v="117.2"/>
    <n v="1.62"/>
    <n v="172"/>
    <n v="143"/>
    <n v="56"/>
    <n v="1.04"/>
    <n v="736"/>
    <x v="1"/>
    <n v="23.1"/>
    <n v="2.2999999999999998"/>
    <x v="0"/>
    <n v="2"/>
    <n v="44.66"/>
    <s v="Obesity"/>
    <n v="707.69230769230762"/>
  </r>
  <r>
    <n v="938"/>
    <s v="Mumbai"/>
    <n v="22"/>
    <s v="Male"/>
    <n v="107.4"/>
    <n v="1.74"/>
    <n v="195"/>
    <n v="138"/>
    <n v="63"/>
    <n v="1.34"/>
    <n v="1017"/>
    <x v="3"/>
    <n v="22"/>
    <n v="2.2000000000000002"/>
    <x v="3"/>
    <n v="1"/>
    <n v="35.47"/>
    <s v="Obesity"/>
    <n v="758.95522388059692"/>
  </r>
  <r>
    <n v="939"/>
    <s v="Mumbai"/>
    <n v="36"/>
    <s v="Female"/>
    <n v="59.1"/>
    <n v="1.78"/>
    <n v="184"/>
    <n v="121"/>
    <n v="60"/>
    <n v="0.85"/>
    <n v="514"/>
    <x v="2"/>
    <n v="34.5"/>
    <n v="2.2000000000000002"/>
    <x v="3"/>
    <n v="1"/>
    <n v="18.649999999999999"/>
    <s v="Normal Weight"/>
    <n v="604.70588235294122"/>
  </r>
  <r>
    <n v="940"/>
    <s v="Kolkata"/>
    <n v="31"/>
    <s v="Female"/>
    <n v="53.3"/>
    <n v="1.64"/>
    <n v="183"/>
    <n v="141"/>
    <n v="70"/>
    <n v="0.56999999999999995"/>
    <n v="402"/>
    <x v="3"/>
    <n v="29.4"/>
    <n v="2.4"/>
    <x v="1"/>
    <n v="1"/>
    <n v="19.82"/>
    <s v="Normal Weight"/>
    <n v="705.26315789473688"/>
  </r>
  <r>
    <n v="941"/>
    <s v="Delhi"/>
    <n v="43"/>
    <s v="Male"/>
    <n v="46.2"/>
    <n v="1.63"/>
    <n v="176"/>
    <n v="139"/>
    <n v="65"/>
    <n v="1.18"/>
    <n v="812"/>
    <x v="3"/>
    <n v="21.7"/>
    <n v="2.1"/>
    <x v="3"/>
    <n v="1"/>
    <n v="17.39"/>
    <s v="Underweight"/>
    <n v="688.13559322033905"/>
  </r>
  <r>
    <n v="942"/>
    <s v="Pune"/>
    <n v="21"/>
    <s v="Male"/>
    <n v="67"/>
    <n v="1.61"/>
    <n v="161"/>
    <n v="152"/>
    <n v="74"/>
    <n v="1.32"/>
    <n v="1104"/>
    <x v="0"/>
    <n v="22"/>
    <n v="2.1"/>
    <x v="1"/>
    <n v="2"/>
    <n v="25.85"/>
    <s v="Overweight"/>
    <n v="836.36363636363637"/>
  </r>
  <r>
    <n v="943"/>
    <s v="Ahmedabad"/>
    <n v="42"/>
    <s v="Male"/>
    <n v="86.3"/>
    <n v="1.77"/>
    <n v="172"/>
    <n v="127"/>
    <n v="55"/>
    <n v="1.77"/>
    <n v="1113"/>
    <x v="1"/>
    <n v="11.4"/>
    <n v="3.5"/>
    <x v="0"/>
    <n v="3"/>
    <n v="27.55"/>
    <s v="Overweight"/>
    <n v="628.81355932203394"/>
  </r>
  <r>
    <n v="944"/>
    <s v="Ahmedabad"/>
    <n v="59"/>
    <s v="Male"/>
    <n v="85.5"/>
    <n v="1.67"/>
    <n v="190"/>
    <n v="144"/>
    <n v="71"/>
    <n v="1.99"/>
    <n v="1418"/>
    <x v="2"/>
    <n v="15"/>
    <n v="3.5"/>
    <x v="2"/>
    <n v="3"/>
    <n v="30.66"/>
    <s v="Obesity"/>
    <n v="712.56281407035181"/>
  </r>
  <r>
    <n v="945"/>
    <s v="Bengaluru"/>
    <n v="42"/>
    <s v="Male"/>
    <n v="70.2"/>
    <n v="1.87"/>
    <n v="188"/>
    <n v="165"/>
    <n v="65"/>
    <n v="1.38"/>
    <n v="1127"/>
    <x v="1"/>
    <n v="22.7"/>
    <n v="3.4"/>
    <x v="1"/>
    <n v="2"/>
    <n v="20.07"/>
    <s v="Normal Weight"/>
    <n v="816.66666666666674"/>
  </r>
  <r>
    <n v="946"/>
    <s v="Kolkata"/>
    <n v="35"/>
    <s v="Male"/>
    <n v="127.1"/>
    <n v="1.62"/>
    <n v="187"/>
    <n v="128"/>
    <n v="69"/>
    <n v="1.02"/>
    <n v="718"/>
    <x v="3"/>
    <n v="23.3"/>
    <n v="3.4"/>
    <x v="0"/>
    <n v="2"/>
    <n v="48.43"/>
    <s v="Obesity"/>
    <n v="703.92156862745094"/>
  </r>
  <r>
    <n v="947"/>
    <s v="Bengaluru"/>
    <n v="57"/>
    <s v="Female"/>
    <n v="75.599999999999994"/>
    <n v="1.67"/>
    <n v="186"/>
    <n v="153"/>
    <n v="65"/>
    <n v="1.05"/>
    <n v="723"/>
    <x v="2"/>
    <n v="31.6"/>
    <n v="1.8"/>
    <x v="1"/>
    <n v="2"/>
    <n v="27.11"/>
    <s v="Overweight"/>
    <n v="688.57142857142856"/>
  </r>
  <r>
    <n v="948"/>
    <s v="Chennai"/>
    <n v="25"/>
    <s v="Female"/>
    <n v="62.6"/>
    <n v="1.65"/>
    <n v="174"/>
    <n v="142"/>
    <n v="61"/>
    <n v="1.2"/>
    <n v="852"/>
    <x v="2"/>
    <n v="27.9"/>
    <n v="2.2000000000000002"/>
    <x v="1"/>
    <n v="1"/>
    <n v="22.99"/>
    <s v="Normal Weight"/>
    <n v="710"/>
  </r>
  <r>
    <n v="949"/>
    <s v="Chennai"/>
    <n v="56"/>
    <s v="Female"/>
    <n v="55.7"/>
    <n v="1.53"/>
    <n v="190"/>
    <n v="124"/>
    <n v="66"/>
    <n v="1.91"/>
    <n v="1066"/>
    <x v="2"/>
    <n v="16.100000000000001"/>
    <n v="2.7"/>
    <x v="2"/>
    <n v="3"/>
    <n v="23.79"/>
    <s v="Normal Weight"/>
    <n v="558.11518324607334"/>
  </r>
  <r>
    <n v="950"/>
    <s v="Bengaluru"/>
    <n v="57"/>
    <s v="Male"/>
    <n v="96.1"/>
    <n v="1.74"/>
    <n v="199"/>
    <n v="144"/>
    <n v="54"/>
    <n v="1.21"/>
    <n v="862"/>
    <x v="2"/>
    <n v="21.6"/>
    <n v="2.8"/>
    <x v="1"/>
    <n v="2"/>
    <n v="31.74"/>
    <s v="Obesity"/>
    <n v="712.39669421487611"/>
  </r>
  <r>
    <n v="951"/>
    <s v="Kolkata"/>
    <n v="31"/>
    <s v="Female"/>
    <n v="76.7"/>
    <n v="1.62"/>
    <n v="174"/>
    <n v="127"/>
    <n v="74"/>
    <n v="1.39"/>
    <n v="883"/>
    <x v="0"/>
    <n v="28.1"/>
    <n v="2.2999999999999998"/>
    <x v="0"/>
    <n v="2"/>
    <n v="29.23"/>
    <s v="Overweight"/>
    <n v="635.25179856115108"/>
  </r>
  <r>
    <n v="952"/>
    <s v="Bengaluru"/>
    <n v="49"/>
    <s v="Male"/>
    <n v="57.2"/>
    <n v="1.89"/>
    <n v="192"/>
    <n v="135"/>
    <n v="62"/>
    <n v="1.1399999999999999"/>
    <n v="762"/>
    <x v="2"/>
    <n v="21.1"/>
    <n v="3.5"/>
    <x v="3"/>
    <n v="1"/>
    <n v="16.010000000000002"/>
    <s v="Underweight"/>
    <n v="668.42105263157896"/>
  </r>
  <r>
    <n v="953"/>
    <s v="Ahmedabad"/>
    <n v="55"/>
    <s v="Male"/>
    <n v="69.900000000000006"/>
    <n v="1.81"/>
    <n v="179"/>
    <n v="167"/>
    <n v="57"/>
    <n v="1.2"/>
    <n v="992"/>
    <x v="3"/>
    <n v="20.2"/>
    <n v="2.1"/>
    <x v="0"/>
    <n v="2"/>
    <n v="21.34"/>
    <s v="Normal Weight"/>
    <n v="826.66666666666674"/>
  </r>
  <r>
    <n v="954"/>
    <s v="Noida"/>
    <n v="50"/>
    <s v="Female"/>
    <n v="67.900000000000006"/>
    <n v="1.77"/>
    <n v="171"/>
    <n v="164"/>
    <n v="73"/>
    <n v="1.03"/>
    <n v="760"/>
    <x v="0"/>
    <n v="33"/>
    <n v="2.4"/>
    <x v="1"/>
    <n v="2"/>
    <n v="21.67"/>
    <s v="Normal Weight"/>
    <n v="737.86407766990294"/>
  </r>
  <r>
    <n v="955"/>
    <s v="Hyderabad"/>
    <n v="40"/>
    <s v="Male"/>
    <n v="87.9"/>
    <n v="1.87"/>
    <n v="196"/>
    <n v="134"/>
    <n v="54"/>
    <n v="1.96"/>
    <n v="1445"/>
    <x v="3"/>
    <n v="10.7"/>
    <n v="3.5"/>
    <x v="2"/>
    <n v="3"/>
    <n v="25.14"/>
    <s v="Overweight"/>
    <n v="737.24489795918373"/>
  </r>
  <r>
    <n v="956"/>
    <s v="Mumbai"/>
    <n v="32"/>
    <s v="Male"/>
    <n v="102.8"/>
    <n v="1.98"/>
    <n v="168"/>
    <n v="120"/>
    <n v="61"/>
    <n v="1.24"/>
    <n v="818"/>
    <x v="3"/>
    <n v="27.8"/>
    <n v="2.8"/>
    <x v="1"/>
    <n v="2"/>
    <n v="26.22"/>
    <s v="Overweight"/>
    <n v="659.67741935483866"/>
  </r>
  <r>
    <n v="957"/>
    <s v="Hyderabad"/>
    <n v="50"/>
    <s v="Female"/>
    <n v="51.8"/>
    <n v="1.5"/>
    <n v="182"/>
    <n v="141"/>
    <n v="58"/>
    <n v="1.32"/>
    <n v="838"/>
    <x v="1"/>
    <n v="33"/>
    <n v="2.2000000000000002"/>
    <x v="1"/>
    <n v="1"/>
    <n v="23.02"/>
    <s v="Normal Weight"/>
    <n v="634.84848484848487"/>
  </r>
  <r>
    <n v="958"/>
    <s v="Kolkata"/>
    <n v="42"/>
    <s v="Female"/>
    <n v="57.7"/>
    <n v="1.57"/>
    <n v="167"/>
    <n v="122"/>
    <n v="52"/>
    <n v="1.83"/>
    <n v="1005"/>
    <x v="2"/>
    <n v="17.7"/>
    <n v="2.7"/>
    <x v="0"/>
    <n v="3"/>
    <n v="23.41"/>
    <s v="Normal Weight"/>
    <n v="549.18032786885249"/>
  </r>
  <r>
    <n v="959"/>
    <s v="Hyderabad"/>
    <n v="34"/>
    <s v="Female"/>
    <n v="66.5"/>
    <n v="1.69"/>
    <n v="191"/>
    <n v="157"/>
    <n v="52"/>
    <n v="0.81"/>
    <n v="636"/>
    <x v="2"/>
    <n v="28.1"/>
    <n v="2.2999999999999998"/>
    <x v="1"/>
    <n v="1"/>
    <n v="23.28"/>
    <s v="Normal Weight"/>
    <n v="785.18518518518511"/>
  </r>
  <r>
    <n v="960"/>
    <s v="Chennai"/>
    <n v="50"/>
    <s v="Male"/>
    <n v="95.4"/>
    <n v="1.61"/>
    <n v="173"/>
    <n v="133"/>
    <n v="50"/>
    <n v="1.1599999999999999"/>
    <n v="764"/>
    <x v="3"/>
    <n v="21.5"/>
    <n v="3.6"/>
    <x v="0"/>
    <n v="2"/>
    <n v="36.799999999999997"/>
    <s v="Obesity"/>
    <n v="658.62068965517244"/>
  </r>
  <r>
    <n v="961"/>
    <s v="Gurgaon"/>
    <n v="19"/>
    <s v="Female"/>
    <n v="69.2"/>
    <n v="1.6"/>
    <n v="186"/>
    <n v="155"/>
    <n v="74"/>
    <n v="1.17"/>
    <n v="907"/>
    <x v="2"/>
    <n v="32.4"/>
    <n v="1.6"/>
    <x v="1"/>
    <n v="1"/>
    <n v="27.03"/>
    <s v="Overweight"/>
    <n v="775.21367521367529"/>
  </r>
  <r>
    <n v="962"/>
    <s v="Mumbai"/>
    <n v="31"/>
    <s v="Female"/>
    <n v="66.599999999999994"/>
    <n v="1.67"/>
    <n v="184"/>
    <n v="137"/>
    <n v="71"/>
    <n v="1.02"/>
    <n v="699"/>
    <x v="0"/>
    <n v="31"/>
    <n v="1.5"/>
    <x v="0"/>
    <n v="2"/>
    <n v="23.88"/>
    <s v="Normal Weight"/>
    <n v="685.29411764705878"/>
  </r>
  <r>
    <n v="963"/>
    <s v="Pune"/>
    <n v="57"/>
    <s v="Male"/>
    <n v="83.4"/>
    <n v="1.65"/>
    <n v="172"/>
    <n v="166"/>
    <n v="67"/>
    <n v="1.57"/>
    <n v="1290"/>
    <x v="1"/>
    <n v="13.3"/>
    <n v="3.5"/>
    <x v="0"/>
    <n v="3"/>
    <n v="30.63"/>
    <s v="Obesity"/>
    <n v="821.656050955414"/>
  </r>
  <r>
    <n v="964"/>
    <s v="Kolkata"/>
    <n v="57"/>
    <s v="Female"/>
    <n v="43.8"/>
    <n v="1.75"/>
    <n v="180"/>
    <n v="160"/>
    <n v="73"/>
    <n v="1.39"/>
    <n v="1001"/>
    <x v="2"/>
    <n v="25.1"/>
    <n v="1.7"/>
    <x v="3"/>
    <n v="1"/>
    <n v="14.3"/>
    <s v="Underweight"/>
    <n v="720.14388489208636"/>
  </r>
  <r>
    <n v="965"/>
    <s v="Mumbai"/>
    <n v="56"/>
    <s v="Female"/>
    <n v="64.2"/>
    <n v="1.69"/>
    <n v="190"/>
    <n v="137"/>
    <n v="61"/>
    <n v="1.99"/>
    <n v="1227"/>
    <x v="2"/>
    <n v="19.600000000000001"/>
    <n v="2.7"/>
    <x v="2"/>
    <n v="3"/>
    <n v="22.48"/>
    <s v="Normal Weight"/>
    <n v="616.5829145728643"/>
  </r>
  <r>
    <n v="966"/>
    <s v="Hyderabad"/>
    <n v="23"/>
    <s v="Female"/>
    <n v="44.1"/>
    <n v="1.62"/>
    <n v="196"/>
    <n v="122"/>
    <n v="58"/>
    <n v="0.57999999999999996"/>
    <n v="354"/>
    <x v="0"/>
    <n v="25.7"/>
    <n v="2.7"/>
    <x v="3"/>
    <n v="1"/>
    <n v="16.8"/>
    <s v="Underweight"/>
    <n v="610.34482758620697"/>
  </r>
  <r>
    <n v="967"/>
    <s v="Chennai"/>
    <n v="23"/>
    <s v="Male"/>
    <n v="87.3"/>
    <n v="1.91"/>
    <n v="164"/>
    <n v="129"/>
    <n v="58"/>
    <n v="1.87"/>
    <n v="1327"/>
    <x v="1"/>
    <n v="11.8"/>
    <n v="3.5"/>
    <x v="2"/>
    <n v="3"/>
    <n v="23.93"/>
    <s v="Normal Weight"/>
    <n v="709.62566844919786"/>
  </r>
  <r>
    <n v="968"/>
    <s v="Delhi"/>
    <n v="20"/>
    <s v="Male"/>
    <n v="55"/>
    <n v="1.6"/>
    <n v="172"/>
    <n v="168"/>
    <n v="67"/>
    <n v="1.1200000000000001"/>
    <n v="1035"/>
    <x v="0"/>
    <n v="24"/>
    <n v="3.2"/>
    <x v="0"/>
    <n v="2"/>
    <n v="21.48"/>
    <s v="Normal Weight"/>
    <n v="924.10714285714278"/>
  </r>
  <r>
    <n v="969"/>
    <s v="Noida"/>
    <n v="24"/>
    <s v="Male"/>
    <n v="87.1"/>
    <n v="1.74"/>
    <n v="187"/>
    <n v="158"/>
    <n v="67"/>
    <n v="1.57"/>
    <n v="1364"/>
    <x v="3"/>
    <n v="10"/>
    <n v="3.5"/>
    <x v="0"/>
    <n v="3"/>
    <n v="28.77"/>
    <s v="Overweight"/>
    <n v="868.78980891719743"/>
  </r>
  <r>
    <n v="970"/>
    <s v="Pune"/>
    <n v="25"/>
    <s v="Male"/>
    <n v="66.599999999999994"/>
    <n v="1.61"/>
    <n v="184"/>
    <n v="166"/>
    <n v="56"/>
    <n v="1.38"/>
    <n v="1260"/>
    <x v="3"/>
    <n v="25"/>
    <n v="3"/>
    <x v="3"/>
    <n v="1"/>
    <n v="25.69"/>
    <s v="Overweight"/>
    <n v="913.04347826086962"/>
  </r>
  <r>
    <n v="971"/>
    <s v="Noida"/>
    <n v="59"/>
    <s v="Female"/>
    <n v="60.4"/>
    <n v="1.76"/>
    <n v="194"/>
    <n v="120"/>
    <n v="53"/>
    <n v="1.72"/>
    <n v="929"/>
    <x v="2"/>
    <n v="18.8"/>
    <n v="2.7"/>
    <x v="2"/>
    <n v="3"/>
    <n v="19.5"/>
    <s v="Normal Weight"/>
    <n v="540.11627906976742"/>
  </r>
  <r>
    <n v="972"/>
    <s v="Mumbai"/>
    <n v="32"/>
    <s v="Male"/>
    <n v="126.4"/>
    <n v="1.83"/>
    <n v="198"/>
    <n v="146"/>
    <n v="62"/>
    <n v="1.1000000000000001"/>
    <n v="883"/>
    <x v="1"/>
    <n v="28.2"/>
    <n v="2.1"/>
    <x v="1"/>
    <n v="2"/>
    <n v="37.74"/>
    <s v="Obesity"/>
    <n v="802.72727272727263"/>
  </r>
  <r>
    <n v="973"/>
    <s v="Chennai"/>
    <n v="46"/>
    <s v="Male"/>
    <n v="88.7"/>
    <n v="1.63"/>
    <n v="166"/>
    <n v="146"/>
    <n v="66"/>
    <n v="0.75"/>
    <n v="542"/>
    <x v="3"/>
    <n v="28.8"/>
    <n v="3.5"/>
    <x v="3"/>
    <n v="1"/>
    <n v="33.380000000000003"/>
    <s v="Obesity"/>
    <n v="722.6666666666666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3">
  <r>
    <n v="1"/>
    <s v="Kolkata"/>
    <n v="56"/>
    <s v="Male"/>
    <n v="88.3"/>
    <n v="1.71"/>
    <n v="180"/>
    <n v="157"/>
    <n v="60"/>
    <n v="1.69"/>
    <n v="1313"/>
    <s v="Yoga"/>
    <n v="12.6"/>
    <n v="3.5"/>
    <n v="4"/>
    <x v="0"/>
    <n v="30.2"/>
    <s v="Obesity"/>
    <n v="776.92307692307691"/>
    <x v="0"/>
  </r>
  <r>
    <n v="2"/>
    <s v="Hyderabad"/>
    <n v="46"/>
    <s v="Female"/>
    <n v="74.900000000000006"/>
    <n v="1.53"/>
    <n v="179"/>
    <n v="151"/>
    <n v="66"/>
    <n v="1.3"/>
    <n v="883"/>
    <s v="HIIT"/>
    <n v="33.9"/>
    <n v="2.1"/>
    <n v="4"/>
    <x v="1"/>
    <n v="32"/>
    <s v="Obesity"/>
    <n v="679.23076923076917"/>
    <x v="1"/>
  </r>
  <r>
    <n v="3"/>
    <s v="Ahmedabad"/>
    <n v="32"/>
    <s v="Female"/>
    <n v="68.099999999999994"/>
    <n v="1.66"/>
    <n v="167"/>
    <n v="122"/>
    <n v="54"/>
    <n v="1.1100000000000001"/>
    <n v="677"/>
    <s v="Cardio"/>
    <n v="33.4"/>
    <n v="2.2999999999999998"/>
    <n v="4"/>
    <x v="1"/>
    <n v="24.71"/>
    <s v="Normal Weight"/>
    <n v="609.90990990990986"/>
    <x v="1"/>
  </r>
  <r>
    <n v="4"/>
    <s v="Pune"/>
    <n v="25"/>
    <s v="Male"/>
    <n v="53.2"/>
    <n v="1.7"/>
    <n v="190"/>
    <n v="164"/>
    <n v="56"/>
    <n v="0.59"/>
    <n v="532"/>
    <s v="Strength"/>
    <n v="28.8"/>
    <n v="2.1"/>
    <n v="3"/>
    <x v="2"/>
    <n v="18.41"/>
    <s v="Underweight"/>
    <n v="901.69491525423734"/>
    <x v="1"/>
  </r>
  <r>
    <n v="5"/>
    <s v="Kolkata"/>
    <n v="38"/>
    <s v="Male"/>
    <n v="46.1"/>
    <n v="1.79"/>
    <n v="188"/>
    <n v="158"/>
    <n v="68"/>
    <n v="0.64"/>
    <n v="556"/>
    <s v="Strength"/>
    <n v="29.2"/>
    <n v="2.8"/>
    <n v="3"/>
    <x v="2"/>
    <n v="14.39"/>
    <s v="Underweight"/>
    <n v="868.75"/>
    <x v="2"/>
  </r>
  <r>
    <n v="6"/>
    <s v="Noida"/>
    <n v="56"/>
    <s v="Female"/>
    <n v="58"/>
    <n v="1.68"/>
    <n v="168"/>
    <n v="156"/>
    <n v="74"/>
    <n v="1.59"/>
    <n v="1116"/>
    <s v="HIIT"/>
    <n v="15.5"/>
    <n v="2.7"/>
    <n v="5"/>
    <x v="0"/>
    <n v="20.55"/>
    <s v="Normal Weight"/>
    <n v="701.88679245283015"/>
    <x v="2"/>
  </r>
  <r>
    <n v="7"/>
    <s v="Bengaluru"/>
    <n v="36"/>
    <s v="Male"/>
    <n v="70.3"/>
    <n v="1.72"/>
    <n v="174"/>
    <n v="169"/>
    <n v="73"/>
    <n v="1.49"/>
    <n v="1385"/>
    <s v="Cardio"/>
    <n v="21.3"/>
    <n v="2.2999999999999998"/>
    <n v="3"/>
    <x v="1"/>
    <n v="23.76"/>
    <s v="Normal Weight"/>
    <n v="929.53020134228188"/>
    <x v="1"/>
  </r>
  <r>
    <n v="8"/>
    <s v="Kolkata"/>
    <n v="40"/>
    <s v="Female"/>
    <n v="69.7"/>
    <n v="1.51"/>
    <n v="189"/>
    <n v="141"/>
    <n v="64"/>
    <n v="1.27"/>
    <n v="895"/>
    <s v="Cardio"/>
    <n v="30.6"/>
    <n v="1.9"/>
    <n v="3"/>
    <x v="1"/>
    <n v="30.57"/>
    <s v="Obesity"/>
    <n v="704.72440944881885"/>
    <x v="1"/>
  </r>
  <r>
    <n v="9"/>
    <s v="Ahmedabad"/>
    <n v="28"/>
    <s v="Male"/>
    <n v="121.7"/>
    <n v="1.94"/>
    <n v="185"/>
    <n v="127"/>
    <n v="52"/>
    <n v="1.03"/>
    <n v="719"/>
    <s v="Strength"/>
    <n v="28.9"/>
    <n v="2.6"/>
    <n v="4"/>
    <x v="1"/>
    <n v="32.340000000000003"/>
    <s v="Obesity"/>
    <n v="698.05825242718447"/>
    <x v="2"/>
  </r>
  <r>
    <n v="10"/>
    <s v="Pune"/>
    <n v="28"/>
    <s v="Male"/>
    <n v="101.8"/>
    <n v="1.84"/>
    <n v="169"/>
    <n v="136"/>
    <n v="64"/>
    <n v="1.08"/>
    <n v="808"/>
    <s v="Cardio"/>
    <n v="29.7"/>
    <n v="2.7"/>
    <n v="3"/>
    <x v="2"/>
    <n v="30.07"/>
    <s v="Obesity"/>
    <n v="748.14814814814815"/>
    <x v="2"/>
  </r>
  <r>
    <n v="11"/>
    <s v="Hyderabad"/>
    <n v="41"/>
    <s v="Male"/>
    <n v="120.8"/>
    <n v="1.67"/>
    <n v="188"/>
    <n v="146"/>
    <n v="54"/>
    <n v="0.82"/>
    <n v="593"/>
    <s v="HIIT"/>
    <n v="20.5"/>
    <n v="3"/>
    <n v="2"/>
    <x v="2"/>
    <n v="43.31"/>
    <s v="Obesity"/>
    <n v="723.17073170731715"/>
    <x v="2"/>
  </r>
  <r>
    <n v="12"/>
    <s v="Ahmedabad"/>
    <n v="53"/>
    <s v="Male"/>
    <n v="51.7"/>
    <n v="1.7"/>
    <n v="175"/>
    <n v="152"/>
    <n v="72"/>
    <n v="1.1499999999999999"/>
    <n v="865"/>
    <s v="HIIT"/>
    <n v="23.6"/>
    <n v="3.5"/>
    <n v="3"/>
    <x v="1"/>
    <n v="17.89"/>
    <s v="Underweight"/>
    <n v="752.17391304347836"/>
    <x v="0"/>
  </r>
  <r>
    <n v="13"/>
    <s v="Ahmedabad"/>
    <n v="57"/>
    <s v="Male"/>
    <n v="112.5"/>
    <n v="1.61"/>
    <n v="195"/>
    <n v="165"/>
    <n v="61"/>
    <n v="1.24"/>
    <n v="1013"/>
    <s v="Cardio"/>
    <n v="22.1"/>
    <n v="2.7"/>
    <n v="3"/>
    <x v="1"/>
    <n v="43.4"/>
    <s v="Obesity"/>
    <n v="816.9354838709678"/>
    <x v="2"/>
  </r>
  <r>
    <n v="14"/>
    <s v="Bengaluru"/>
    <n v="41"/>
    <s v="Male"/>
    <n v="94.5"/>
    <n v="2"/>
    <n v="179"/>
    <n v="136"/>
    <n v="69"/>
    <n v="1.18"/>
    <n v="794"/>
    <s v="HIIT"/>
    <n v="27.6"/>
    <n v="3.7"/>
    <n v="3"/>
    <x v="2"/>
    <n v="23.62"/>
    <s v="Normal Weight"/>
    <n v="672.88135593220341"/>
    <x v="0"/>
  </r>
  <r>
    <n v="15"/>
    <s v="Chennai"/>
    <n v="20"/>
    <s v="Male"/>
    <n v="117.7"/>
    <n v="1.81"/>
    <n v="196"/>
    <n v="161"/>
    <n v="54"/>
    <n v="1.35"/>
    <n v="1195"/>
    <s v="Yoga"/>
    <n v="26.4"/>
    <n v="3.3"/>
    <n v="3"/>
    <x v="1"/>
    <n v="35.93"/>
    <s v="Obesity"/>
    <n v="885.18518518518511"/>
    <x v="0"/>
  </r>
  <r>
    <n v="16"/>
    <s v="Pune"/>
    <n v="39"/>
    <s v="Female"/>
    <n v="42.5"/>
    <n v="1.75"/>
    <n v="181"/>
    <n v="131"/>
    <n v="52"/>
    <n v="1.1299999999999999"/>
    <n v="740"/>
    <s v="Strength"/>
    <n v="26.2"/>
    <n v="2.1"/>
    <n v="2"/>
    <x v="2"/>
    <n v="13.88"/>
    <s v="Underweight"/>
    <n v="654.86725663716823"/>
    <x v="1"/>
  </r>
  <r>
    <n v="17"/>
    <s v="Delhi"/>
    <n v="19"/>
    <s v="Female"/>
    <n v="64"/>
    <n v="1.53"/>
    <n v="166"/>
    <n v="167"/>
    <n v="58"/>
    <n v="1.33"/>
    <n v="1111"/>
    <s v="HIIT"/>
    <n v="29.8"/>
    <n v="2.2999999999999998"/>
    <n v="3"/>
    <x v="1"/>
    <n v="27.34"/>
    <s v="Overweight"/>
    <n v="835.33834586466162"/>
    <x v="1"/>
  </r>
  <r>
    <n v="18"/>
    <s v="Ahmedabad"/>
    <n v="41"/>
    <s v="Female"/>
    <n v="43.8"/>
    <n v="1.77"/>
    <n v="182"/>
    <n v="165"/>
    <n v="58"/>
    <n v="1.19"/>
    <n v="884"/>
    <s v="Cardio"/>
    <n v="31.9"/>
    <n v="1.6"/>
    <n v="3"/>
    <x v="2"/>
    <n v="13.98"/>
    <s v="Underweight"/>
    <n v="742.85714285714289"/>
    <x v="1"/>
  </r>
  <r>
    <n v="19"/>
    <s v="Chennai"/>
    <n v="47"/>
    <s v="Female"/>
    <n v="66.8"/>
    <n v="1.75"/>
    <n v="199"/>
    <n v="146"/>
    <n v="56"/>
    <n v="1.1299999999999999"/>
    <n v="742"/>
    <s v="Strength"/>
    <n v="32.799999999999997"/>
    <n v="2.5"/>
    <n v="3"/>
    <x v="1"/>
    <n v="21.81"/>
    <s v="Normal Weight"/>
    <n v="656.63716814159295"/>
    <x v="1"/>
  </r>
  <r>
    <n v="20"/>
    <s v="Delhi"/>
    <n v="55"/>
    <s v="Female"/>
    <n v="75.2"/>
    <n v="1.67"/>
    <n v="188"/>
    <n v="167"/>
    <n v="51"/>
    <n v="1.37"/>
    <n v="1030"/>
    <s v="HIIT"/>
    <n v="25.2"/>
    <n v="2.2000000000000002"/>
    <n v="2"/>
    <x v="2"/>
    <n v="26.96"/>
    <s v="Overweight"/>
    <n v="751.8248175182481"/>
    <x v="1"/>
  </r>
  <r>
    <n v="21"/>
    <s v="Pune"/>
    <n v="19"/>
    <s v="Male"/>
    <n v="89"/>
    <n v="1.77"/>
    <n v="175"/>
    <n v="127"/>
    <n v="72"/>
    <n v="1.5"/>
    <n v="1048"/>
    <s v="Strength"/>
    <n v="28.9"/>
    <n v="3.7"/>
    <n v="4"/>
    <x v="1"/>
    <n v="28.41"/>
    <s v="Overweight"/>
    <n v="698.66666666666663"/>
    <x v="0"/>
  </r>
  <r>
    <n v="22"/>
    <s v="Mumbai"/>
    <n v="38"/>
    <s v="Male"/>
    <n v="71.900000000000006"/>
    <n v="1.77"/>
    <n v="197"/>
    <n v="142"/>
    <n v="72"/>
    <n v="1.1200000000000001"/>
    <n v="875"/>
    <s v="Cardio"/>
    <n v="25.7"/>
    <n v="3.1"/>
    <n v="2"/>
    <x v="2"/>
    <n v="22.95"/>
    <s v="Normal Weight"/>
    <n v="781.24999999999989"/>
    <x v="0"/>
  </r>
  <r>
    <n v="23"/>
    <s v="Noida"/>
    <n v="50"/>
    <s v="Female"/>
    <n v="71"/>
    <n v="1.68"/>
    <n v="187"/>
    <n v="161"/>
    <n v="70"/>
    <n v="1.17"/>
    <n v="848"/>
    <s v="Yoga"/>
    <n v="33.1"/>
    <n v="2.5"/>
    <n v="2"/>
    <x v="2"/>
    <n v="25.16"/>
    <s v="Overweight"/>
    <n v="724.78632478632483"/>
    <x v="1"/>
  </r>
  <r>
    <n v="24"/>
    <s v="Chennai"/>
    <n v="29"/>
    <s v="Male"/>
    <n v="120.9"/>
    <n v="1.78"/>
    <n v="197"/>
    <n v="168"/>
    <n v="65"/>
    <n v="0.78"/>
    <n v="721"/>
    <s v="Yoga"/>
    <n v="28.1"/>
    <n v="3.4"/>
    <n v="2"/>
    <x v="2"/>
    <n v="38.159999999999997"/>
    <s v="Obesity"/>
    <n v="924.35897435897436"/>
    <x v="0"/>
  </r>
  <r>
    <n v="25"/>
    <s v="Gurgaon"/>
    <n v="39"/>
    <s v="Female"/>
    <n v="64.3"/>
    <n v="1.69"/>
    <n v="190"/>
    <n v="148"/>
    <n v="58"/>
    <n v="1.25"/>
    <n v="925"/>
    <s v="HIIT"/>
    <n v="26.9"/>
    <n v="1.9"/>
    <n v="4"/>
    <x v="1"/>
    <n v="22.51"/>
    <s v="Normal Weight"/>
    <n v="740"/>
    <x v="1"/>
  </r>
  <r>
    <n v="26"/>
    <s v="Mumbai"/>
    <n v="42"/>
    <s v="Female"/>
    <n v="63.7"/>
    <n v="1.71"/>
    <n v="173"/>
    <n v="169"/>
    <n v="62"/>
    <n v="1.42"/>
    <n v="1080"/>
    <s v="Yoga"/>
    <n v="26.1"/>
    <n v="1.8"/>
    <n v="3"/>
    <x v="1"/>
    <n v="21.78"/>
    <s v="Normal Weight"/>
    <n v="760.56338028169023"/>
    <x v="1"/>
  </r>
  <r>
    <n v="27"/>
    <s v="Noida"/>
    <n v="44"/>
    <s v="Male"/>
    <n v="65.2"/>
    <n v="1.8"/>
    <n v="192"/>
    <n v="139"/>
    <n v="68"/>
    <n v="0.73"/>
    <n v="502"/>
    <s v="HIIT"/>
    <n v="27.2"/>
    <n v="2.7"/>
    <n v="2"/>
    <x v="2"/>
    <n v="20.12"/>
    <s v="Normal Weight"/>
    <n v="687.67123287671234"/>
    <x v="2"/>
  </r>
  <r>
    <n v="28"/>
    <s v="Bengaluru"/>
    <n v="59"/>
    <s v="Male"/>
    <n v="53.9"/>
    <n v="1.75"/>
    <n v="168"/>
    <n v="135"/>
    <n v="69"/>
    <n v="1.48"/>
    <n v="989"/>
    <s v="Strength"/>
    <n v="21.6"/>
    <n v="2.8"/>
    <n v="4"/>
    <x v="1"/>
    <n v="17.600000000000001"/>
    <s v="Underweight"/>
    <n v="668.24324324324323"/>
    <x v="2"/>
  </r>
  <r>
    <n v="29"/>
    <s v="Kolkata"/>
    <n v="45"/>
    <s v="Male"/>
    <n v="84.9"/>
    <n v="1.86"/>
    <n v="186"/>
    <n v="136"/>
    <n v="66"/>
    <n v="1.64"/>
    <n v="1104"/>
    <s v="HIIT"/>
    <n v="14.2"/>
    <n v="3.5"/>
    <n v="5"/>
    <x v="0"/>
    <n v="24.54"/>
    <s v="Normal Weight"/>
    <n v="673.17073170731715"/>
    <x v="0"/>
  </r>
  <r>
    <n v="30"/>
    <s v="Hyderabad"/>
    <n v="33"/>
    <s v="Female"/>
    <n v="78"/>
    <n v="1.68"/>
    <n v="183"/>
    <n v="135"/>
    <n v="55"/>
    <n v="1.29"/>
    <n v="871"/>
    <s v="HIIT"/>
    <n v="32.299999999999997"/>
    <n v="1.8"/>
    <n v="3"/>
    <x v="1"/>
    <n v="27.64"/>
    <s v="Overweight"/>
    <n v="675.19379844961236"/>
    <x v="1"/>
  </r>
  <r>
    <n v="31"/>
    <s v="Gurgaon"/>
    <n v="32"/>
    <s v="Male"/>
    <n v="108.2"/>
    <n v="1.8"/>
    <n v="172"/>
    <n v="138"/>
    <n v="53"/>
    <n v="1.27"/>
    <n v="964"/>
    <s v="HIIT"/>
    <n v="28.4"/>
    <n v="3.5"/>
    <n v="3"/>
    <x v="2"/>
    <n v="33.4"/>
    <s v="Obesity"/>
    <n v="759.05511811023621"/>
    <x v="0"/>
  </r>
  <r>
    <n v="32"/>
    <s v="Bengaluru"/>
    <n v="20"/>
    <s v="Female"/>
    <n v="65.400000000000006"/>
    <n v="1.52"/>
    <n v="185"/>
    <n v="127"/>
    <n v="50"/>
    <n v="1.03"/>
    <n v="654"/>
    <s v="Yoga"/>
    <n v="28"/>
    <n v="2.2000000000000002"/>
    <n v="4"/>
    <x v="1"/>
    <n v="28.31"/>
    <s v="Overweight"/>
    <n v="634.95145631067965"/>
    <x v="1"/>
  </r>
  <r>
    <n v="33"/>
    <s v="Pune"/>
    <n v="54"/>
    <s v="Female"/>
    <n v="50.2"/>
    <n v="1.61"/>
    <n v="188"/>
    <n v="157"/>
    <n v="67"/>
    <n v="1.48"/>
    <n v="1046"/>
    <s v="HIIT"/>
    <n v="28.2"/>
    <n v="2.7"/>
    <n v="2"/>
    <x v="2"/>
    <n v="19.37"/>
    <s v="Normal Weight"/>
    <n v="706.75675675675677"/>
    <x v="2"/>
  </r>
  <r>
    <n v="34"/>
    <s v="Bengaluru"/>
    <n v="24"/>
    <s v="Female"/>
    <n v="58.9"/>
    <n v="1.51"/>
    <n v="187"/>
    <n v="157"/>
    <n v="68"/>
    <n v="1.04"/>
    <n v="816"/>
    <s v="Cardio"/>
    <n v="31.7"/>
    <n v="2.5"/>
    <n v="2"/>
    <x v="2"/>
    <n v="25.83"/>
    <s v="Overweight"/>
    <n v="784.61538461538464"/>
    <x v="1"/>
  </r>
  <r>
    <n v="35"/>
    <s v="Kolkata"/>
    <n v="38"/>
    <s v="Male"/>
    <n v="81.400000000000006"/>
    <n v="1.71"/>
    <n v="187"/>
    <n v="148"/>
    <n v="58"/>
    <n v="1.52"/>
    <n v="1237"/>
    <s v="HIIT"/>
    <n v="10.199999999999999"/>
    <n v="3.5"/>
    <n v="5"/>
    <x v="0"/>
    <n v="27.84"/>
    <s v="Overweight"/>
    <n v="813.81578947368416"/>
    <x v="0"/>
  </r>
  <r>
    <n v="36"/>
    <s v="Pune"/>
    <n v="26"/>
    <s v="Male"/>
    <n v="127.6"/>
    <n v="1.73"/>
    <n v="167"/>
    <n v="160"/>
    <n v="62"/>
    <n v="1.32"/>
    <n v="1162"/>
    <s v="Strength"/>
    <n v="27.3"/>
    <n v="2.9"/>
    <n v="3"/>
    <x v="2"/>
    <n v="42.63"/>
    <s v="Obesity"/>
    <n v="880.30303030303025"/>
    <x v="2"/>
  </r>
  <r>
    <n v="37"/>
    <s v="Gurgaon"/>
    <n v="56"/>
    <s v="Female"/>
    <n v="59.3"/>
    <n v="1.56"/>
    <n v="182"/>
    <n v="155"/>
    <n v="57"/>
    <n v="1.26"/>
    <n v="879"/>
    <s v="Cardio"/>
    <n v="33.4"/>
    <n v="2.6"/>
    <n v="4"/>
    <x v="1"/>
    <n v="24.37"/>
    <s v="Normal Weight"/>
    <n v="697.61904761904759"/>
    <x v="2"/>
  </r>
  <r>
    <n v="38"/>
    <s v="Kolkata"/>
    <n v="35"/>
    <s v="Male"/>
    <n v="96.9"/>
    <n v="1.71"/>
    <n v="188"/>
    <n v="145"/>
    <n v="72"/>
    <n v="1.34"/>
    <n v="1069"/>
    <s v="Strength"/>
    <n v="24.2"/>
    <n v="2.9"/>
    <n v="3"/>
    <x v="1"/>
    <n v="33.14"/>
    <s v="Obesity"/>
    <n v="797.76119402985069"/>
    <x v="2"/>
  </r>
  <r>
    <n v="39"/>
    <s v="Delhi"/>
    <n v="21"/>
    <s v="Male"/>
    <n v="62.6"/>
    <n v="1.81"/>
    <n v="164"/>
    <n v="150"/>
    <n v="62"/>
    <n v="1.3"/>
    <n v="1072"/>
    <s v="Strength"/>
    <n v="27.6"/>
    <n v="3.5"/>
    <n v="4"/>
    <x v="1"/>
    <n v="19.11"/>
    <s v="Normal Weight"/>
    <n v="824.61538461538464"/>
    <x v="0"/>
  </r>
  <r>
    <n v="40"/>
    <s v="Hyderabad"/>
    <n v="42"/>
    <s v="Male"/>
    <n v="45.5"/>
    <n v="1.6"/>
    <n v="166"/>
    <n v="163"/>
    <n v="64"/>
    <n v="1.31"/>
    <n v="1057"/>
    <s v="Strength"/>
    <n v="21.7"/>
    <n v="2.6"/>
    <n v="3"/>
    <x v="1"/>
    <n v="17.77"/>
    <s v="Underweight"/>
    <n v="806.87022900763361"/>
    <x v="2"/>
  </r>
  <r>
    <n v="41"/>
    <s v="Gurgaon"/>
    <n v="31"/>
    <s v="Female"/>
    <n v="48.8"/>
    <n v="1.51"/>
    <n v="195"/>
    <n v="131"/>
    <n v="60"/>
    <n v="1.48"/>
    <n v="969"/>
    <s v="Cardio"/>
    <n v="28.2"/>
    <n v="2"/>
    <n v="2"/>
    <x v="2"/>
    <n v="21.4"/>
    <s v="Normal Weight"/>
    <n v="654.72972972972968"/>
    <x v="1"/>
  </r>
  <r>
    <n v="42"/>
    <s v="Delhi"/>
    <n v="26"/>
    <s v="Female"/>
    <n v="44.3"/>
    <n v="1.6"/>
    <n v="186"/>
    <n v="136"/>
    <n v="61"/>
    <n v="1.08"/>
    <n v="734"/>
    <s v="Cardio"/>
    <n v="34.700000000000003"/>
    <n v="2"/>
    <n v="3"/>
    <x v="2"/>
    <n v="17.3"/>
    <s v="Underweight"/>
    <n v="679.62962962962956"/>
    <x v="1"/>
  </r>
  <r>
    <n v="43"/>
    <s v="Noida"/>
    <n v="43"/>
    <s v="Male"/>
    <n v="113.2"/>
    <n v="1.83"/>
    <n v="161"/>
    <n v="134"/>
    <n v="63"/>
    <n v="1.45"/>
    <n v="962"/>
    <s v="Yoga"/>
    <n v="29.9"/>
    <n v="2.9"/>
    <n v="4"/>
    <x v="1"/>
    <n v="33.799999999999997"/>
    <s v="Obesity"/>
    <n v="663.44827586206895"/>
    <x v="2"/>
  </r>
  <r>
    <n v="44"/>
    <s v="Gurgaon"/>
    <n v="19"/>
    <s v="Female"/>
    <n v="60.5"/>
    <n v="1.59"/>
    <n v="184"/>
    <n v="128"/>
    <n v="53"/>
    <n v="1.1399999999999999"/>
    <n v="730"/>
    <s v="Cardio"/>
    <n v="30.1"/>
    <n v="2.2000000000000002"/>
    <n v="2"/>
    <x v="2"/>
    <n v="23.93"/>
    <s v="Normal Weight"/>
    <n v="640.35087719298247"/>
    <x v="1"/>
  </r>
  <r>
    <n v="45"/>
    <s v="Noida"/>
    <n v="37"/>
    <s v="Male"/>
    <n v="124.2"/>
    <n v="1.76"/>
    <n v="168"/>
    <n v="158"/>
    <n v="50"/>
    <n v="1.5"/>
    <n v="1304"/>
    <s v="HIIT"/>
    <n v="29.3"/>
    <n v="2.8"/>
    <n v="2"/>
    <x v="2"/>
    <n v="40.1"/>
    <s v="Obesity"/>
    <n v="869.33333333333337"/>
    <x v="2"/>
  </r>
  <r>
    <n v="46"/>
    <s v="Pune"/>
    <n v="45"/>
    <s v="Male"/>
    <n v="52.4"/>
    <n v="1.85"/>
    <n v="186"/>
    <n v="161"/>
    <n v="73"/>
    <n v="1.2"/>
    <n v="956"/>
    <s v="Strength"/>
    <n v="25.2"/>
    <n v="2.5"/>
    <n v="3"/>
    <x v="2"/>
    <n v="15.31"/>
    <s v="Underweight"/>
    <n v="796.66666666666674"/>
    <x v="1"/>
  </r>
  <r>
    <n v="47"/>
    <s v="Delhi"/>
    <n v="24"/>
    <s v="Male"/>
    <n v="54.7"/>
    <n v="1.74"/>
    <n v="160"/>
    <n v="167"/>
    <n v="53"/>
    <n v="0.84"/>
    <n v="772"/>
    <s v="Yoga"/>
    <n v="22.9"/>
    <n v="3.6"/>
    <n v="3"/>
    <x v="2"/>
    <n v="18.07"/>
    <s v="Underweight"/>
    <n v="919.04761904761904"/>
    <x v="0"/>
  </r>
  <r>
    <n v="48"/>
    <s v="Hyderabad"/>
    <n v="25"/>
    <s v="Male"/>
    <n v="88.1"/>
    <n v="1.95"/>
    <n v="182"/>
    <n v="131"/>
    <n v="68"/>
    <n v="1.41"/>
    <n v="1016"/>
    <s v="Cardio"/>
    <n v="22.7"/>
    <n v="3"/>
    <n v="2"/>
    <x v="2"/>
    <n v="23.17"/>
    <s v="Normal Weight"/>
    <n v="720.56737588652481"/>
    <x v="2"/>
  </r>
  <r>
    <n v="49"/>
    <s v="Kolkata"/>
    <n v="52"/>
    <s v="Female"/>
    <n v="59.7"/>
    <n v="1.71"/>
    <n v="169"/>
    <n v="151"/>
    <n v="58"/>
    <n v="1.23"/>
    <n v="836"/>
    <s v="Strength"/>
    <n v="34.299999999999997"/>
    <n v="2"/>
    <n v="3"/>
    <x v="2"/>
    <n v="20.420000000000002"/>
    <s v="Normal Weight"/>
    <n v="679.67479674796743"/>
    <x v="1"/>
  </r>
  <r>
    <n v="50"/>
    <s v="Ahmedabad"/>
    <n v="31"/>
    <s v="Female"/>
    <n v="79.7"/>
    <n v="1.54"/>
    <n v="184"/>
    <n v="144"/>
    <n v="59"/>
    <n v="1.03"/>
    <n v="742"/>
    <s v="Cardio"/>
    <n v="26.7"/>
    <n v="2.2999999999999998"/>
    <n v="4"/>
    <x v="1"/>
    <n v="33.61"/>
    <s v="Obesity"/>
    <n v="720.38834951456306"/>
    <x v="1"/>
  </r>
  <r>
    <n v="51"/>
    <s v="Bengaluru"/>
    <n v="34"/>
    <s v="Female"/>
    <n v="51"/>
    <n v="1.62"/>
    <n v="162"/>
    <n v="158"/>
    <n v="53"/>
    <n v="1.42"/>
    <n v="1122"/>
    <s v="Yoga"/>
    <n v="30.8"/>
    <n v="2.4"/>
    <n v="3"/>
    <x v="1"/>
    <n v="19.43"/>
    <s v="Normal Weight"/>
    <n v="790.14084507042253"/>
    <x v="1"/>
  </r>
  <r>
    <n v="52"/>
    <s v="Mumbai"/>
    <n v="53"/>
    <s v="Male"/>
    <n v="84.2"/>
    <n v="1.76"/>
    <n v="165"/>
    <n v="137"/>
    <n v="69"/>
    <n v="1.67"/>
    <n v="1133"/>
    <s v="Cardio"/>
    <n v="12.8"/>
    <n v="3.5"/>
    <n v="5"/>
    <x v="0"/>
    <n v="27.18"/>
    <s v="Overweight"/>
    <n v="678.44311377245515"/>
    <x v="0"/>
  </r>
  <r>
    <n v="53"/>
    <s v="Hyderabad"/>
    <n v="57"/>
    <s v="Male"/>
    <n v="122.1"/>
    <n v="1.89"/>
    <n v="165"/>
    <n v="134"/>
    <n v="58"/>
    <n v="1.1299999999999999"/>
    <n v="750"/>
    <s v="Cardio"/>
    <n v="27.4"/>
    <n v="3.6"/>
    <n v="3"/>
    <x v="2"/>
    <n v="34.18"/>
    <s v="Obesity"/>
    <n v="663.71681415929208"/>
    <x v="0"/>
  </r>
  <r>
    <n v="54"/>
    <s v="Delhi"/>
    <n v="21"/>
    <s v="Male"/>
    <n v="96.7"/>
    <n v="1.72"/>
    <n v="161"/>
    <n v="151"/>
    <n v="62"/>
    <n v="1.26"/>
    <n v="1046"/>
    <s v="Strength"/>
    <n v="25"/>
    <n v="2.8"/>
    <n v="3"/>
    <x v="2"/>
    <n v="32.69"/>
    <s v="Obesity"/>
    <n v="830.15873015873012"/>
    <x v="2"/>
  </r>
  <r>
    <n v="55"/>
    <s v="Ahmedabad"/>
    <n v="19"/>
    <s v="Female"/>
    <n v="73"/>
    <n v="1.79"/>
    <n v="177"/>
    <n v="125"/>
    <n v="61"/>
    <n v="0.81"/>
    <n v="506"/>
    <s v="HIIT"/>
    <n v="27.7"/>
    <n v="1.6"/>
    <n v="3"/>
    <x v="2"/>
    <n v="22.78"/>
    <s v="Normal Weight"/>
    <n v="624.69135802469134"/>
    <x v="1"/>
  </r>
  <r>
    <n v="56"/>
    <s v="Hyderabad"/>
    <n v="23"/>
    <s v="Male"/>
    <n v="114.8"/>
    <n v="1.6"/>
    <n v="182"/>
    <n v="163"/>
    <n v="60"/>
    <n v="1.47"/>
    <n v="1318"/>
    <s v="Cardio"/>
    <n v="21.7"/>
    <n v="2.7"/>
    <n v="4"/>
    <x v="1"/>
    <n v="44.84"/>
    <s v="Obesity"/>
    <n v="896.59863945578229"/>
    <x v="2"/>
  </r>
  <r>
    <n v="57"/>
    <s v="Delhi"/>
    <n v="59"/>
    <s v="Female"/>
    <n v="65.5"/>
    <n v="1.52"/>
    <n v="161"/>
    <n v="162"/>
    <n v="61"/>
    <n v="1.4"/>
    <n v="1021"/>
    <s v="Yoga"/>
    <n v="31.2"/>
    <n v="2.1"/>
    <n v="3"/>
    <x v="1"/>
    <n v="28.35"/>
    <s v="Overweight"/>
    <n v="729.28571428571433"/>
    <x v="1"/>
  </r>
  <r>
    <n v="58"/>
    <s v="Chennai"/>
    <n v="21"/>
    <s v="Female"/>
    <n v="50.3"/>
    <n v="1.52"/>
    <n v="171"/>
    <n v="154"/>
    <n v="67"/>
    <n v="1.08"/>
    <n v="832"/>
    <s v="Cardio"/>
    <n v="32.200000000000003"/>
    <n v="2.6"/>
    <n v="3"/>
    <x v="2"/>
    <n v="21.77"/>
    <s v="Normal Weight"/>
    <n v="770.37037037037032"/>
    <x v="2"/>
  </r>
  <r>
    <n v="59"/>
    <s v="Chennai"/>
    <n v="46"/>
    <s v="Female"/>
    <n v="61"/>
    <n v="1.71"/>
    <n v="181"/>
    <n v="153"/>
    <n v="61"/>
    <n v="1.67"/>
    <n v="1150"/>
    <s v="Cardio"/>
    <n v="17.8"/>
    <n v="2.7"/>
    <n v="4"/>
    <x v="0"/>
    <n v="20.86"/>
    <s v="Normal Weight"/>
    <n v="688.62275449101799"/>
    <x v="2"/>
  </r>
  <r>
    <n v="60"/>
    <s v="Noida"/>
    <n v="35"/>
    <s v="Female"/>
    <n v="44.6"/>
    <n v="1.62"/>
    <n v="196"/>
    <n v="157"/>
    <n v="65"/>
    <n v="0.56000000000000005"/>
    <n v="440"/>
    <s v="HIIT"/>
    <n v="32.4"/>
    <n v="2"/>
    <n v="2"/>
    <x v="2"/>
    <n v="16.989999999999998"/>
    <s v="Underweight"/>
    <n v="785.71428571428567"/>
    <x v="1"/>
  </r>
  <r>
    <n v="61"/>
    <s v="Hyderabad"/>
    <n v="43"/>
    <s v="Female"/>
    <n v="58.2"/>
    <n v="1.61"/>
    <n v="179"/>
    <n v="124"/>
    <n v="54"/>
    <n v="1.04"/>
    <n v="580"/>
    <s v="Strength"/>
    <n v="26.4"/>
    <n v="2.6"/>
    <n v="3"/>
    <x v="1"/>
    <n v="22.45"/>
    <s v="Normal Weight"/>
    <n v="557.69230769230762"/>
    <x v="2"/>
  </r>
  <r>
    <n v="62"/>
    <s v="Chennai"/>
    <n v="51"/>
    <s v="Female"/>
    <n v="44.8"/>
    <n v="1.63"/>
    <n v="198"/>
    <n v="137"/>
    <n v="69"/>
    <n v="1.08"/>
    <n v="666"/>
    <s v="Yoga"/>
    <n v="33.799999999999997"/>
    <n v="2.1"/>
    <n v="4"/>
    <x v="1"/>
    <n v="16.86"/>
    <s v="Underweight"/>
    <n v="616.66666666666663"/>
    <x v="1"/>
  </r>
  <r>
    <n v="63"/>
    <s v="Delhi"/>
    <n v="27"/>
    <s v="Male"/>
    <n v="87.5"/>
    <n v="1.63"/>
    <n v="183"/>
    <n v="135"/>
    <n v="74"/>
    <n v="1.75"/>
    <n v="1299"/>
    <s v="Strength"/>
    <n v="12.9"/>
    <n v="3.5"/>
    <n v="5"/>
    <x v="0"/>
    <n v="32.93"/>
    <s v="Obesity"/>
    <n v="742.28571428571433"/>
    <x v="0"/>
  </r>
  <r>
    <n v="64"/>
    <s v="Noida"/>
    <n v="53"/>
    <s v="Male"/>
    <n v="51.8"/>
    <n v="1.74"/>
    <n v="179"/>
    <n v="127"/>
    <n v="61"/>
    <n v="1.23"/>
    <n v="773"/>
    <s v="Strength"/>
    <n v="21.3"/>
    <n v="3.7"/>
    <n v="3"/>
    <x v="1"/>
    <n v="17.11"/>
    <s v="Underweight"/>
    <n v="628.45528455284557"/>
    <x v="0"/>
  </r>
  <r>
    <n v="65"/>
    <s v="Delhi"/>
    <n v="31"/>
    <s v="Female"/>
    <n v="64.400000000000006"/>
    <n v="1.7"/>
    <n v="160"/>
    <n v="144"/>
    <n v="70"/>
    <n v="1.97"/>
    <n v="1418"/>
    <s v="Strength"/>
    <n v="17.3"/>
    <n v="2.7"/>
    <n v="5"/>
    <x v="0"/>
    <n v="22.28"/>
    <s v="Normal Weight"/>
    <n v="719.79695431472078"/>
    <x v="2"/>
  </r>
  <r>
    <n v="66"/>
    <s v="Noida"/>
    <n v="48"/>
    <s v="Female"/>
    <n v="67.099999999999994"/>
    <n v="1.61"/>
    <n v="160"/>
    <n v="151"/>
    <n v="74"/>
    <n v="0.62"/>
    <n v="421"/>
    <s v="Cardio"/>
    <n v="33.4"/>
    <n v="1.5"/>
    <n v="2"/>
    <x v="2"/>
    <n v="25.89"/>
    <s v="Overweight"/>
    <n v="679.0322580645161"/>
    <x v="1"/>
  </r>
  <r>
    <n v="67"/>
    <s v="Hyderabad"/>
    <n v="32"/>
    <s v="Male"/>
    <n v="85.9"/>
    <n v="1.6"/>
    <n v="176"/>
    <n v="145"/>
    <n v="60"/>
    <n v="1.99"/>
    <n v="1587"/>
    <s v="HIIT"/>
    <n v="14.5"/>
    <n v="3.5"/>
    <n v="5"/>
    <x v="0"/>
    <n v="33.549999999999997"/>
    <s v="Obesity"/>
    <n v="797.48743718592971"/>
    <x v="0"/>
  </r>
  <r>
    <n v="68"/>
    <s v="Ahmedabad"/>
    <n v="25"/>
    <s v="Female"/>
    <n v="65.400000000000006"/>
    <n v="1.77"/>
    <n v="160"/>
    <n v="141"/>
    <n v="58"/>
    <n v="0.89"/>
    <n v="627"/>
    <s v="Cardio"/>
    <n v="27.6"/>
    <n v="2.6"/>
    <n v="3"/>
    <x v="2"/>
    <n v="20.88"/>
    <s v="Normal Weight"/>
    <n v="704.49438202247188"/>
    <x v="2"/>
  </r>
  <r>
    <n v="69"/>
    <s v="Kolkata"/>
    <n v="31"/>
    <s v="Female"/>
    <n v="61.1"/>
    <n v="1.76"/>
    <n v="189"/>
    <n v="150"/>
    <n v="67"/>
    <n v="1.81"/>
    <n v="1358"/>
    <s v="Yoga"/>
    <n v="18.600000000000001"/>
    <n v="2.7"/>
    <n v="4"/>
    <x v="0"/>
    <n v="19.72"/>
    <s v="Normal Weight"/>
    <n v="750.27624309392263"/>
    <x v="2"/>
  </r>
  <r>
    <n v="70"/>
    <s v="Gurgaon"/>
    <n v="40"/>
    <s v="Male"/>
    <n v="106.5"/>
    <n v="1.65"/>
    <n v="162"/>
    <n v="162"/>
    <n v="74"/>
    <n v="1.32"/>
    <n v="1176"/>
    <s v="HIIT"/>
    <n v="21"/>
    <n v="3.6"/>
    <n v="4"/>
    <x v="1"/>
    <n v="39.119999999999997"/>
    <s v="Obesity"/>
    <n v="890.90909090909088"/>
    <x v="0"/>
  </r>
  <r>
    <n v="71"/>
    <s v="Ahmedabad"/>
    <n v="57"/>
    <s v="Female"/>
    <n v="64"/>
    <n v="1.52"/>
    <n v="170"/>
    <n v="129"/>
    <n v="52"/>
    <n v="1.73"/>
    <n v="1004"/>
    <s v="Strength"/>
    <n v="15.2"/>
    <n v="2.7"/>
    <n v="5"/>
    <x v="0"/>
    <n v="27.7"/>
    <s v="Overweight"/>
    <n v="580.34682080924858"/>
    <x v="2"/>
  </r>
  <r>
    <n v="72"/>
    <s v="Pune"/>
    <n v="38"/>
    <s v="Female"/>
    <n v="61.4"/>
    <n v="1.54"/>
    <n v="183"/>
    <n v="131"/>
    <n v="69"/>
    <n v="1.47"/>
    <n v="963"/>
    <s v="HIIT"/>
    <n v="30.6"/>
    <n v="2.7"/>
    <n v="3"/>
    <x v="1"/>
    <n v="25.89"/>
    <s v="Overweight"/>
    <n v="655.10204081632651"/>
    <x v="2"/>
  </r>
  <r>
    <n v="73"/>
    <s v="Delhi"/>
    <n v="33"/>
    <s v="Female"/>
    <n v="40.5"/>
    <n v="1.63"/>
    <n v="181"/>
    <n v="147"/>
    <n v="66"/>
    <n v="1.07"/>
    <n v="786"/>
    <s v="Yoga"/>
    <n v="31.9"/>
    <n v="1.5"/>
    <n v="4"/>
    <x v="1"/>
    <n v="15.24"/>
    <s v="Underweight"/>
    <n v="734.57943925233644"/>
    <x v="1"/>
  </r>
  <r>
    <n v="74"/>
    <s v="Pune"/>
    <n v="35"/>
    <s v="Male"/>
    <n v="70.099999999999994"/>
    <n v="1.79"/>
    <n v="185"/>
    <n v="125"/>
    <n v="63"/>
    <n v="1.08"/>
    <n v="743"/>
    <s v="Cardio"/>
    <n v="28"/>
    <n v="2.2999999999999998"/>
    <n v="3"/>
    <x v="1"/>
    <n v="21.88"/>
    <s v="Normal Weight"/>
    <n v="687.96296296296293"/>
    <x v="1"/>
  </r>
  <r>
    <n v="75"/>
    <s v="Ahmedabad"/>
    <n v="41"/>
    <s v="Male"/>
    <n v="94.1"/>
    <n v="1.62"/>
    <n v="172"/>
    <n v="139"/>
    <n v="50"/>
    <n v="1.1299999999999999"/>
    <n v="777"/>
    <s v="Cardio"/>
    <n v="23.4"/>
    <n v="3.1"/>
    <n v="4"/>
    <x v="1"/>
    <n v="35.86"/>
    <s v="Obesity"/>
    <n v="687.61061946902657"/>
    <x v="0"/>
  </r>
  <r>
    <n v="76"/>
    <s v="Noida"/>
    <n v="43"/>
    <s v="Male"/>
    <n v="55.5"/>
    <n v="1.82"/>
    <n v="160"/>
    <n v="124"/>
    <n v="66"/>
    <n v="1.08"/>
    <n v="663"/>
    <s v="Strength"/>
    <n v="20.100000000000001"/>
    <n v="2"/>
    <n v="3"/>
    <x v="2"/>
    <n v="16.760000000000002"/>
    <s v="Underweight"/>
    <n v="613.8888888888888"/>
    <x v="1"/>
  </r>
  <r>
    <n v="77"/>
    <s v="Gurgaon"/>
    <n v="42"/>
    <s v="Female"/>
    <n v="53.7"/>
    <n v="1.72"/>
    <n v="183"/>
    <n v="142"/>
    <n v="74"/>
    <n v="1.37"/>
    <n v="875"/>
    <s v="Cardio"/>
    <n v="29.8"/>
    <n v="1.6"/>
    <n v="3"/>
    <x v="2"/>
    <n v="18.149999999999999"/>
    <s v="Underweight"/>
    <n v="638.68613138686123"/>
    <x v="1"/>
  </r>
  <r>
    <n v="78"/>
    <s v="Gurgaon"/>
    <n v="58"/>
    <s v="Female"/>
    <n v="66.099999999999994"/>
    <n v="1.75"/>
    <n v="169"/>
    <n v="128"/>
    <n v="57"/>
    <n v="0.63"/>
    <n v="363"/>
    <s v="Cardio"/>
    <n v="25.2"/>
    <n v="1.8"/>
    <n v="2"/>
    <x v="2"/>
    <n v="21.58"/>
    <s v="Normal Weight"/>
    <n v="576.19047619047615"/>
    <x v="1"/>
  </r>
  <r>
    <n v="79"/>
    <s v="Mumbai"/>
    <n v="46"/>
    <s v="Male"/>
    <n v="103.9"/>
    <n v="1.77"/>
    <n v="194"/>
    <n v="148"/>
    <n v="54"/>
    <n v="1.18"/>
    <n v="864"/>
    <s v="Yoga"/>
    <n v="20.9"/>
    <n v="2.9"/>
    <n v="2"/>
    <x v="2"/>
    <n v="33.159999999999997"/>
    <s v="Obesity"/>
    <n v="732.20338983050851"/>
    <x v="2"/>
  </r>
  <r>
    <n v="80"/>
    <s v="Gurgaon"/>
    <n v="32"/>
    <s v="Female"/>
    <n v="61.7"/>
    <n v="1.58"/>
    <n v="183"/>
    <n v="135"/>
    <n v="54"/>
    <n v="1.87"/>
    <n v="1262"/>
    <s v="HIIT"/>
    <n v="16.600000000000001"/>
    <n v="2.7"/>
    <n v="5"/>
    <x v="0"/>
    <n v="24.72"/>
    <s v="Normal Weight"/>
    <n v="674.86631016042782"/>
    <x v="2"/>
  </r>
  <r>
    <n v="81"/>
    <s v="Kolkata"/>
    <n v="18"/>
    <s v="Female"/>
    <n v="52.3"/>
    <n v="1.74"/>
    <n v="187"/>
    <n v="165"/>
    <n v="58"/>
    <n v="1.2"/>
    <n v="990"/>
    <s v="Cardio"/>
    <n v="29.4"/>
    <n v="2.2000000000000002"/>
    <n v="2"/>
    <x v="2"/>
    <n v="17.27"/>
    <s v="Underweight"/>
    <n v="825"/>
    <x v="1"/>
  </r>
  <r>
    <n v="82"/>
    <s v="Gurgaon"/>
    <n v="42"/>
    <s v="Female"/>
    <n v="59.5"/>
    <n v="1.74"/>
    <n v="195"/>
    <n v="141"/>
    <n v="52"/>
    <n v="1.78"/>
    <n v="1129"/>
    <s v="Yoga"/>
    <n v="16.399999999999999"/>
    <n v="2.7"/>
    <n v="5"/>
    <x v="0"/>
    <n v="19.649999999999999"/>
    <s v="Normal Weight"/>
    <n v="634.2696629213483"/>
    <x v="2"/>
  </r>
  <r>
    <n v="83"/>
    <s v="Ahmedabad"/>
    <n v="24"/>
    <s v="Female"/>
    <n v="72.900000000000006"/>
    <n v="1.76"/>
    <n v="175"/>
    <n v="127"/>
    <n v="68"/>
    <n v="0.86"/>
    <n v="546"/>
    <s v="Yoga"/>
    <n v="30.8"/>
    <n v="1.5"/>
    <n v="3"/>
    <x v="2"/>
    <n v="23.53"/>
    <s v="Normal Weight"/>
    <n v="634.88372093023258"/>
    <x v="1"/>
  </r>
  <r>
    <n v="84"/>
    <s v="Mumbai"/>
    <n v="26"/>
    <s v="Female"/>
    <n v="76.7"/>
    <n v="1.63"/>
    <n v="199"/>
    <n v="139"/>
    <n v="72"/>
    <n v="1.08"/>
    <n v="751"/>
    <s v="Strength"/>
    <n v="25.6"/>
    <n v="1.7"/>
    <n v="2"/>
    <x v="2"/>
    <n v="28.87"/>
    <s v="Overweight"/>
    <n v="695.37037037037032"/>
    <x v="1"/>
  </r>
  <r>
    <n v="85"/>
    <s v="Ahmedabad"/>
    <n v="41"/>
    <s v="Male"/>
    <n v="72.099999999999994"/>
    <n v="1.83"/>
    <n v="175"/>
    <n v="133"/>
    <n v="58"/>
    <n v="1.1299999999999999"/>
    <n v="744"/>
    <s v="Yoga"/>
    <n v="21.4"/>
    <n v="2.8"/>
    <n v="3"/>
    <x v="1"/>
    <n v="21.53"/>
    <s v="Normal Weight"/>
    <n v="658.40707964601779"/>
    <x v="2"/>
  </r>
  <r>
    <n v="86"/>
    <s v="Ahmedabad"/>
    <n v="18"/>
    <s v="Female"/>
    <n v="54.8"/>
    <n v="1.68"/>
    <n v="176"/>
    <n v="158"/>
    <n v="71"/>
    <n v="1.27"/>
    <n v="1003"/>
    <s v="Strength"/>
    <n v="32"/>
    <n v="2.2000000000000002"/>
    <n v="4"/>
    <x v="1"/>
    <n v="19.420000000000002"/>
    <s v="Normal Weight"/>
    <n v="789.763779527559"/>
    <x v="1"/>
  </r>
  <r>
    <n v="87"/>
    <s v="Bengaluru"/>
    <n v="25"/>
    <s v="Male"/>
    <n v="105"/>
    <n v="1.88"/>
    <n v="174"/>
    <n v="156"/>
    <n v="67"/>
    <n v="1.34"/>
    <n v="1150"/>
    <s v="Cardio"/>
    <n v="21.4"/>
    <n v="2.2999999999999998"/>
    <n v="3"/>
    <x v="1"/>
    <n v="29.71"/>
    <s v="Overweight"/>
    <n v="858.20895522388059"/>
    <x v="1"/>
  </r>
  <r>
    <n v="88"/>
    <s v="Mumbai"/>
    <n v="41"/>
    <s v="Female"/>
    <n v="55"/>
    <n v="1.55"/>
    <n v="175"/>
    <n v="169"/>
    <n v="65"/>
    <n v="1.45"/>
    <n v="1103"/>
    <s v="Strength"/>
    <n v="31.4"/>
    <n v="2"/>
    <n v="4"/>
    <x v="1"/>
    <n v="22.89"/>
    <s v="Normal Weight"/>
    <n v="760.68965517241384"/>
    <x v="1"/>
  </r>
  <r>
    <n v="89"/>
    <s v="Ahmedabad"/>
    <n v="28"/>
    <s v="Male"/>
    <n v="81.599999999999994"/>
    <n v="1.66"/>
    <n v="174"/>
    <n v="153"/>
    <n v="50"/>
    <n v="1.0900000000000001"/>
    <n v="917"/>
    <s v="Yoga"/>
    <n v="20.5"/>
    <n v="3.5"/>
    <n v="4"/>
    <x v="1"/>
    <n v="29.61"/>
    <s v="Overweight"/>
    <n v="841.28440366972472"/>
    <x v="0"/>
  </r>
  <r>
    <n v="90"/>
    <s v="Bengaluru"/>
    <n v="34"/>
    <s v="Female"/>
    <n v="75.599999999999994"/>
    <n v="1.6"/>
    <n v="193"/>
    <n v="130"/>
    <n v="51"/>
    <n v="0.64"/>
    <n v="416"/>
    <s v="HIIT"/>
    <n v="29.1"/>
    <n v="2.7"/>
    <n v="2"/>
    <x v="2"/>
    <n v="29.53"/>
    <s v="Overweight"/>
    <n v="650"/>
    <x v="2"/>
  </r>
  <r>
    <n v="91"/>
    <s v="Bengaluru"/>
    <n v="25"/>
    <s v="Male"/>
    <n v="81.5"/>
    <n v="1.61"/>
    <n v="170"/>
    <n v="159"/>
    <n v="63"/>
    <n v="1.93"/>
    <n v="1688"/>
    <s v="HIIT"/>
    <n v="10.9"/>
    <n v="3.5"/>
    <n v="4"/>
    <x v="0"/>
    <n v="31.44"/>
    <s v="Obesity"/>
    <n v="874.61139896373061"/>
    <x v="0"/>
  </r>
  <r>
    <n v="92"/>
    <s v="Mumbai"/>
    <n v="52"/>
    <s v="Female"/>
    <n v="61.5"/>
    <n v="1.69"/>
    <n v="160"/>
    <n v="152"/>
    <n v="63"/>
    <n v="1.8"/>
    <n v="1231"/>
    <s v="Cardio"/>
    <n v="15.5"/>
    <n v="2.7"/>
    <n v="4"/>
    <x v="0"/>
    <n v="21.53"/>
    <s v="Normal Weight"/>
    <n v="683.88888888888891"/>
    <x v="2"/>
  </r>
  <r>
    <n v="93"/>
    <s v="Pune"/>
    <n v="52"/>
    <s v="Male"/>
    <n v="74"/>
    <n v="1.63"/>
    <n v="174"/>
    <n v="150"/>
    <n v="50"/>
    <n v="1.26"/>
    <n v="936"/>
    <s v="Cardio"/>
    <n v="25.7"/>
    <n v="3.7"/>
    <n v="3"/>
    <x v="1"/>
    <n v="27.85"/>
    <s v="Overweight"/>
    <n v="742.85714285714289"/>
    <x v="0"/>
  </r>
  <r>
    <n v="94"/>
    <s v="Noida"/>
    <n v="50"/>
    <s v="Female"/>
    <n v="56.4"/>
    <n v="1.59"/>
    <n v="185"/>
    <n v="163"/>
    <n v="74"/>
    <n v="1.26"/>
    <n v="924"/>
    <s v="HIIT"/>
    <n v="34.299999999999997"/>
    <n v="2.6"/>
    <n v="3"/>
    <x v="2"/>
    <n v="22.31"/>
    <s v="Normal Weight"/>
    <n v="733.33333333333337"/>
    <x v="2"/>
  </r>
  <r>
    <n v="95"/>
    <s v="Kolkata"/>
    <n v="22"/>
    <s v="Male"/>
    <n v="102.6"/>
    <n v="1.84"/>
    <n v="163"/>
    <n v="153"/>
    <n v="65"/>
    <n v="1.25"/>
    <n v="1052"/>
    <s v="Strength"/>
    <n v="20.5"/>
    <n v="2.7"/>
    <n v="3"/>
    <x v="1"/>
    <n v="30.3"/>
    <s v="Obesity"/>
    <n v="841.6"/>
    <x v="2"/>
  </r>
  <r>
    <n v="96"/>
    <s v="Noida"/>
    <n v="59"/>
    <s v="Female"/>
    <n v="54.6"/>
    <n v="1.57"/>
    <n v="164"/>
    <n v="169"/>
    <n v="64"/>
    <n v="0.57999999999999996"/>
    <n v="441"/>
    <s v="Cardio"/>
    <n v="29.2"/>
    <n v="2.2999999999999998"/>
    <n v="3"/>
    <x v="2"/>
    <n v="22.15"/>
    <s v="Normal Weight"/>
    <n v="760.34482758620697"/>
    <x v="1"/>
  </r>
  <r>
    <n v="97"/>
    <s v="Gurgaon"/>
    <n v="56"/>
    <s v="Male"/>
    <n v="129"/>
    <n v="1.78"/>
    <n v="194"/>
    <n v="126"/>
    <n v="64"/>
    <n v="1.29"/>
    <n v="805"/>
    <s v="Yoga"/>
    <n v="27.1"/>
    <n v="2.7"/>
    <n v="2"/>
    <x v="2"/>
    <n v="40.71"/>
    <s v="Obesity"/>
    <n v="624.03100775193798"/>
    <x v="2"/>
  </r>
  <r>
    <n v="98"/>
    <s v="Kolkata"/>
    <n v="58"/>
    <s v="Male"/>
    <n v="103.5"/>
    <n v="1.66"/>
    <n v="172"/>
    <n v="168"/>
    <n v="61"/>
    <n v="1.33"/>
    <n v="1106"/>
    <s v="Cardio"/>
    <n v="24.6"/>
    <n v="3.1"/>
    <n v="3"/>
    <x v="2"/>
    <n v="37.56"/>
    <s v="Obesity"/>
    <n v="831.57894736842104"/>
    <x v="0"/>
  </r>
  <r>
    <n v="99"/>
    <s v="Gurgaon"/>
    <n v="45"/>
    <s v="Female"/>
    <n v="59.4"/>
    <n v="1.51"/>
    <n v="169"/>
    <n v="142"/>
    <n v="65"/>
    <n v="1.1499999999999999"/>
    <n v="735"/>
    <s v="Strength"/>
    <n v="33.1"/>
    <n v="1.9"/>
    <n v="4"/>
    <x v="1"/>
    <n v="26.05"/>
    <s v="Overweight"/>
    <n v="639.13043478260875"/>
    <x v="1"/>
  </r>
  <r>
    <n v="100"/>
    <s v="Ahmedabad"/>
    <n v="24"/>
    <s v="Female"/>
    <n v="60.1"/>
    <n v="1.79"/>
    <n v="170"/>
    <n v="165"/>
    <n v="63"/>
    <n v="1.97"/>
    <n v="1625"/>
    <s v="Cardio"/>
    <n v="15.9"/>
    <n v="2.7"/>
    <n v="4"/>
    <x v="0"/>
    <n v="18.760000000000002"/>
    <s v="Normal Weight"/>
    <n v="824.87309644670052"/>
    <x v="2"/>
  </r>
  <r>
    <n v="101"/>
    <s v="Delhi"/>
    <n v="26"/>
    <s v="Male"/>
    <n v="77.7"/>
    <n v="1.62"/>
    <n v="177"/>
    <n v="126"/>
    <n v="73"/>
    <n v="1.1599999999999999"/>
    <n v="804"/>
    <s v="Yoga"/>
    <n v="29.6"/>
    <n v="3"/>
    <n v="3"/>
    <x v="1"/>
    <n v="29.61"/>
    <s v="Overweight"/>
    <n v="693.10344827586209"/>
    <x v="2"/>
  </r>
  <r>
    <n v="102"/>
    <s v="Mumbai"/>
    <n v="25"/>
    <s v="Female"/>
    <n v="41.2"/>
    <n v="1.62"/>
    <n v="193"/>
    <n v="144"/>
    <n v="64"/>
    <n v="1.49"/>
    <n v="1073"/>
    <s v="Yoga"/>
    <n v="28.9"/>
    <n v="2.1"/>
    <n v="4"/>
    <x v="1"/>
    <n v="15.7"/>
    <s v="Underweight"/>
    <n v="720.13422818791946"/>
    <x v="1"/>
  </r>
  <r>
    <n v="103"/>
    <s v="Kolkata"/>
    <n v="29"/>
    <s v="Male"/>
    <n v="58.6"/>
    <n v="1.61"/>
    <n v="198"/>
    <n v="122"/>
    <n v="72"/>
    <n v="1.2"/>
    <n v="805"/>
    <s v="Yoga"/>
    <n v="23.4"/>
    <n v="2"/>
    <n v="3"/>
    <x v="1"/>
    <n v="22.61"/>
    <s v="Normal Weight"/>
    <n v="670.83333333333337"/>
    <x v="1"/>
  </r>
  <r>
    <n v="104"/>
    <s v="Kolkata"/>
    <n v="51"/>
    <s v="Male"/>
    <n v="109.3"/>
    <n v="1.78"/>
    <n v="182"/>
    <n v="157"/>
    <n v="64"/>
    <n v="0.54"/>
    <n v="420"/>
    <s v="Strength"/>
    <n v="28.7"/>
    <n v="3.3"/>
    <n v="3"/>
    <x v="2"/>
    <n v="34.5"/>
    <s v="Obesity"/>
    <n v="777.77777777777771"/>
    <x v="0"/>
  </r>
  <r>
    <n v="105"/>
    <s v="Ahmedabad"/>
    <n v="50"/>
    <s v="Male"/>
    <n v="69.599999999999994"/>
    <n v="1.96"/>
    <n v="166"/>
    <n v="139"/>
    <n v="68"/>
    <n v="0.97"/>
    <n v="667"/>
    <s v="Strength"/>
    <n v="25.6"/>
    <n v="2"/>
    <n v="3"/>
    <x v="2"/>
    <n v="18.12"/>
    <s v="Underweight"/>
    <n v="687.62886597938143"/>
    <x v="1"/>
  </r>
  <r>
    <n v="106"/>
    <s v="Pune"/>
    <n v="40"/>
    <s v="Female"/>
    <n v="56.2"/>
    <n v="1.79"/>
    <n v="198"/>
    <n v="153"/>
    <n v="57"/>
    <n v="1.79"/>
    <n v="1369"/>
    <s v="Yoga"/>
    <n v="17.600000000000001"/>
    <n v="2.7"/>
    <n v="5"/>
    <x v="0"/>
    <n v="17.54"/>
    <s v="Underweight"/>
    <n v="764.80446927374305"/>
    <x v="2"/>
  </r>
  <r>
    <n v="107"/>
    <s v="Bengaluru"/>
    <n v="41"/>
    <s v="Male"/>
    <n v="71.7"/>
    <n v="1.96"/>
    <n v="162"/>
    <n v="168"/>
    <n v="51"/>
    <n v="0.51"/>
    <n v="424"/>
    <s v="Yoga"/>
    <n v="27.3"/>
    <n v="2.5"/>
    <n v="2"/>
    <x v="2"/>
    <n v="18.66"/>
    <s v="Normal Weight"/>
    <n v="831.37254901960785"/>
    <x v="1"/>
  </r>
  <r>
    <n v="108"/>
    <s v="Ahmedabad"/>
    <n v="54"/>
    <s v="Male"/>
    <n v="86"/>
    <n v="1.93"/>
    <n v="171"/>
    <n v="163"/>
    <n v="51"/>
    <n v="1.74"/>
    <n v="1404"/>
    <s v="Strength"/>
    <n v="12.9"/>
    <n v="3.5"/>
    <n v="5"/>
    <x v="0"/>
    <n v="23.09"/>
    <s v="Normal Weight"/>
    <n v="806.89655172413791"/>
    <x v="0"/>
  </r>
  <r>
    <n v="109"/>
    <s v="Chennai"/>
    <n v="52"/>
    <s v="Female"/>
    <n v="79.400000000000006"/>
    <n v="1.59"/>
    <n v="166"/>
    <n v="163"/>
    <n v="59"/>
    <n v="1.39"/>
    <n v="1020"/>
    <s v="Strength"/>
    <n v="26.6"/>
    <n v="1.5"/>
    <n v="3"/>
    <x v="1"/>
    <n v="31.41"/>
    <s v="Obesity"/>
    <n v="733.8129496402878"/>
    <x v="1"/>
  </r>
  <r>
    <n v="110"/>
    <s v="Bengaluru"/>
    <n v="57"/>
    <s v="Female"/>
    <n v="78.400000000000006"/>
    <n v="1.62"/>
    <n v="185"/>
    <n v="149"/>
    <n v="52"/>
    <n v="1.01"/>
    <n v="677"/>
    <s v="Strength"/>
    <n v="31.7"/>
    <n v="2"/>
    <n v="4"/>
    <x v="1"/>
    <n v="29.87"/>
    <s v="Overweight"/>
    <n v="670.29702970297024"/>
    <x v="1"/>
  </r>
  <r>
    <n v="111"/>
    <s v="Mumbai"/>
    <n v="39"/>
    <s v="Female"/>
    <n v="55.4"/>
    <n v="1.6"/>
    <n v="192"/>
    <n v="136"/>
    <n v="72"/>
    <n v="1.44"/>
    <n v="979"/>
    <s v="HIIT"/>
    <n v="26.3"/>
    <n v="1.6"/>
    <n v="3"/>
    <x v="1"/>
    <n v="21.64"/>
    <s v="Normal Weight"/>
    <n v="679.86111111111109"/>
    <x v="1"/>
  </r>
  <r>
    <n v="112"/>
    <s v="Bengaluru"/>
    <n v="44"/>
    <s v="Female"/>
    <n v="61.7"/>
    <n v="1.55"/>
    <n v="196"/>
    <n v="129"/>
    <n v="66"/>
    <n v="1.41"/>
    <n v="819"/>
    <s v="Strength"/>
    <n v="33.1"/>
    <n v="2.6"/>
    <n v="4"/>
    <x v="1"/>
    <n v="25.68"/>
    <s v="Overweight"/>
    <n v="580.85106382978722"/>
    <x v="2"/>
  </r>
  <r>
    <n v="113"/>
    <s v="Pune"/>
    <n v="52"/>
    <s v="Male"/>
    <n v="85.5"/>
    <n v="1.82"/>
    <n v="174"/>
    <n v="154"/>
    <n v="57"/>
    <n v="1.78"/>
    <n v="1357"/>
    <s v="Yoga"/>
    <n v="14.9"/>
    <n v="3.5"/>
    <n v="4"/>
    <x v="0"/>
    <n v="25.81"/>
    <s v="Overweight"/>
    <n v="762.35955056179773"/>
    <x v="0"/>
  </r>
  <r>
    <n v="114"/>
    <s v="Bengaluru"/>
    <n v="18"/>
    <s v="Male"/>
    <n v="87.6"/>
    <n v="1.93"/>
    <n v="161"/>
    <n v="139"/>
    <n v="72"/>
    <n v="1.72"/>
    <n v="1315"/>
    <s v="HIIT"/>
    <n v="11.9"/>
    <n v="3.5"/>
    <n v="4"/>
    <x v="0"/>
    <n v="23.52"/>
    <s v="Normal Weight"/>
    <n v="764.53488372093022"/>
    <x v="0"/>
  </r>
  <r>
    <n v="115"/>
    <s v="Mumbai"/>
    <n v="52"/>
    <s v="Male"/>
    <n v="82.4"/>
    <n v="1.72"/>
    <n v="166"/>
    <n v="137"/>
    <n v="53"/>
    <n v="1.01"/>
    <n v="685"/>
    <s v="Strength"/>
    <n v="24.4"/>
    <n v="2.7"/>
    <n v="4"/>
    <x v="1"/>
    <n v="27.85"/>
    <s v="Overweight"/>
    <n v="678.21782178217825"/>
    <x v="2"/>
  </r>
  <r>
    <n v="116"/>
    <s v="Pune"/>
    <n v="54"/>
    <s v="Male"/>
    <n v="67"/>
    <n v="1.68"/>
    <n v="191"/>
    <n v="164"/>
    <n v="63"/>
    <n v="0.55000000000000004"/>
    <n v="446"/>
    <s v="Yoga"/>
    <n v="20.5"/>
    <n v="2.8"/>
    <n v="3"/>
    <x v="2"/>
    <n v="23.74"/>
    <s v="Normal Weight"/>
    <n v="810.90909090909088"/>
    <x v="2"/>
  </r>
  <r>
    <n v="117"/>
    <s v="Noida"/>
    <n v="31"/>
    <s v="Female"/>
    <n v="42.3"/>
    <n v="1.6"/>
    <n v="163"/>
    <n v="163"/>
    <n v="70"/>
    <n v="1.0900000000000001"/>
    <n v="888"/>
    <s v="Cardio"/>
    <n v="25.1"/>
    <n v="1.9"/>
    <n v="3"/>
    <x v="1"/>
    <n v="16.52"/>
    <s v="Underweight"/>
    <n v="814.67889908256871"/>
    <x v="1"/>
  </r>
  <r>
    <n v="118"/>
    <s v="Kolkata"/>
    <n v="20"/>
    <s v="Male"/>
    <n v="82.7"/>
    <n v="1.99"/>
    <n v="179"/>
    <n v="146"/>
    <n v="59"/>
    <n v="1.69"/>
    <n v="1357"/>
    <s v="HIIT"/>
    <n v="14.6"/>
    <n v="3.5"/>
    <n v="5"/>
    <x v="0"/>
    <n v="20.88"/>
    <s v="Normal Weight"/>
    <n v="802.95857988165687"/>
    <x v="0"/>
  </r>
  <r>
    <n v="119"/>
    <s v="Kolkata"/>
    <n v="18"/>
    <s v="Male"/>
    <n v="92.4"/>
    <n v="1.74"/>
    <n v="195"/>
    <n v="168"/>
    <n v="50"/>
    <n v="1.41"/>
    <n v="1303"/>
    <s v="Yoga"/>
    <n v="21.3"/>
    <n v="3.1"/>
    <n v="2"/>
    <x v="2"/>
    <n v="30.52"/>
    <s v="Obesity"/>
    <n v="924.11347517730496"/>
    <x v="0"/>
  </r>
  <r>
    <n v="120"/>
    <s v="Gurgaon"/>
    <n v="22"/>
    <s v="Female"/>
    <n v="63.2"/>
    <n v="1.54"/>
    <n v="191"/>
    <n v="155"/>
    <n v="53"/>
    <n v="1.02"/>
    <n v="790"/>
    <s v="Cardio"/>
    <n v="29.5"/>
    <n v="2.4"/>
    <n v="4"/>
    <x v="1"/>
    <n v="26.65"/>
    <s v="Overweight"/>
    <n v="774.50980392156862"/>
    <x v="1"/>
  </r>
  <r>
    <n v="121"/>
    <s v="Noida"/>
    <n v="43"/>
    <s v="Male"/>
    <n v="82.7"/>
    <n v="1.85"/>
    <n v="187"/>
    <n v="142"/>
    <n v="50"/>
    <n v="1.22"/>
    <n v="858"/>
    <s v="Yoga"/>
    <n v="28.2"/>
    <n v="3.1"/>
    <n v="4"/>
    <x v="1"/>
    <n v="24.16"/>
    <s v="Normal Weight"/>
    <n v="703.27868852459017"/>
    <x v="0"/>
  </r>
  <r>
    <n v="122"/>
    <s v="Noida"/>
    <n v="31"/>
    <s v="Male"/>
    <n v="86.6"/>
    <n v="1.76"/>
    <n v="172"/>
    <n v="151"/>
    <n v="66"/>
    <n v="1.29"/>
    <n v="1071"/>
    <s v="Strength"/>
    <n v="28.9"/>
    <n v="3.3"/>
    <n v="3"/>
    <x v="1"/>
    <n v="27.96"/>
    <s v="Overweight"/>
    <n v="830.23255813953483"/>
    <x v="0"/>
  </r>
  <r>
    <n v="123"/>
    <s v="Bengaluru"/>
    <n v="56"/>
    <s v="Male"/>
    <n v="129.5"/>
    <n v="1.95"/>
    <n v="160"/>
    <n v="129"/>
    <n v="66"/>
    <n v="1"/>
    <n v="639"/>
    <s v="Strength"/>
    <n v="25.2"/>
    <n v="3.5"/>
    <n v="2"/>
    <x v="2"/>
    <n v="34.06"/>
    <s v="Obesity"/>
    <n v="639"/>
    <x v="0"/>
  </r>
  <r>
    <n v="124"/>
    <s v="Kolkata"/>
    <n v="44"/>
    <s v="Male"/>
    <n v="98"/>
    <n v="1.83"/>
    <n v="194"/>
    <n v="130"/>
    <n v="56"/>
    <n v="1.28"/>
    <n v="824"/>
    <s v="Cardio"/>
    <n v="25.7"/>
    <n v="3.5"/>
    <n v="4"/>
    <x v="1"/>
    <n v="29.26"/>
    <s v="Overweight"/>
    <n v="643.75"/>
    <x v="0"/>
  </r>
  <r>
    <n v="125"/>
    <s v="Mumbai"/>
    <n v="26"/>
    <s v="Male"/>
    <n v="86.2"/>
    <n v="1.68"/>
    <n v="189"/>
    <n v="157"/>
    <n v="72"/>
    <n v="1.97"/>
    <n v="1701"/>
    <s v="Strength"/>
    <n v="13.3"/>
    <n v="3.5"/>
    <n v="5"/>
    <x v="0"/>
    <n v="30.54"/>
    <s v="Obesity"/>
    <n v="863.45177664974619"/>
    <x v="0"/>
  </r>
  <r>
    <n v="126"/>
    <s v="Hyderabad"/>
    <n v="32"/>
    <s v="Male"/>
    <n v="78.599999999999994"/>
    <n v="1.62"/>
    <n v="195"/>
    <n v="125"/>
    <n v="69"/>
    <n v="1.28"/>
    <n v="880"/>
    <s v="Yoga"/>
    <n v="29.6"/>
    <n v="3.1"/>
    <n v="3"/>
    <x v="2"/>
    <n v="29.95"/>
    <s v="Overweight"/>
    <n v="687.5"/>
    <x v="0"/>
  </r>
  <r>
    <n v="127"/>
    <s v="Hyderabad"/>
    <n v="32"/>
    <s v="Female"/>
    <n v="59"/>
    <n v="1.66"/>
    <n v="184"/>
    <n v="160"/>
    <n v="64"/>
    <n v="0.51"/>
    <n v="408"/>
    <s v="Cardio"/>
    <n v="31"/>
    <n v="1.8"/>
    <n v="2"/>
    <x v="2"/>
    <n v="21.41"/>
    <s v="Normal Weight"/>
    <n v="800"/>
    <x v="1"/>
  </r>
  <r>
    <n v="128"/>
    <s v="Pune"/>
    <n v="43"/>
    <s v="Female"/>
    <n v="57.3"/>
    <n v="1.79"/>
    <n v="175"/>
    <n v="166"/>
    <n v="62"/>
    <n v="1.98"/>
    <n v="1479"/>
    <s v="Yoga"/>
    <n v="17.8"/>
    <n v="2.7"/>
    <n v="4"/>
    <x v="0"/>
    <n v="17.88"/>
    <s v="Underweight"/>
    <n v="746.969696969697"/>
    <x v="2"/>
  </r>
  <r>
    <n v="129"/>
    <s v="Kolkata"/>
    <n v="59"/>
    <s v="Male"/>
    <n v="122.3"/>
    <n v="1.89"/>
    <n v="178"/>
    <n v="153"/>
    <n v="51"/>
    <n v="0.66"/>
    <n v="500"/>
    <s v="Yoga"/>
    <n v="20.100000000000001"/>
    <n v="3.1"/>
    <n v="3"/>
    <x v="2"/>
    <n v="34.24"/>
    <s v="Obesity"/>
    <n v="757.57575757575751"/>
    <x v="0"/>
  </r>
  <r>
    <n v="130"/>
    <s v="Kolkata"/>
    <n v="30"/>
    <s v="Male"/>
    <n v="85.3"/>
    <n v="1.95"/>
    <n v="160"/>
    <n v="155"/>
    <n v="68"/>
    <n v="1.61"/>
    <n v="1373"/>
    <s v="Yoga"/>
    <n v="10.4"/>
    <n v="3.5"/>
    <n v="5"/>
    <x v="0"/>
    <n v="22.43"/>
    <s v="Normal Weight"/>
    <n v="852.79503105590061"/>
    <x v="0"/>
  </r>
  <r>
    <n v="131"/>
    <s v="Hyderabad"/>
    <n v="49"/>
    <s v="Female"/>
    <n v="45.2"/>
    <n v="1.74"/>
    <n v="164"/>
    <n v="156"/>
    <n v="73"/>
    <n v="1.24"/>
    <n v="870"/>
    <s v="Strength"/>
    <n v="30.8"/>
    <n v="2.1"/>
    <n v="3"/>
    <x v="1"/>
    <n v="14.93"/>
    <s v="Underweight"/>
    <n v="701.61290322580646"/>
    <x v="1"/>
  </r>
  <r>
    <n v="132"/>
    <s v="Kolkata"/>
    <n v="56"/>
    <s v="Male"/>
    <n v="55.6"/>
    <n v="1.92"/>
    <n v="181"/>
    <n v="136"/>
    <n v="62"/>
    <n v="0.68"/>
    <n v="458"/>
    <s v="Strength"/>
    <n v="29.4"/>
    <n v="3.2"/>
    <n v="3"/>
    <x v="2"/>
    <n v="15.08"/>
    <s v="Underweight"/>
    <n v="673.52941176470586"/>
    <x v="0"/>
  </r>
  <r>
    <n v="133"/>
    <s v="Bengaluru"/>
    <n v="49"/>
    <s v="Male"/>
    <n v="82.8"/>
    <n v="1.95"/>
    <n v="183"/>
    <n v="159"/>
    <n v="73"/>
    <n v="1.91"/>
    <n v="1503"/>
    <s v="Yoga"/>
    <n v="14.3"/>
    <n v="3.5"/>
    <n v="5"/>
    <x v="0"/>
    <n v="21.78"/>
    <s v="Normal Weight"/>
    <n v="786.91099476439797"/>
    <x v="0"/>
  </r>
  <r>
    <n v="134"/>
    <s v="Chennai"/>
    <n v="21"/>
    <s v="Male"/>
    <n v="125.2"/>
    <n v="1.66"/>
    <n v="196"/>
    <n v="159"/>
    <n v="60"/>
    <n v="1.38"/>
    <n v="1207"/>
    <s v="HIIT"/>
    <n v="29.8"/>
    <n v="3.4"/>
    <n v="3"/>
    <x v="1"/>
    <n v="45.43"/>
    <s v="Obesity"/>
    <n v="874.63768115942037"/>
    <x v="0"/>
  </r>
  <r>
    <n v="135"/>
    <s v="Delhi"/>
    <n v="47"/>
    <s v="Female"/>
    <n v="58.5"/>
    <n v="1.79"/>
    <n v="195"/>
    <n v="131"/>
    <n v="71"/>
    <n v="1.42"/>
    <n v="837"/>
    <s v="Yoga"/>
    <n v="30.3"/>
    <n v="2.4"/>
    <n v="4"/>
    <x v="1"/>
    <n v="18.260000000000002"/>
    <s v="Underweight"/>
    <n v="589.43661971830988"/>
    <x v="1"/>
  </r>
  <r>
    <n v="136"/>
    <s v="Noida"/>
    <n v="54"/>
    <s v="Male"/>
    <n v="86.1"/>
    <n v="1.95"/>
    <n v="195"/>
    <n v="140"/>
    <n v="64"/>
    <n v="1.17"/>
    <n v="811"/>
    <s v="Yoga"/>
    <n v="27.9"/>
    <n v="3.4"/>
    <n v="2"/>
    <x v="2"/>
    <n v="22.64"/>
    <s v="Normal Weight"/>
    <n v="693.16239316239319"/>
    <x v="0"/>
  </r>
  <r>
    <n v="137"/>
    <s v="Gurgaon"/>
    <n v="40"/>
    <s v="Female"/>
    <n v="63.5"/>
    <n v="1.61"/>
    <n v="163"/>
    <n v="159"/>
    <n v="59"/>
    <n v="1.31"/>
    <n v="1041"/>
    <s v="Cardio"/>
    <n v="33.4"/>
    <n v="1.6"/>
    <n v="3"/>
    <x v="1"/>
    <n v="24.5"/>
    <s v="Normal Weight"/>
    <n v="794.6564885496183"/>
    <x v="1"/>
  </r>
  <r>
    <n v="138"/>
    <s v="Pune"/>
    <n v="56"/>
    <s v="Male"/>
    <n v="69.3"/>
    <n v="1.68"/>
    <n v="195"/>
    <n v="138"/>
    <n v="58"/>
    <n v="0.66"/>
    <n v="451"/>
    <s v="Yoga"/>
    <n v="26.5"/>
    <n v="2.1"/>
    <n v="2"/>
    <x v="2"/>
    <n v="24.55"/>
    <s v="Normal Weight"/>
    <n v="683.33333333333326"/>
    <x v="1"/>
  </r>
  <r>
    <n v="139"/>
    <s v="Chennai"/>
    <n v="32"/>
    <s v="Female"/>
    <n v="70.5"/>
    <n v="1.62"/>
    <n v="177"/>
    <n v="122"/>
    <n v="58"/>
    <n v="1.24"/>
    <n v="756"/>
    <s v="Strength"/>
    <n v="28.4"/>
    <n v="1.8"/>
    <n v="2"/>
    <x v="2"/>
    <n v="26.86"/>
    <s v="Overweight"/>
    <n v="609.67741935483866"/>
    <x v="1"/>
  </r>
  <r>
    <n v="140"/>
    <s v="Hyderabad"/>
    <n v="46"/>
    <s v="Female"/>
    <n v="60.1"/>
    <n v="1.65"/>
    <n v="175"/>
    <n v="137"/>
    <n v="69"/>
    <n v="1.69"/>
    <n v="1042"/>
    <s v="Cardio"/>
    <n v="17.3"/>
    <n v="2.7"/>
    <n v="4"/>
    <x v="0"/>
    <n v="22.08"/>
    <s v="Normal Weight"/>
    <n v="616.56804733727813"/>
    <x v="2"/>
  </r>
  <r>
    <n v="141"/>
    <s v="Noida"/>
    <n v="53"/>
    <s v="Male"/>
    <n v="94.1"/>
    <n v="1.95"/>
    <n v="177"/>
    <n v="138"/>
    <n v="50"/>
    <n v="0.89"/>
    <n v="608"/>
    <s v="HIIT"/>
    <n v="28.6"/>
    <n v="3.5"/>
    <n v="3"/>
    <x v="2"/>
    <n v="24.75"/>
    <s v="Normal Weight"/>
    <n v="683.14606741573027"/>
    <x v="0"/>
  </r>
  <r>
    <n v="142"/>
    <s v="Kolkata"/>
    <n v="30"/>
    <s v="Female"/>
    <n v="79.2"/>
    <n v="1.62"/>
    <n v="181"/>
    <n v="166"/>
    <n v="66"/>
    <n v="1.26"/>
    <n v="1046"/>
    <s v="Cardio"/>
    <n v="28"/>
    <n v="2.5"/>
    <n v="4"/>
    <x v="1"/>
    <n v="30.18"/>
    <s v="Obesity"/>
    <n v="830.15873015873012"/>
    <x v="1"/>
  </r>
  <r>
    <n v="143"/>
    <s v="Gurgaon"/>
    <n v="49"/>
    <s v="Male"/>
    <n v="115.3"/>
    <n v="1.91"/>
    <n v="161"/>
    <n v="125"/>
    <n v="61"/>
    <n v="1.38"/>
    <n v="854"/>
    <s v="HIIT"/>
    <n v="29.2"/>
    <n v="3.2"/>
    <n v="2"/>
    <x v="2"/>
    <n v="31.61"/>
    <s v="Obesity"/>
    <n v="618.84057971014499"/>
    <x v="0"/>
  </r>
  <r>
    <n v="144"/>
    <s v="Kolkata"/>
    <n v="24"/>
    <s v="Female"/>
    <n v="62.9"/>
    <n v="1.79"/>
    <n v="180"/>
    <n v="135"/>
    <n v="59"/>
    <n v="1.42"/>
    <n v="958"/>
    <s v="Cardio"/>
    <n v="27.3"/>
    <n v="2.2999999999999998"/>
    <n v="4"/>
    <x v="1"/>
    <n v="19.63"/>
    <s v="Normal Weight"/>
    <n v="674.64788732394368"/>
    <x v="1"/>
  </r>
  <r>
    <n v="145"/>
    <s v="Mumbai"/>
    <n v="39"/>
    <s v="Male"/>
    <n v="62"/>
    <n v="1.64"/>
    <n v="195"/>
    <n v="127"/>
    <n v="54"/>
    <n v="0.97"/>
    <n v="678"/>
    <s v="Cardio"/>
    <n v="27.5"/>
    <n v="3.2"/>
    <n v="3"/>
    <x v="2"/>
    <n v="23.05"/>
    <s v="Normal Weight"/>
    <n v="698.96907216494844"/>
    <x v="0"/>
  </r>
  <r>
    <n v="146"/>
    <s v="Mumbai"/>
    <n v="45"/>
    <s v="Male"/>
    <n v="88.5"/>
    <n v="1.78"/>
    <n v="198"/>
    <n v="167"/>
    <n v="67"/>
    <n v="1.53"/>
    <n v="1265"/>
    <s v="HIIT"/>
    <n v="13.2"/>
    <n v="3.5"/>
    <n v="4"/>
    <x v="0"/>
    <n v="27.93"/>
    <s v="Overweight"/>
    <n v="826.79738562091507"/>
    <x v="0"/>
  </r>
  <r>
    <n v="147"/>
    <s v="Gurgaon"/>
    <n v="19"/>
    <s v="Female"/>
    <n v="73.900000000000006"/>
    <n v="1.77"/>
    <n v="198"/>
    <n v="137"/>
    <n v="64"/>
    <n v="1.28"/>
    <n v="877"/>
    <s v="Strength"/>
    <n v="32.5"/>
    <n v="2.6"/>
    <n v="3"/>
    <x v="1"/>
    <n v="23.59"/>
    <s v="Normal Weight"/>
    <n v="685.15625"/>
    <x v="2"/>
  </r>
  <r>
    <n v="148"/>
    <s v="Gurgaon"/>
    <n v="59"/>
    <s v="Male"/>
    <n v="50.3"/>
    <n v="1.95"/>
    <n v="188"/>
    <n v="167"/>
    <n v="55"/>
    <n v="1.07"/>
    <n v="885"/>
    <s v="Strength"/>
    <n v="24.4"/>
    <n v="3.4"/>
    <n v="3"/>
    <x v="2"/>
    <n v="13.23"/>
    <s v="Underweight"/>
    <n v="827.10280373831768"/>
    <x v="0"/>
  </r>
  <r>
    <n v="149"/>
    <s v="Hyderabad"/>
    <n v="23"/>
    <s v="Male"/>
    <n v="83.1"/>
    <n v="1.8"/>
    <n v="185"/>
    <n v="162"/>
    <n v="56"/>
    <n v="0.7"/>
    <n v="624"/>
    <s v="Strength"/>
    <n v="29.3"/>
    <n v="3.1"/>
    <n v="3"/>
    <x v="2"/>
    <n v="25.65"/>
    <s v="Overweight"/>
    <n v="891.42857142857144"/>
    <x v="0"/>
  </r>
  <r>
    <n v="150"/>
    <s v="Gurgaon"/>
    <n v="45"/>
    <s v="Female"/>
    <n v="65.099999999999994"/>
    <n v="1.78"/>
    <n v="180"/>
    <n v="158"/>
    <n v="66"/>
    <n v="1.46"/>
    <n v="1038"/>
    <s v="Cardio"/>
    <n v="31.3"/>
    <n v="2.2999999999999998"/>
    <n v="3"/>
    <x v="2"/>
    <n v="20.55"/>
    <s v="Normal Weight"/>
    <n v="710.95890410958907"/>
    <x v="1"/>
  </r>
  <r>
    <n v="151"/>
    <s v="Bengaluru"/>
    <n v="45"/>
    <s v="Male"/>
    <n v="46.6"/>
    <n v="1.79"/>
    <n v="176"/>
    <n v="168"/>
    <n v="55"/>
    <n v="1.46"/>
    <n v="1214"/>
    <s v="Yoga"/>
    <n v="22.9"/>
    <n v="2.4"/>
    <n v="3"/>
    <x v="1"/>
    <n v="14.54"/>
    <s v="Underweight"/>
    <n v="831.50684931506851"/>
    <x v="1"/>
  </r>
  <r>
    <n v="152"/>
    <s v="Kolkata"/>
    <n v="37"/>
    <s v="Male"/>
    <n v="103.5"/>
    <n v="1.89"/>
    <n v="175"/>
    <n v="168"/>
    <n v="57"/>
    <n v="0.54"/>
    <n v="499"/>
    <s v="Cardio"/>
    <n v="26.4"/>
    <n v="3.1"/>
    <n v="2"/>
    <x v="2"/>
    <n v="28.97"/>
    <s v="Overweight"/>
    <n v="924.07407407407402"/>
    <x v="0"/>
  </r>
  <r>
    <n v="153"/>
    <s v="Chennai"/>
    <n v="47"/>
    <s v="Female"/>
    <n v="61.9"/>
    <n v="1.54"/>
    <n v="190"/>
    <n v="131"/>
    <n v="61"/>
    <n v="1.95"/>
    <n v="1150"/>
    <s v="Yoga"/>
    <n v="16.399999999999999"/>
    <n v="2.7"/>
    <n v="4"/>
    <x v="0"/>
    <n v="26.1"/>
    <s v="Overweight"/>
    <n v="589.74358974358972"/>
    <x v="2"/>
  </r>
  <r>
    <n v="154"/>
    <s v="Ahmedabad"/>
    <n v="28"/>
    <s v="Female"/>
    <n v="52"/>
    <n v="1.61"/>
    <n v="168"/>
    <n v="164"/>
    <n v="70"/>
    <n v="1.32"/>
    <n v="1082"/>
    <s v="Yoga"/>
    <n v="27.9"/>
    <n v="2"/>
    <n v="3"/>
    <x v="1"/>
    <n v="20.059999999999999"/>
    <s v="Normal Weight"/>
    <n v="819.69696969696963"/>
    <x v="1"/>
  </r>
  <r>
    <n v="155"/>
    <s v="Gurgaon"/>
    <n v="45"/>
    <s v="Male"/>
    <n v="113.4"/>
    <n v="1.71"/>
    <n v="190"/>
    <n v="129"/>
    <n v="63"/>
    <n v="0.83"/>
    <n v="530"/>
    <s v="Strength"/>
    <n v="24"/>
    <n v="2.2999999999999998"/>
    <n v="2"/>
    <x v="2"/>
    <n v="38.78"/>
    <s v="Obesity"/>
    <n v="638.5542168674699"/>
    <x v="1"/>
  </r>
  <r>
    <n v="156"/>
    <s v="Pune"/>
    <n v="42"/>
    <s v="Male"/>
    <n v="62.9"/>
    <n v="1.98"/>
    <n v="173"/>
    <n v="126"/>
    <n v="61"/>
    <n v="1.42"/>
    <n v="886"/>
    <s v="Yoga"/>
    <n v="28.5"/>
    <n v="3.4"/>
    <n v="4"/>
    <x v="1"/>
    <n v="16.04"/>
    <s v="Underweight"/>
    <n v="623.94366197183103"/>
    <x v="0"/>
  </r>
  <r>
    <n v="157"/>
    <s v="Mumbai"/>
    <n v="56"/>
    <s v="Female"/>
    <n v="40.4"/>
    <n v="1.8"/>
    <n v="196"/>
    <n v="165"/>
    <n v="72"/>
    <n v="1.23"/>
    <n v="913"/>
    <s v="Cardio"/>
    <n v="30"/>
    <n v="2.1"/>
    <n v="4"/>
    <x v="1"/>
    <n v="12.47"/>
    <s v="Underweight"/>
    <n v="742.27642276422762"/>
    <x v="1"/>
  </r>
  <r>
    <n v="158"/>
    <s v="Bengaluru"/>
    <n v="50"/>
    <s v="Female"/>
    <n v="67.099999999999994"/>
    <n v="1.75"/>
    <n v="161"/>
    <n v="120"/>
    <n v="59"/>
    <n v="0.67"/>
    <n v="362"/>
    <s v="Cardio"/>
    <n v="31.8"/>
    <n v="2.7"/>
    <n v="3"/>
    <x v="2"/>
    <n v="21.91"/>
    <s v="Normal Weight"/>
    <n v="540.29850746268653"/>
    <x v="2"/>
  </r>
  <r>
    <n v="159"/>
    <s v="Noida"/>
    <n v="18"/>
    <s v="Male"/>
    <n v="70"/>
    <n v="1.61"/>
    <n v="173"/>
    <n v="168"/>
    <n v="71"/>
    <n v="1.3"/>
    <n v="1201"/>
    <s v="Strength"/>
    <n v="23.9"/>
    <n v="2.5"/>
    <n v="2"/>
    <x v="2"/>
    <n v="27.01"/>
    <s v="Overweight"/>
    <n v="923.84615384615381"/>
    <x v="1"/>
  </r>
  <r>
    <n v="160"/>
    <s v="Ahmedabad"/>
    <n v="44"/>
    <s v="Female"/>
    <n v="69.5"/>
    <n v="1.75"/>
    <n v="192"/>
    <n v="155"/>
    <n v="69"/>
    <n v="1.02"/>
    <n v="711"/>
    <s v="HIIT"/>
    <n v="27.6"/>
    <n v="2.1"/>
    <n v="3"/>
    <x v="2"/>
    <n v="22.69"/>
    <s v="Normal Weight"/>
    <n v="697.05882352941171"/>
    <x v="1"/>
  </r>
  <r>
    <n v="161"/>
    <s v="Chennai"/>
    <n v="30"/>
    <s v="Male"/>
    <n v="107.9"/>
    <n v="1.66"/>
    <n v="194"/>
    <n v="140"/>
    <n v="64"/>
    <n v="1.08"/>
    <n v="832"/>
    <s v="Cardio"/>
    <n v="29.5"/>
    <n v="2.8"/>
    <n v="3"/>
    <x v="1"/>
    <n v="39.159999999999997"/>
    <s v="Obesity"/>
    <n v="770.37037037037032"/>
    <x v="2"/>
  </r>
  <r>
    <n v="162"/>
    <s v="Ahmedabad"/>
    <n v="58"/>
    <s v="Male"/>
    <n v="109"/>
    <n v="1.91"/>
    <n v="198"/>
    <n v="156"/>
    <n v="56"/>
    <n v="1.49"/>
    <n v="1151"/>
    <s v="Yoga"/>
    <n v="26"/>
    <n v="2.2000000000000002"/>
    <n v="3"/>
    <x v="1"/>
    <n v="29.88"/>
    <s v="Overweight"/>
    <n v="772.48322147651004"/>
    <x v="1"/>
  </r>
  <r>
    <n v="163"/>
    <s v="Gurgaon"/>
    <n v="20"/>
    <s v="Male"/>
    <n v="101"/>
    <n v="1.91"/>
    <n v="179"/>
    <n v="143"/>
    <n v="58"/>
    <n v="1.36"/>
    <n v="1070"/>
    <s v="Cardio"/>
    <n v="29.3"/>
    <n v="2.7"/>
    <n v="3"/>
    <x v="1"/>
    <n v="27.69"/>
    <s v="Overweight"/>
    <n v="786.76470588235293"/>
    <x v="2"/>
  </r>
  <r>
    <n v="164"/>
    <s v="Hyderabad"/>
    <n v="56"/>
    <s v="Male"/>
    <n v="88.5"/>
    <n v="1.85"/>
    <n v="161"/>
    <n v="144"/>
    <n v="59"/>
    <n v="1.57"/>
    <n v="1119"/>
    <s v="Cardio"/>
    <n v="11"/>
    <n v="3.5"/>
    <n v="4"/>
    <x v="0"/>
    <n v="25.86"/>
    <s v="Overweight"/>
    <n v="712.73885350318471"/>
    <x v="0"/>
  </r>
  <r>
    <n v="165"/>
    <s v="Mumbai"/>
    <n v="23"/>
    <s v="Male"/>
    <n v="80.900000000000006"/>
    <n v="1.8"/>
    <n v="178"/>
    <n v="126"/>
    <n v="59"/>
    <n v="1.55"/>
    <n v="1074"/>
    <s v="Cardio"/>
    <n v="10.7"/>
    <n v="3.5"/>
    <n v="4"/>
    <x v="0"/>
    <n v="24.97"/>
    <s v="Normal Weight"/>
    <n v="692.90322580645159"/>
    <x v="0"/>
  </r>
  <r>
    <n v="166"/>
    <s v="Mumbai"/>
    <n v="25"/>
    <s v="Female"/>
    <n v="43.1"/>
    <n v="1.62"/>
    <n v="196"/>
    <n v="161"/>
    <n v="65"/>
    <n v="1.04"/>
    <n v="837"/>
    <s v="HIIT"/>
    <n v="33.6"/>
    <n v="1.8"/>
    <n v="4"/>
    <x v="1"/>
    <n v="16.420000000000002"/>
    <s v="Underweight"/>
    <n v="804.80769230769226"/>
    <x v="1"/>
  </r>
  <r>
    <n v="167"/>
    <s v="Noida"/>
    <n v="44"/>
    <s v="Female"/>
    <n v="59.1"/>
    <n v="1.52"/>
    <n v="177"/>
    <n v="136"/>
    <n v="56"/>
    <n v="1.58"/>
    <n v="967"/>
    <s v="Yoga"/>
    <n v="18.399999999999999"/>
    <n v="2.7"/>
    <n v="5"/>
    <x v="0"/>
    <n v="25.58"/>
    <s v="Overweight"/>
    <n v="612.02531645569616"/>
    <x v="2"/>
  </r>
  <r>
    <n v="168"/>
    <s v="Hyderabad"/>
    <n v="26"/>
    <s v="Female"/>
    <n v="54"/>
    <n v="1.53"/>
    <n v="175"/>
    <n v="148"/>
    <n v="54"/>
    <n v="1.1399999999999999"/>
    <n v="844"/>
    <s v="Strength"/>
    <n v="26.9"/>
    <n v="1.7"/>
    <n v="3"/>
    <x v="2"/>
    <n v="23.07"/>
    <s v="Normal Weight"/>
    <n v="740.35087719298247"/>
    <x v="1"/>
  </r>
  <r>
    <n v="169"/>
    <s v="Kolkata"/>
    <n v="54"/>
    <s v="Female"/>
    <n v="72.3"/>
    <n v="1.78"/>
    <n v="163"/>
    <n v="149"/>
    <n v="72"/>
    <n v="1.27"/>
    <n v="852"/>
    <s v="Cardio"/>
    <n v="27.7"/>
    <n v="1.8"/>
    <n v="2"/>
    <x v="2"/>
    <n v="22.82"/>
    <s v="Normal Weight"/>
    <n v="670.8661417322835"/>
    <x v="1"/>
  </r>
  <r>
    <n v="170"/>
    <s v="Delhi"/>
    <n v="50"/>
    <s v="Male"/>
    <n v="51.1"/>
    <n v="1.98"/>
    <n v="171"/>
    <n v="126"/>
    <n v="52"/>
    <n v="0.92"/>
    <n v="574"/>
    <s v="Yoga"/>
    <n v="28"/>
    <n v="2.4"/>
    <n v="2"/>
    <x v="2"/>
    <n v="13.03"/>
    <s v="Underweight"/>
    <n v="623.91304347826087"/>
    <x v="1"/>
  </r>
  <r>
    <n v="171"/>
    <s v="Bengaluru"/>
    <n v="59"/>
    <s v="Male"/>
    <n v="89.4"/>
    <n v="1.72"/>
    <n v="188"/>
    <n v="152"/>
    <n v="67"/>
    <n v="1.08"/>
    <n v="813"/>
    <s v="Yoga"/>
    <n v="24.5"/>
    <n v="3.2"/>
    <n v="3"/>
    <x v="2"/>
    <n v="30.22"/>
    <s v="Obesity"/>
    <n v="752.77777777777771"/>
    <x v="0"/>
  </r>
  <r>
    <n v="172"/>
    <s v="Mumbai"/>
    <n v="41"/>
    <s v="Male"/>
    <n v="51.5"/>
    <n v="1.8"/>
    <n v="166"/>
    <n v="126"/>
    <n v="60"/>
    <n v="1.0900000000000001"/>
    <n v="680"/>
    <s v="Strength"/>
    <n v="26.7"/>
    <n v="2.1"/>
    <n v="4"/>
    <x v="1"/>
    <n v="15.9"/>
    <s v="Underweight"/>
    <n v="623.85321100917429"/>
    <x v="1"/>
  </r>
  <r>
    <n v="173"/>
    <s v="Pune"/>
    <n v="32"/>
    <s v="Male"/>
    <n v="87.9"/>
    <n v="1.88"/>
    <n v="173"/>
    <n v="143"/>
    <n v="64"/>
    <n v="1.52"/>
    <n v="1195"/>
    <s v="Cardio"/>
    <n v="11.6"/>
    <n v="3.5"/>
    <n v="5"/>
    <x v="0"/>
    <n v="24.87"/>
    <s v="Normal Weight"/>
    <n v="786.18421052631572"/>
    <x v="0"/>
  </r>
  <r>
    <n v="174"/>
    <s v="Mumbai"/>
    <n v="49"/>
    <s v="Female"/>
    <n v="42"/>
    <n v="1.52"/>
    <n v="171"/>
    <n v="130"/>
    <n v="70"/>
    <n v="1.1000000000000001"/>
    <n v="644"/>
    <s v="HIIT"/>
    <n v="28.8"/>
    <n v="2.2000000000000002"/>
    <n v="3"/>
    <x v="2"/>
    <n v="18.18"/>
    <s v="Underweight"/>
    <n v="585.45454545454538"/>
    <x v="1"/>
  </r>
  <r>
    <n v="175"/>
    <s v="Ahmedabad"/>
    <n v="49"/>
    <s v="Male"/>
    <n v="79.2"/>
    <n v="1.72"/>
    <n v="194"/>
    <n v="128"/>
    <n v="69"/>
    <n v="1.46"/>
    <n v="925"/>
    <s v="Yoga"/>
    <n v="29.9"/>
    <n v="3.3"/>
    <n v="3"/>
    <x v="2"/>
    <n v="26.77"/>
    <s v="Overweight"/>
    <n v="633.56164383561645"/>
    <x v="0"/>
  </r>
  <r>
    <n v="176"/>
    <s v="Mumbai"/>
    <n v="41"/>
    <s v="Male"/>
    <n v="64.8"/>
    <n v="1.71"/>
    <n v="164"/>
    <n v="131"/>
    <n v="54"/>
    <n v="1.2"/>
    <n v="778"/>
    <s v="Strength"/>
    <n v="22.5"/>
    <n v="2.8"/>
    <n v="3"/>
    <x v="1"/>
    <n v="22.16"/>
    <s v="Normal Weight"/>
    <n v="648.33333333333337"/>
    <x v="2"/>
  </r>
  <r>
    <n v="177"/>
    <s v="Mumbai"/>
    <n v="58"/>
    <s v="Female"/>
    <n v="63"/>
    <n v="1.78"/>
    <n v="176"/>
    <n v="154"/>
    <n v="73"/>
    <n v="1.58"/>
    <n v="1095"/>
    <s v="HIIT"/>
    <n v="17.5"/>
    <n v="2.7"/>
    <n v="4"/>
    <x v="0"/>
    <n v="19.88"/>
    <s v="Normal Weight"/>
    <n v="693.03797468354423"/>
    <x v="2"/>
  </r>
  <r>
    <n v="178"/>
    <s v="Delhi"/>
    <n v="29"/>
    <s v="Female"/>
    <n v="56.2"/>
    <n v="1.77"/>
    <n v="191"/>
    <n v="123"/>
    <n v="61"/>
    <n v="0.68"/>
    <n v="418"/>
    <s v="Yoga"/>
    <n v="33.4"/>
    <n v="2.6"/>
    <n v="3"/>
    <x v="2"/>
    <n v="17.940000000000001"/>
    <s v="Underweight"/>
    <n v="614.7058823529411"/>
    <x v="2"/>
  </r>
  <r>
    <n v="179"/>
    <s v="Delhi"/>
    <n v="56"/>
    <s v="Female"/>
    <n v="52.9"/>
    <n v="1.64"/>
    <n v="169"/>
    <n v="155"/>
    <n v="53"/>
    <n v="1.1000000000000001"/>
    <n v="767"/>
    <s v="Cardio"/>
    <n v="27.4"/>
    <n v="2.2999999999999998"/>
    <n v="3"/>
    <x v="1"/>
    <n v="19.670000000000002"/>
    <s v="Normal Weight"/>
    <n v="697.27272727272725"/>
    <x v="1"/>
  </r>
  <r>
    <n v="180"/>
    <s v="Chennai"/>
    <n v="19"/>
    <s v="Female"/>
    <n v="49"/>
    <n v="1.69"/>
    <n v="176"/>
    <n v="147"/>
    <n v="64"/>
    <n v="1.05"/>
    <n v="772"/>
    <s v="Yoga"/>
    <n v="29.2"/>
    <n v="2.4"/>
    <n v="3"/>
    <x v="2"/>
    <n v="17.16"/>
    <s v="Underweight"/>
    <n v="735.23809523809518"/>
    <x v="1"/>
  </r>
  <r>
    <n v="181"/>
    <s v="Kolkata"/>
    <n v="20"/>
    <s v="Male"/>
    <n v="128.19999999999999"/>
    <n v="1.84"/>
    <n v="164"/>
    <n v="132"/>
    <n v="58"/>
    <n v="0.83"/>
    <n v="603"/>
    <s v="HIIT"/>
    <n v="26.2"/>
    <n v="2.2999999999999998"/>
    <n v="3"/>
    <x v="2"/>
    <n v="37.869999999999997"/>
    <s v="Obesity"/>
    <n v="726.50602409638554"/>
    <x v="1"/>
  </r>
  <r>
    <n v="182"/>
    <s v="Pune"/>
    <n v="54"/>
    <s v="Male"/>
    <n v="83.6"/>
    <n v="1.86"/>
    <n v="168"/>
    <n v="142"/>
    <n v="56"/>
    <n v="1.54"/>
    <n v="1082"/>
    <s v="HIIT"/>
    <n v="12.4"/>
    <n v="3.5"/>
    <n v="5"/>
    <x v="0"/>
    <n v="24.16"/>
    <s v="Normal Weight"/>
    <n v="702.59740259740261"/>
    <x v="0"/>
  </r>
  <r>
    <n v="183"/>
    <s v="Mumbai"/>
    <n v="34"/>
    <s v="Female"/>
    <n v="56.2"/>
    <n v="1.77"/>
    <n v="192"/>
    <n v="138"/>
    <n v="59"/>
    <n v="1.81"/>
    <n v="1249"/>
    <s v="Cardio"/>
    <n v="17.3"/>
    <n v="2.7"/>
    <n v="5"/>
    <x v="0"/>
    <n v="17.940000000000001"/>
    <s v="Underweight"/>
    <n v="690.0552486187845"/>
    <x v="2"/>
  </r>
  <r>
    <n v="184"/>
    <s v="Mumbai"/>
    <n v="19"/>
    <s v="Male"/>
    <n v="87.8"/>
    <n v="1.78"/>
    <n v="195"/>
    <n v="161"/>
    <n v="72"/>
    <n v="1.28"/>
    <n v="1133"/>
    <s v="Cardio"/>
    <n v="23.6"/>
    <n v="3.3"/>
    <n v="2"/>
    <x v="2"/>
    <n v="27.71"/>
    <s v="Overweight"/>
    <n v="885.15625"/>
    <x v="0"/>
  </r>
  <r>
    <n v="185"/>
    <s v="Bengaluru"/>
    <n v="19"/>
    <s v="Male"/>
    <n v="85.9"/>
    <n v="1.85"/>
    <n v="195"/>
    <n v="156"/>
    <n v="62"/>
    <n v="1.66"/>
    <n v="1424"/>
    <s v="Strength"/>
    <n v="12.9"/>
    <n v="3.5"/>
    <n v="4"/>
    <x v="0"/>
    <n v="25.1"/>
    <s v="Overweight"/>
    <n v="857.83132530120486"/>
    <x v="0"/>
  </r>
  <r>
    <n v="186"/>
    <s v="Delhi"/>
    <n v="45"/>
    <s v="Male"/>
    <n v="51.1"/>
    <n v="1.87"/>
    <n v="177"/>
    <n v="158"/>
    <n v="57"/>
    <n v="1.44"/>
    <n v="1126"/>
    <s v="Cardio"/>
    <n v="26.2"/>
    <n v="3.4"/>
    <n v="4"/>
    <x v="1"/>
    <n v="14.61"/>
    <s v="Underweight"/>
    <n v="781.94444444444446"/>
    <x v="0"/>
  </r>
  <r>
    <n v="187"/>
    <s v="Pune"/>
    <n v="40"/>
    <s v="Female"/>
    <n v="57.4"/>
    <n v="1.71"/>
    <n v="168"/>
    <n v="143"/>
    <n v="61"/>
    <n v="1.87"/>
    <n v="1337"/>
    <s v="Strength"/>
    <n v="18.3"/>
    <n v="2.7"/>
    <n v="5"/>
    <x v="0"/>
    <n v="19.63"/>
    <s v="Normal Weight"/>
    <n v="714.97326203208547"/>
    <x v="2"/>
  </r>
  <r>
    <n v="188"/>
    <s v="Noida"/>
    <n v="54"/>
    <s v="Male"/>
    <n v="114.9"/>
    <n v="1.92"/>
    <n v="188"/>
    <n v="135"/>
    <n v="71"/>
    <n v="1.2"/>
    <n v="802"/>
    <s v="HIIT"/>
    <n v="20.7"/>
    <n v="2.6"/>
    <n v="4"/>
    <x v="1"/>
    <n v="31.17"/>
    <s v="Obesity"/>
    <n v="668.33333333333337"/>
    <x v="2"/>
  </r>
  <r>
    <n v="189"/>
    <s v="Chennai"/>
    <n v="49"/>
    <s v="Female"/>
    <n v="62.1"/>
    <n v="1.66"/>
    <n v="173"/>
    <n v="152"/>
    <n v="73"/>
    <n v="1.37"/>
    <n v="937"/>
    <s v="HIIT"/>
    <n v="31.3"/>
    <n v="1.8"/>
    <n v="3"/>
    <x v="1"/>
    <n v="22.54"/>
    <s v="Normal Weight"/>
    <n v="683.94160583941596"/>
    <x v="1"/>
  </r>
  <r>
    <n v="190"/>
    <s v="Kolkata"/>
    <n v="50"/>
    <s v="Male"/>
    <n v="57.1"/>
    <n v="1.91"/>
    <n v="184"/>
    <n v="131"/>
    <n v="68"/>
    <n v="1.0900000000000001"/>
    <n v="707"/>
    <s v="Yoga"/>
    <n v="29.5"/>
    <n v="2.7"/>
    <n v="4"/>
    <x v="1"/>
    <n v="15.65"/>
    <s v="Underweight"/>
    <n v="648.62385321100908"/>
    <x v="2"/>
  </r>
  <r>
    <n v="191"/>
    <s v="Hyderabad"/>
    <n v="18"/>
    <s v="Male"/>
    <n v="68.099999999999994"/>
    <n v="1.8"/>
    <n v="174"/>
    <n v="153"/>
    <n v="50"/>
    <n v="1.1000000000000001"/>
    <n v="926"/>
    <s v="Yoga"/>
    <n v="25.4"/>
    <n v="3.3"/>
    <n v="4"/>
    <x v="1"/>
    <n v="21.02"/>
    <s v="Normal Weight"/>
    <n v="841.81818181818176"/>
    <x v="0"/>
  </r>
  <r>
    <n v="192"/>
    <s v="Kolkata"/>
    <n v="36"/>
    <s v="Male"/>
    <n v="69.2"/>
    <n v="1.65"/>
    <n v="165"/>
    <n v="126"/>
    <n v="65"/>
    <n v="1.23"/>
    <n v="852"/>
    <s v="Strength"/>
    <n v="27.2"/>
    <n v="2.7"/>
    <n v="3"/>
    <x v="2"/>
    <n v="25.42"/>
    <s v="Overweight"/>
    <n v="692.68292682926835"/>
    <x v="2"/>
  </r>
  <r>
    <n v="193"/>
    <s v="Ahmedabad"/>
    <n v="19"/>
    <s v="Female"/>
    <n v="65.2"/>
    <n v="1.52"/>
    <n v="188"/>
    <n v="130"/>
    <n v="71"/>
    <n v="1.23"/>
    <n v="800"/>
    <s v="Cardio"/>
    <n v="30.6"/>
    <n v="2.4"/>
    <n v="3"/>
    <x v="2"/>
    <n v="28.22"/>
    <s v="Overweight"/>
    <n v="650.40650406504062"/>
    <x v="1"/>
  </r>
  <r>
    <n v="194"/>
    <s v="Mumbai"/>
    <n v="43"/>
    <s v="Male"/>
    <n v="108.6"/>
    <n v="1.73"/>
    <n v="174"/>
    <n v="150"/>
    <n v="66"/>
    <n v="1.33"/>
    <n v="988"/>
    <s v="Cardio"/>
    <n v="28.5"/>
    <n v="2.2000000000000002"/>
    <n v="2"/>
    <x v="2"/>
    <n v="36.29"/>
    <s v="Obesity"/>
    <n v="742.85714285714278"/>
    <x v="1"/>
  </r>
  <r>
    <n v="195"/>
    <s v="Chennai"/>
    <n v="49"/>
    <s v="Female"/>
    <n v="40"/>
    <n v="1.65"/>
    <n v="188"/>
    <n v="148"/>
    <n v="74"/>
    <n v="1.03"/>
    <n v="686"/>
    <s v="Yoga"/>
    <n v="34.299999999999997"/>
    <n v="2.5"/>
    <n v="3"/>
    <x v="1"/>
    <n v="14.69"/>
    <s v="Underweight"/>
    <n v="666.01941747572812"/>
    <x v="1"/>
  </r>
  <r>
    <n v="196"/>
    <s v="Ahmedabad"/>
    <n v="23"/>
    <s v="Female"/>
    <n v="41.9"/>
    <n v="1.58"/>
    <n v="163"/>
    <n v="132"/>
    <n v="67"/>
    <n v="0.56000000000000005"/>
    <n v="370"/>
    <s v="HIIT"/>
    <n v="26.8"/>
    <n v="1.8"/>
    <n v="3"/>
    <x v="2"/>
    <n v="16.78"/>
    <s v="Underweight"/>
    <n v="660.71428571428567"/>
    <x v="1"/>
  </r>
  <r>
    <n v="197"/>
    <s v="Pune"/>
    <n v="49"/>
    <s v="Female"/>
    <n v="68.3"/>
    <n v="1.52"/>
    <n v="177"/>
    <n v="150"/>
    <n v="60"/>
    <n v="1.45"/>
    <n v="979"/>
    <s v="Strength"/>
    <n v="29.4"/>
    <n v="1.8"/>
    <n v="4"/>
    <x v="1"/>
    <n v="29.56"/>
    <s v="Overweight"/>
    <n v="675.17241379310349"/>
    <x v="1"/>
  </r>
  <r>
    <n v="198"/>
    <s v="Hyderabad"/>
    <n v="21"/>
    <s v="Male"/>
    <n v="88.4"/>
    <n v="1.6"/>
    <n v="198"/>
    <n v="121"/>
    <n v="67"/>
    <n v="1.71"/>
    <n v="1138"/>
    <s v="HIIT"/>
    <n v="12"/>
    <n v="3.5"/>
    <n v="4"/>
    <x v="0"/>
    <n v="34.53"/>
    <s v="Obesity"/>
    <n v="665.49707602339186"/>
    <x v="0"/>
  </r>
  <r>
    <n v="199"/>
    <s v="Delhi"/>
    <n v="28"/>
    <s v="Male"/>
    <n v="66"/>
    <n v="1.9"/>
    <n v="175"/>
    <n v="158"/>
    <n v="56"/>
    <n v="1.18"/>
    <n v="1025"/>
    <s v="HIIT"/>
    <n v="24.1"/>
    <n v="3"/>
    <n v="3"/>
    <x v="2"/>
    <n v="18.28"/>
    <s v="Underweight"/>
    <n v="868.64406779661022"/>
    <x v="2"/>
  </r>
  <r>
    <n v="200"/>
    <s v="Chennai"/>
    <n v="34"/>
    <s v="Male"/>
    <n v="71.900000000000006"/>
    <n v="1.64"/>
    <n v="170"/>
    <n v="134"/>
    <n v="67"/>
    <n v="1.26"/>
    <n v="929"/>
    <s v="Cardio"/>
    <n v="21.3"/>
    <n v="2.1"/>
    <n v="4"/>
    <x v="1"/>
    <n v="26.73"/>
    <s v="Overweight"/>
    <n v="737.30158730158735"/>
    <x v="1"/>
  </r>
  <r>
    <n v="201"/>
    <s v="Chennai"/>
    <n v="55"/>
    <s v="Male"/>
    <n v="75.599999999999994"/>
    <n v="1.71"/>
    <n v="173"/>
    <n v="130"/>
    <n v="57"/>
    <n v="1.03"/>
    <n v="663"/>
    <s v="Strength"/>
    <n v="28.1"/>
    <n v="2"/>
    <n v="4"/>
    <x v="1"/>
    <n v="25.85"/>
    <s v="Overweight"/>
    <n v="643.68932038834953"/>
    <x v="1"/>
  </r>
  <r>
    <n v="202"/>
    <s v="Mumbai"/>
    <n v="41"/>
    <s v="Female"/>
    <n v="63.4"/>
    <n v="1.59"/>
    <n v="162"/>
    <n v="153"/>
    <n v="55"/>
    <n v="1.84"/>
    <n v="1267"/>
    <s v="HIIT"/>
    <n v="15.2"/>
    <n v="2.7"/>
    <n v="5"/>
    <x v="0"/>
    <n v="25.08"/>
    <s v="Overweight"/>
    <n v="688.58695652173913"/>
    <x v="2"/>
  </r>
  <r>
    <n v="203"/>
    <s v="Gurgaon"/>
    <n v="22"/>
    <s v="Female"/>
    <n v="71.599999999999994"/>
    <n v="1.77"/>
    <n v="197"/>
    <n v="158"/>
    <n v="56"/>
    <n v="1.49"/>
    <n v="1177"/>
    <s v="Yoga"/>
    <n v="30.3"/>
    <n v="1.8"/>
    <n v="3"/>
    <x v="2"/>
    <n v="22.85"/>
    <s v="Normal Weight"/>
    <n v="789.93288590604027"/>
    <x v="1"/>
  </r>
  <r>
    <n v="204"/>
    <s v="Chennai"/>
    <n v="51"/>
    <s v="Female"/>
    <n v="57.4"/>
    <n v="1.77"/>
    <n v="177"/>
    <n v="123"/>
    <n v="72"/>
    <n v="1.08"/>
    <n v="598"/>
    <s v="Yoga"/>
    <n v="31.6"/>
    <n v="2.1"/>
    <n v="4"/>
    <x v="1"/>
    <n v="18.32"/>
    <s v="Underweight"/>
    <n v="553.7037037037037"/>
    <x v="1"/>
  </r>
  <r>
    <n v="205"/>
    <s v="Bengaluru"/>
    <n v="23"/>
    <s v="Male"/>
    <n v="83.8"/>
    <n v="1.99"/>
    <n v="179"/>
    <n v="130"/>
    <n v="71"/>
    <n v="1.79"/>
    <n v="1280"/>
    <s v="Cardio"/>
    <n v="11"/>
    <n v="3.5"/>
    <n v="4"/>
    <x v="0"/>
    <n v="21.16"/>
    <s v="Normal Weight"/>
    <n v="715.08379888268155"/>
    <x v="0"/>
  </r>
  <r>
    <n v="206"/>
    <s v="Hyderabad"/>
    <n v="39"/>
    <s v="Female"/>
    <n v="55.9"/>
    <n v="1.71"/>
    <n v="184"/>
    <n v="148"/>
    <n v="59"/>
    <n v="1.95"/>
    <n v="1443"/>
    <s v="Yoga"/>
    <n v="19.5"/>
    <n v="2.7"/>
    <n v="5"/>
    <x v="0"/>
    <n v="19.12"/>
    <s v="Normal Weight"/>
    <n v="740"/>
    <x v="2"/>
  </r>
  <r>
    <n v="207"/>
    <s v="Hyderabad"/>
    <n v="28"/>
    <s v="Male"/>
    <n v="87"/>
    <n v="1.76"/>
    <n v="197"/>
    <n v="121"/>
    <n v="60"/>
    <n v="1.2"/>
    <n v="799"/>
    <s v="Yoga"/>
    <n v="28.4"/>
    <n v="3.5"/>
    <n v="3"/>
    <x v="1"/>
    <n v="28.09"/>
    <s v="Overweight"/>
    <n v="665.83333333333337"/>
    <x v="0"/>
  </r>
  <r>
    <n v="208"/>
    <s v="Bengaluru"/>
    <n v="33"/>
    <s v="Female"/>
    <n v="65.3"/>
    <n v="1.71"/>
    <n v="172"/>
    <n v="135"/>
    <n v="74"/>
    <n v="1.18"/>
    <n v="796"/>
    <s v="HIIT"/>
    <n v="29.7"/>
    <n v="2.5"/>
    <n v="4"/>
    <x v="1"/>
    <n v="22.33"/>
    <s v="Normal Weight"/>
    <n v="674.57627118644075"/>
    <x v="1"/>
  </r>
  <r>
    <n v="209"/>
    <s v="Noida"/>
    <n v="50"/>
    <s v="Male"/>
    <n v="45.4"/>
    <n v="1.67"/>
    <n v="163"/>
    <n v="158"/>
    <n v="62"/>
    <n v="1.37"/>
    <n v="1071"/>
    <s v="Yoga"/>
    <n v="24.1"/>
    <n v="2.8"/>
    <n v="4"/>
    <x v="1"/>
    <n v="16.28"/>
    <s v="Underweight"/>
    <n v="781.75182481751824"/>
    <x v="2"/>
  </r>
  <r>
    <n v="210"/>
    <s v="Bengaluru"/>
    <n v="26"/>
    <s v="Male"/>
    <n v="87.1"/>
    <n v="1.87"/>
    <n v="173"/>
    <n v="132"/>
    <n v="58"/>
    <n v="1.71"/>
    <n v="1241"/>
    <s v="Yoga"/>
    <n v="11.2"/>
    <n v="3.5"/>
    <n v="4"/>
    <x v="0"/>
    <n v="24.91"/>
    <s v="Normal Weight"/>
    <n v="725.73099415204683"/>
    <x v="0"/>
  </r>
  <r>
    <n v="211"/>
    <s v="Bengaluru"/>
    <n v="23"/>
    <s v="Female"/>
    <n v="78.599999999999994"/>
    <n v="1.73"/>
    <n v="192"/>
    <n v="156"/>
    <n v="56"/>
    <n v="1.47"/>
    <n v="1147"/>
    <s v="HIIT"/>
    <n v="32.299999999999997"/>
    <n v="1.5"/>
    <n v="4"/>
    <x v="1"/>
    <n v="26.26"/>
    <s v="Overweight"/>
    <n v="780.27210884353747"/>
    <x v="1"/>
  </r>
  <r>
    <n v="212"/>
    <s v="Hyderabad"/>
    <n v="33"/>
    <s v="Female"/>
    <n v="78"/>
    <n v="1.71"/>
    <n v="187"/>
    <n v="136"/>
    <n v="58"/>
    <n v="1.08"/>
    <n v="734"/>
    <s v="Cardio"/>
    <n v="26.3"/>
    <n v="2.1"/>
    <n v="3"/>
    <x v="2"/>
    <n v="26.67"/>
    <s v="Overweight"/>
    <n v="679.62962962962956"/>
    <x v="1"/>
  </r>
  <r>
    <n v="213"/>
    <s v="Kolkata"/>
    <n v="46"/>
    <s v="Female"/>
    <n v="58"/>
    <n v="1.53"/>
    <n v="196"/>
    <n v="140"/>
    <n v="62"/>
    <n v="1.83"/>
    <n v="1153"/>
    <s v="Cardio"/>
    <n v="18.399999999999999"/>
    <n v="2.7"/>
    <n v="4"/>
    <x v="0"/>
    <n v="24.78"/>
    <s v="Normal Weight"/>
    <n v="630.05464480874309"/>
    <x v="2"/>
  </r>
  <r>
    <n v="214"/>
    <s v="Hyderabad"/>
    <n v="20"/>
    <s v="Female"/>
    <n v="71.3"/>
    <n v="1.69"/>
    <n v="167"/>
    <n v="163"/>
    <n v="52"/>
    <n v="1.28"/>
    <n v="1043"/>
    <s v="Strength"/>
    <n v="33.4"/>
    <n v="2.2999999999999998"/>
    <n v="3"/>
    <x v="1"/>
    <n v="24.96"/>
    <s v="Normal Weight"/>
    <n v="814.84375"/>
    <x v="1"/>
  </r>
  <r>
    <n v="215"/>
    <s v="Gurgaon"/>
    <n v="37"/>
    <s v="Male"/>
    <n v="49.1"/>
    <n v="1.74"/>
    <n v="193"/>
    <n v="138"/>
    <n v="52"/>
    <n v="1.1100000000000001"/>
    <n v="842"/>
    <s v="Yoga"/>
    <n v="22.3"/>
    <n v="2.6"/>
    <n v="3"/>
    <x v="1"/>
    <n v="16.22"/>
    <s v="Underweight"/>
    <n v="758.5585585585585"/>
    <x v="2"/>
  </r>
  <r>
    <n v="216"/>
    <s v="Mumbai"/>
    <n v="53"/>
    <s v="Female"/>
    <n v="78.3"/>
    <n v="1.65"/>
    <n v="164"/>
    <n v="126"/>
    <n v="50"/>
    <n v="1.24"/>
    <n v="703"/>
    <s v="HIIT"/>
    <n v="33.700000000000003"/>
    <n v="1.6"/>
    <n v="3"/>
    <x v="2"/>
    <n v="28.76"/>
    <s v="Overweight"/>
    <n v="566.9354838709678"/>
    <x v="1"/>
  </r>
  <r>
    <n v="217"/>
    <s v="Ahmedabad"/>
    <n v="36"/>
    <s v="Female"/>
    <n v="57.3"/>
    <n v="1.64"/>
    <n v="164"/>
    <n v="157"/>
    <n v="70"/>
    <n v="1.1299999999999999"/>
    <n v="887"/>
    <s v="Strength"/>
    <n v="25.3"/>
    <n v="1.8"/>
    <n v="4"/>
    <x v="1"/>
    <n v="21.3"/>
    <s v="Normal Weight"/>
    <n v="784.95575221238948"/>
    <x v="1"/>
  </r>
  <r>
    <n v="218"/>
    <s v="Kolkata"/>
    <n v="43"/>
    <s v="Female"/>
    <n v="48.4"/>
    <n v="1.61"/>
    <n v="190"/>
    <n v="127"/>
    <n v="69"/>
    <n v="1.28"/>
    <n v="732"/>
    <s v="Cardio"/>
    <n v="34.1"/>
    <n v="2.4"/>
    <n v="2"/>
    <x v="2"/>
    <n v="18.670000000000002"/>
    <s v="Normal Weight"/>
    <n v="571.875"/>
    <x v="1"/>
  </r>
  <r>
    <n v="219"/>
    <s v="Delhi"/>
    <n v="20"/>
    <s v="Male"/>
    <n v="76.400000000000006"/>
    <n v="1.62"/>
    <n v="168"/>
    <n v="132"/>
    <n v="51"/>
    <n v="1.35"/>
    <n v="980"/>
    <s v="Cardio"/>
    <n v="21.2"/>
    <n v="2.6"/>
    <n v="4"/>
    <x v="1"/>
    <n v="29.11"/>
    <s v="Overweight"/>
    <n v="725.92592592592587"/>
    <x v="2"/>
  </r>
  <r>
    <n v="220"/>
    <s v="Ahmedabad"/>
    <n v="36"/>
    <s v="Male"/>
    <n v="110.2"/>
    <n v="1.77"/>
    <n v="191"/>
    <n v="156"/>
    <n v="74"/>
    <n v="1.19"/>
    <n v="1021"/>
    <s v="HIIT"/>
    <n v="26.5"/>
    <n v="3.4"/>
    <n v="2"/>
    <x v="2"/>
    <n v="35.18"/>
    <s v="Obesity"/>
    <n v="857.98319327731099"/>
    <x v="0"/>
  </r>
  <r>
    <n v="221"/>
    <s v="Mumbai"/>
    <n v="37"/>
    <s v="Female"/>
    <n v="72.900000000000006"/>
    <n v="1.76"/>
    <n v="192"/>
    <n v="121"/>
    <n v="52"/>
    <n v="1.21"/>
    <n v="732"/>
    <s v="Strength"/>
    <n v="27.5"/>
    <n v="1.9"/>
    <n v="3"/>
    <x v="1"/>
    <n v="23.53"/>
    <s v="Normal Weight"/>
    <n v="604.95867768595042"/>
    <x v="1"/>
  </r>
  <r>
    <n v="222"/>
    <s v="Gurgaon"/>
    <n v="49"/>
    <s v="Male"/>
    <n v="82.1"/>
    <n v="1.86"/>
    <n v="162"/>
    <n v="160"/>
    <n v="64"/>
    <n v="1.87"/>
    <n v="1481"/>
    <s v="Strength"/>
    <n v="14.2"/>
    <n v="3.5"/>
    <n v="4"/>
    <x v="0"/>
    <n v="23.73"/>
    <s v="Normal Weight"/>
    <n v="791.97860962566835"/>
    <x v="0"/>
  </r>
  <r>
    <n v="223"/>
    <s v="Gurgaon"/>
    <n v="24"/>
    <s v="Female"/>
    <n v="58.9"/>
    <n v="1.76"/>
    <n v="189"/>
    <n v="130"/>
    <n v="73"/>
    <n v="0.63"/>
    <n v="410"/>
    <s v="HIIT"/>
    <n v="30.1"/>
    <n v="1.7"/>
    <n v="3"/>
    <x v="2"/>
    <n v="19.010000000000002"/>
    <s v="Normal Weight"/>
    <n v="650.79365079365084"/>
    <x v="1"/>
  </r>
  <r>
    <n v="224"/>
    <s v="Delhi"/>
    <n v="58"/>
    <s v="Male"/>
    <n v="82.2"/>
    <n v="1.87"/>
    <n v="171"/>
    <n v="143"/>
    <n v="55"/>
    <n v="1.57"/>
    <n v="1111"/>
    <s v="HIIT"/>
    <n v="10.7"/>
    <n v="3.5"/>
    <n v="4"/>
    <x v="0"/>
    <n v="23.51"/>
    <s v="Normal Weight"/>
    <n v="707.64331210191085"/>
    <x v="0"/>
  </r>
  <r>
    <n v="225"/>
    <s v="Kolkata"/>
    <n v="50"/>
    <s v="Male"/>
    <n v="96.7"/>
    <n v="1.72"/>
    <n v="188"/>
    <n v="125"/>
    <n v="62"/>
    <n v="1.46"/>
    <n v="903"/>
    <s v="Strength"/>
    <n v="25.7"/>
    <n v="2.7"/>
    <n v="3"/>
    <x v="1"/>
    <n v="32.69"/>
    <s v="Obesity"/>
    <n v="618.49315068493149"/>
    <x v="2"/>
  </r>
  <r>
    <n v="226"/>
    <s v="Noida"/>
    <n v="57"/>
    <s v="Male"/>
    <n v="81.400000000000006"/>
    <n v="1.86"/>
    <n v="162"/>
    <n v="145"/>
    <n v="70"/>
    <n v="1.8"/>
    <n v="1292"/>
    <s v="Cardio"/>
    <n v="12"/>
    <n v="3.5"/>
    <n v="5"/>
    <x v="0"/>
    <n v="23.53"/>
    <s v="Normal Weight"/>
    <n v="717.77777777777771"/>
    <x v="0"/>
  </r>
  <r>
    <n v="227"/>
    <s v="Bengaluru"/>
    <n v="56"/>
    <s v="Male"/>
    <n v="107.8"/>
    <n v="1.73"/>
    <n v="185"/>
    <n v="126"/>
    <n v="50"/>
    <n v="1.0900000000000001"/>
    <n v="680"/>
    <s v="Yoga"/>
    <n v="26.6"/>
    <n v="2.8"/>
    <n v="3"/>
    <x v="1"/>
    <n v="36.020000000000003"/>
    <s v="Obesity"/>
    <n v="623.85321100917429"/>
    <x v="2"/>
  </r>
  <r>
    <n v="228"/>
    <s v="Kolkata"/>
    <n v="35"/>
    <s v="Female"/>
    <n v="65.8"/>
    <n v="1.62"/>
    <n v="189"/>
    <n v="158"/>
    <n v="69"/>
    <n v="1"/>
    <n v="790"/>
    <s v="Cardio"/>
    <n v="33.799999999999997"/>
    <n v="1.5"/>
    <n v="4"/>
    <x v="1"/>
    <n v="25.07"/>
    <s v="Overweight"/>
    <n v="790"/>
    <x v="1"/>
  </r>
  <r>
    <n v="229"/>
    <s v="Noida"/>
    <n v="57"/>
    <s v="Female"/>
    <n v="68.5"/>
    <n v="1.56"/>
    <n v="168"/>
    <n v="138"/>
    <n v="68"/>
    <n v="1.45"/>
    <n v="900"/>
    <s v="HIIT"/>
    <n v="29.1"/>
    <n v="1.6"/>
    <n v="4"/>
    <x v="1"/>
    <n v="28.15"/>
    <s v="Overweight"/>
    <n v="620.68965517241384"/>
    <x v="1"/>
  </r>
  <r>
    <n v="230"/>
    <s v="Gurgaon"/>
    <n v="18"/>
    <s v="Female"/>
    <n v="63.9"/>
    <n v="1.59"/>
    <n v="185"/>
    <n v="125"/>
    <n v="50"/>
    <n v="1.87"/>
    <n v="1169"/>
    <s v="Strength"/>
    <n v="16.399999999999999"/>
    <n v="2.7"/>
    <n v="4"/>
    <x v="0"/>
    <n v="25.28"/>
    <s v="Overweight"/>
    <n v="625.13368983957218"/>
    <x v="2"/>
  </r>
  <r>
    <n v="231"/>
    <s v="Hyderabad"/>
    <n v="28"/>
    <s v="Male"/>
    <n v="76.3"/>
    <n v="1.62"/>
    <n v="161"/>
    <n v="162"/>
    <n v="70"/>
    <n v="1.1599999999999999"/>
    <n v="1034"/>
    <s v="Strength"/>
    <n v="20.100000000000001"/>
    <n v="2.2999999999999998"/>
    <n v="3"/>
    <x v="1"/>
    <n v="29.07"/>
    <s v="Overweight"/>
    <n v="891.37931034482767"/>
    <x v="1"/>
  </r>
  <r>
    <n v="232"/>
    <s v="Mumbai"/>
    <n v="45"/>
    <s v="Female"/>
    <n v="44.5"/>
    <n v="1.65"/>
    <n v="162"/>
    <n v="148"/>
    <n v="71"/>
    <n v="1.44"/>
    <n v="959"/>
    <s v="Yoga"/>
    <n v="30.7"/>
    <n v="1.6"/>
    <n v="3"/>
    <x v="2"/>
    <n v="16.350000000000001"/>
    <s v="Underweight"/>
    <n v="665.97222222222229"/>
    <x v="1"/>
  </r>
  <r>
    <n v="233"/>
    <s v="Delhi"/>
    <n v="42"/>
    <s v="Female"/>
    <n v="50.7"/>
    <n v="1.75"/>
    <n v="163"/>
    <n v="162"/>
    <n v="51"/>
    <n v="1.29"/>
    <n v="940"/>
    <s v="Strength"/>
    <n v="29"/>
    <n v="1.9"/>
    <n v="3"/>
    <x v="1"/>
    <n v="16.559999999999999"/>
    <s v="Underweight"/>
    <n v="728.68217054263562"/>
    <x v="1"/>
  </r>
  <r>
    <n v="234"/>
    <s v="Mumbai"/>
    <n v="40"/>
    <s v="Female"/>
    <n v="55.1"/>
    <n v="1.61"/>
    <n v="184"/>
    <n v="158"/>
    <n v="64"/>
    <n v="1.55"/>
    <n v="1224"/>
    <s v="Yoga"/>
    <n v="16.899999999999999"/>
    <n v="2.7"/>
    <n v="4"/>
    <x v="0"/>
    <n v="21.26"/>
    <s v="Normal Weight"/>
    <n v="789.67741935483866"/>
    <x v="2"/>
  </r>
  <r>
    <n v="235"/>
    <s v="Pune"/>
    <n v="48"/>
    <s v="Male"/>
    <n v="73.7"/>
    <n v="1.61"/>
    <n v="172"/>
    <n v="121"/>
    <n v="63"/>
    <n v="1.36"/>
    <n v="815"/>
    <s v="Cardio"/>
    <n v="21.8"/>
    <n v="3.6"/>
    <n v="4"/>
    <x v="1"/>
    <n v="28.43"/>
    <s v="Overweight"/>
    <n v="599.26470588235293"/>
    <x v="0"/>
  </r>
  <r>
    <n v="236"/>
    <s v="Pune"/>
    <n v="47"/>
    <s v="Male"/>
    <n v="55.6"/>
    <n v="1.77"/>
    <n v="198"/>
    <n v="138"/>
    <n v="68"/>
    <n v="1.2"/>
    <n v="820"/>
    <s v="Cardio"/>
    <n v="24.3"/>
    <n v="2.9"/>
    <n v="4"/>
    <x v="1"/>
    <n v="17.75"/>
    <s v="Underweight"/>
    <n v="683.33333333333337"/>
    <x v="2"/>
  </r>
  <r>
    <n v="237"/>
    <s v="Kolkata"/>
    <n v="59"/>
    <s v="Male"/>
    <n v="86.9"/>
    <n v="1.76"/>
    <n v="194"/>
    <n v="123"/>
    <n v="60"/>
    <n v="1.1299999999999999"/>
    <n v="688"/>
    <s v="Strength"/>
    <n v="29.8"/>
    <n v="3.1"/>
    <n v="3"/>
    <x v="1"/>
    <n v="28.05"/>
    <s v="Overweight"/>
    <n v="608.84955752212397"/>
    <x v="0"/>
  </r>
  <r>
    <n v="238"/>
    <s v="Gurgaon"/>
    <n v="52"/>
    <s v="Female"/>
    <n v="60.3"/>
    <n v="1.68"/>
    <n v="182"/>
    <n v="125"/>
    <n v="64"/>
    <n v="1.6"/>
    <n v="900"/>
    <s v="Strength"/>
    <n v="16.5"/>
    <n v="2.7"/>
    <n v="4"/>
    <x v="0"/>
    <n v="21.36"/>
    <s v="Normal Weight"/>
    <n v="562.5"/>
    <x v="2"/>
  </r>
  <r>
    <n v="239"/>
    <s v="Gurgaon"/>
    <n v="24"/>
    <s v="Female"/>
    <n v="40.4"/>
    <n v="1.64"/>
    <n v="168"/>
    <n v="168"/>
    <n v="55"/>
    <n v="0.99"/>
    <n v="832"/>
    <s v="HIIT"/>
    <n v="31"/>
    <n v="1.9"/>
    <n v="2"/>
    <x v="2"/>
    <n v="15.02"/>
    <s v="Underweight"/>
    <n v="840.40404040404042"/>
    <x v="1"/>
  </r>
  <r>
    <n v="240"/>
    <s v="Bengaluru"/>
    <n v="33"/>
    <s v="Female"/>
    <n v="78.5"/>
    <n v="1.66"/>
    <n v="161"/>
    <n v="156"/>
    <n v="69"/>
    <n v="1.29"/>
    <n v="1006"/>
    <s v="HIIT"/>
    <n v="32.799999999999997"/>
    <n v="1.9"/>
    <n v="4"/>
    <x v="1"/>
    <n v="28.49"/>
    <s v="Overweight"/>
    <n v="779.84496124031011"/>
    <x v="1"/>
  </r>
  <r>
    <n v="241"/>
    <s v="Bengaluru"/>
    <n v="43"/>
    <s v="Male"/>
    <n v="102.6"/>
    <n v="1.72"/>
    <n v="190"/>
    <n v="147"/>
    <n v="58"/>
    <n v="0.82"/>
    <n v="597"/>
    <s v="Strength"/>
    <n v="27.5"/>
    <n v="2"/>
    <n v="2"/>
    <x v="2"/>
    <n v="34.68"/>
    <s v="Obesity"/>
    <n v="728.04878048780495"/>
    <x v="1"/>
  </r>
  <r>
    <n v="242"/>
    <s v="Bengaluru"/>
    <n v="19"/>
    <s v="Male"/>
    <n v="110.8"/>
    <n v="1.91"/>
    <n v="161"/>
    <n v="149"/>
    <n v="54"/>
    <n v="1.31"/>
    <n v="1074"/>
    <s v="Strength"/>
    <n v="23.3"/>
    <n v="2.9"/>
    <n v="2"/>
    <x v="2"/>
    <n v="30.37"/>
    <s v="Obesity"/>
    <n v="819.84732824427476"/>
    <x v="2"/>
  </r>
  <r>
    <n v="243"/>
    <s v="Hyderabad"/>
    <n v="18"/>
    <s v="Female"/>
    <n v="60.9"/>
    <n v="1.79"/>
    <n v="191"/>
    <n v="126"/>
    <n v="69"/>
    <n v="1.1100000000000001"/>
    <n v="699"/>
    <s v="Cardio"/>
    <n v="31.1"/>
    <n v="2.1"/>
    <n v="2"/>
    <x v="2"/>
    <n v="19.010000000000002"/>
    <s v="Normal Weight"/>
    <n v="629.72972972972968"/>
    <x v="1"/>
  </r>
  <r>
    <n v="244"/>
    <s v="Ahmedabad"/>
    <n v="29"/>
    <s v="Male"/>
    <n v="55.7"/>
    <n v="1.61"/>
    <n v="177"/>
    <n v="128"/>
    <n v="51"/>
    <n v="1.41"/>
    <n v="993"/>
    <s v="Strength"/>
    <n v="28.7"/>
    <n v="2.2999999999999998"/>
    <n v="3"/>
    <x v="2"/>
    <n v="21.49"/>
    <s v="Normal Weight"/>
    <n v="704.25531914893622"/>
    <x v="1"/>
  </r>
  <r>
    <n v="245"/>
    <s v="Chennai"/>
    <n v="22"/>
    <s v="Male"/>
    <n v="110.5"/>
    <n v="1.92"/>
    <n v="172"/>
    <n v="144"/>
    <n v="55"/>
    <n v="1.1599999999999999"/>
    <n v="919"/>
    <s v="HIIT"/>
    <n v="20.2"/>
    <n v="3.3"/>
    <n v="3"/>
    <x v="1"/>
    <n v="29.98"/>
    <s v="Overweight"/>
    <n v="792.24137931034488"/>
    <x v="0"/>
  </r>
  <r>
    <n v="246"/>
    <s v="Ahmedabad"/>
    <n v="54"/>
    <s v="Male"/>
    <n v="55.2"/>
    <n v="1.71"/>
    <n v="164"/>
    <n v="152"/>
    <n v="67"/>
    <n v="0.77"/>
    <n v="579"/>
    <s v="Cardio"/>
    <n v="24.4"/>
    <n v="2.8"/>
    <n v="2"/>
    <x v="2"/>
    <n v="18.88"/>
    <s v="Normal Weight"/>
    <n v="751.9480519480519"/>
    <x v="2"/>
  </r>
  <r>
    <n v="247"/>
    <s v="Mumbai"/>
    <n v="49"/>
    <s v="Male"/>
    <n v="46.5"/>
    <n v="1.72"/>
    <n v="169"/>
    <n v="120"/>
    <n v="72"/>
    <n v="1.4"/>
    <n v="832"/>
    <s v="Yoga"/>
    <n v="22.2"/>
    <n v="2.6"/>
    <n v="4"/>
    <x v="1"/>
    <n v="15.72"/>
    <s v="Underweight"/>
    <n v="594.28571428571433"/>
    <x v="2"/>
  </r>
  <r>
    <n v="248"/>
    <s v="Ahmedabad"/>
    <n v="26"/>
    <s v="Female"/>
    <n v="70.900000000000006"/>
    <n v="1.66"/>
    <n v="184"/>
    <n v="125"/>
    <n v="68"/>
    <n v="0.81"/>
    <n v="506"/>
    <s v="HIIT"/>
    <n v="28.9"/>
    <n v="1.7"/>
    <n v="3"/>
    <x v="2"/>
    <n v="25.73"/>
    <s v="Overweight"/>
    <n v="624.69135802469134"/>
    <x v="1"/>
  </r>
  <r>
    <n v="249"/>
    <s v="Hyderabad"/>
    <n v="58"/>
    <s v="Male"/>
    <n v="74.599999999999994"/>
    <n v="1.75"/>
    <n v="193"/>
    <n v="137"/>
    <n v="58"/>
    <n v="1.0900000000000001"/>
    <n v="739"/>
    <s v="HIIT"/>
    <n v="24.2"/>
    <n v="2.9"/>
    <n v="2"/>
    <x v="2"/>
    <n v="24.36"/>
    <s v="Normal Weight"/>
    <n v="677.98165137614671"/>
    <x v="2"/>
  </r>
  <r>
    <n v="250"/>
    <s v="Mumbai"/>
    <n v="52"/>
    <s v="Male"/>
    <n v="45.1"/>
    <n v="1.72"/>
    <n v="196"/>
    <n v="129"/>
    <n v="70"/>
    <n v="0.93"/>
    <n v="594"/>
    <s v="Cardio"/>
    <n v="27.5"/>
    <n v="3.3"/>
    <n v="2"/>
    <x v="2"/>
    <n v="15.24"/>
    <s v="Underweight"/>
    <n v="638.70967741935476"/>
    <x v="0"/>
  </r>
  <r>
    <n v="251"/>
    <s v="Ahmedabad"/>
    <n v="36"/>
    <s v="Male"/>
    <n v="99.9"/>
    <n v="1.99"/>
    <n v="189"/>
    <n v="147"/>
    <n v="73"/>
    <n v="1.33"/>
    <n v="1075"/>
    <s v="Yoga"/>
    <n v="20.9"/>
    <n v="2.5"/>
    <n v="3"/>
    <x v="2"/>
    <n v="25.23"/>
    <s v="Overweight"/>
    <n v="808.27067669172925"/>
    <x v="1"/>
  </r>
  <r>
    <n v="252"/>
    <s v="Hyderabad"/>
    <n v="33"/>
    <s v="Male"/>
    <n v="117"/>
    <n v="1.61"/>
    <n v="166"/>
    <n v="130"/>
    <n v="55"/>
    <n v="1.04"/>
    <n v="744"/>
    <s v="HIIT"/>
    <n v="25.1"/>
    <n v="2.4"/>
    <n v="3"/>
    <x v="1"/>
    <n v="45.14"/>
    <s v="Obesity"/>
    <n v="715.38461538461536"/>
    <x v="1"/>
  </r>
  <r>
    <n v="253"/>
    <s v="Chennai"/>
    <n v="20"/>
    <s v="Female"/>
    <n v="75.900000000000006"/>
    <n v="1.73"/>
    <n v="165"/>
    <n v="152"/>
    <n v="63"/>
    <n v="1.39"/>
    <n v="1056"/>
    <s v="Strength"/>
    <n v="30.6"/>
    <n v="2.1"/>
    <n v="4"/>
    <x v="1"/>
    <n v="25.36"/>
    <s v="Overweight"/>
    <n v="759.71223021582739"/>
    <x v="1"/>
  </r>
  <r>
    <n v="254"/>
    <s v="Ahmedabad"/>
    <n v="37"/>
    <s v="Female"/>
    <n v="71.2"/>
    <n v="1.64"/>
    <n v="162"/>
    <n v="120"/>
    <n v="73"/>
    <n v="1.1100000000000001"/>
    <n v="666"/>
    <s v="HIIT"/>
    <n v="29.9"/>
    <n v="1.7"/>
    <n v="3"/>
    <x v="1"/>
    <n v="26.47"/>
    <s v="Overweight"/>
    <n v="600"/>
    <x v="1"/>
  </r>
  <r>
    <n v="255"/>
    <s v="Hyderabad"/>
    <n v="41"/>
    <s v="Male"/>
    <n v="78.8"/>
    <n v="1.72"/>
    <n v="172"/>
    <n v="132"/>
    <n v="62"/>
    <n v="1.01"/>
    <n v="660"/>
    <s v="Cardio"/>
    <n v="27.3"/>
    <n v="3.1"/>
    <n v="4"/>
    <x v="1"/>
    <n v="26.64"/>
    <s v="Overweight"/>
    <n v="653.46534653465346"/>
    <x v="0"/>
  </r>
  <r>
    <n v="256"/>
    <s v="Bengaluru"/>
    <n v="50"/>
    <s v="Male"/>
    <n v="50.6"/>
    <n v="1.69"/>
    <n v="162"/>
    <n v="156"/>
    <n v="60"/>
    <n v="1.31"/>
    <n v="1012"/>
    <s v="Cardio"/>
    <n v="23.8"/>
    <n v="3"/>
    <n v="2"/>
    <x v="2"/>
    <n v="17.72"/>
    <s v="Underweight"/>
    <n v="772.51908396946567"/>
    <x v="2"/>
  </r>
  <r>
    <n v="257"/>
    <s v="Gurgaon"/>
    <n v="41"/>
    <s v="Male"/>
    <n v="82.5"/>
    <n v="1.79"/>
    <n v="185"/>
    <n v="139"/>
    <n v="61"/>
    <n v="1.69"/>
    <n v="1163"/>
    <s v="Cardio"/>
    <n v="14.7"/>
    <n v="3.5"/>
    <n v="4"/>
    <x v="0"/>
    <n v="25.75"/>
    <s v="Overweight"/>
    <n v="688.16568047337284"/>
    <x v="0"/>
  </r>
  <r>
    <n v="258"/>
    <s v="Bengaluru"/>
    <n v="28"/>
    <s v="Male"/>
    <n v="108.5"/>
    <n v="1.79"/>
    <n v="183"/>
    <n v="120"/>
    <n v="68"/>
    <n v="1.33"/>
    <n v="878"/>
    <s v="HIIT"/>
    <n v="24.8"/>
    <n v="2.1"/>
    <n v="4"/>
    <x v="1"/>
    <n v="33.86"/>
    <s v="Obesity"/>
    <n v="660.1503759398496"/>
    <x v="1"/>
  </r>
  <r>
    <n v="259"/>
    <s v="Gurgaon"/>
    <n v="25"/>
    <s v="Male"/>
    <n v="49.9"/>
    <n v="1.98"/>
    <n v="165"/>
    <n v="122"/>
    <n v="68"/>
    <n v="1.1499999999999999"/>
    <n v="772"/>
    <s v="Yoga"/>
    <n v="25.7"/>
    <n v="2.1"/>
    <n v="3"/>
    <x v="1"/>
    <n v="12.73"/>
    <s v="Underweight"/>
    <n v="671.304347826087"/>
    <x v="1"/>
  </r>
  <r>
    <n v="260"/>
    <s v="Delhi"/>
    <n v="53"/>
    <s v="Male"/>
    <n v="125.1"/>
    <n v="1.91"/>
    <n v="171"/>
    <n v="137"/>
    <n v="70"/>
    <n v="0.52"/>
    <n v="353"/>
    <s v="Strength"/>
    <n v="28.3"/>
    <n v="3.1"/>
    <n v="2"/>
    <x v="2"/>
    <n v="34.29"/>
    <s v="Obesity"/>
    <n v="678.84615384615381"/>
    <x v="0"/>
  </r>
  <r>
    <n v="261"/>
    <s v="Delhi"/>
    <n v="55"/>
    <s v="Female"/>
    <n v="79.7"/>
    <n v="1.66"/>
    <n v="195"/>
    <n v="160"/>
    <n v="68"/>
    <n v="1.06"/>
    <n v="763"/>
    <s v="Cardio"/>
    <n v="27.8"/>
    <n v="1.9"/>
    <n v="2"/>
    <x v="2"/>
    <n v="28.92"/>
    <s v="Overweight"/>
    <n v="719.81132075471692"/>
    <x v="1"/>
  </r>
  <r>
    <n v="262"/>
    <s v="Delhi"/>
    <n v="57"/>
    <s v="Male"/>
    <n v="126.8"/>
    <n v="1.63"/>
    <n v="161"/>
    <n v="133"/>
    <n v="73"/>
    <n v="0.96"/>
    <n v="632"/>
    <s v="Yoga"/>
    <n v="20.8"/>
    <n v="2.1"/>
    <n v="2"/>
    <x v="2"/>
    <n v="47.72"/>
    <s v="Obesity"/>
    <n v="658.33333333333337"/>
    <x v="1"/>
  </r>
  <r>
    <n v="263"/>
    <s v="Chennai"/>
    <n v="37"/>
    <s v="Female"/>
    <n v="54.6"/>
    <n v="1.57"/>
    <n v="170"/>
    <n v="150"/>
    <n v="62"/>
    <n v="1.31"/>
    <n v="982"/>
    <s v="Strength"/>
    <n v="32.1"/>
    <n v="2.4"/>
    <n v="3"/>
    <x v="2"/>
    <n v="22.15"/>
    <s v="Normal Weight"/>
    <n v="749.61832061068696"/>
    <x v="1"/>
  </r>
  <r>
    <n v="264"/>
    <s v="Bengaluru"/>
    <n v="52"/>
    <s v="Female"/>
    <n v="47.8"/>
    <n v="1.54"/>
    <n v="198"/>
    <n v="146"/>
    <n v="63"/>
    <n v="1.34"/>
    <n v="880"/>
    <s v="Cardio"/>
    <n v="29.8"/>
    <n v="1.9"/>
    <n v="3"/>
    <x v="1"/>
    <n v="20.16"/>
    <s v="Normal Weight"/>
    <n v="656.71641791044772"/>
    <x v="1"/>
  </r>
  <r>
    <n v="265"/>
    <s v="Gurgaon"/>
    <n v="42"/>
    <s v="Male"/>
    <n v="97.9"/>
    <n v="1.91"/>
    <n v="193"/>
    <n v="136"/>
    <n v="73"/>
    <n v="1.01"/>
    <n v="680"/>
    <s v="Strength"/>
    <n v="29"/>
    <n v="2.8"/>
    <n v="3"/>
    <x v="1"/>
    <n v="26.84"/>
    <s v="Overweight"/>
    <n v="673.26732673267327"/>
    <x v="2"/>
  </r>
  <r>
    <n v="266"/>
    <s v="Hyderabad"/>
    <n v="52"/>
    <s v="Female"/>
    <n v="63.1"/>
    <n v="1.54"/>
    <n v="185"/>
    <n v="165"/>
    <n v="67"/>
    <n v="1.36"/>
    <n v="1010"/>
    <s v="Strength"/>
    <n v="34.799999999999997"/>
    <n v="1.8"/>
    <n v="3"/>
    <x v="1"/>
    <n v="26.61"/>
    <s v="Overweight"/>
    <n v="742.64705882352939"/>
    <x v="1"/>
  </r>
  <r>
    <n v="267"/>
    <s v="Mumbai"/>
    <n v="42"/>
    <s v="Female"/>
    <n v="72.400000000000006"/>
    <n v="1.69"/>
    <n v="177"/>
    <n v="148"/>
    <n v="61"/>
    <n v="1.07"/>
    <n v="713"/>
    <s v="Yoga"/>
    <n v="29"/>
    <n v="2.2999999999999998"/>
    <n v="3"/>
    <x v="1"/>
    <n v="25.35"/>
    <s v="Overweight"/>
    <n v="666.35514018691583"/>
    <x v="1"/>
  </r>
  <r>
    <n v="268"/>
    <s v="Hyderabad"/>
    <n v="46"/>
    <s v="Female"/>
    <n v="58.9"/>
    <n v="1.7"/>
    <n v="180"/>
    <n v="155"/>
    <n v="53"/>
    <n v="1.52"/>
    <n v="1060"/>
    <s v="Strength"/>
    <n v="17.100000000000001"/>
    <n v="2.7"/>
    <n v="4"/>
    <x v="0"/>
    <n v="20.38"/>
    <s v="Normal Weight"/>
    <n v="697.36842105263156"/>
    <x v="2"/>
  </r>
  <r>
    <n v="269"/>
    <s v="Mumbai"/>
    <n v="35"/>
    <s v="Female"/>
    <n v="50.4"/>
    <n v="1.6"/>
    <n v="195"/>
    <n v="156"/>
    <n v="59"/>
    <n v="1.03"/>
    <n v="803"/>
    <s v="Cardio"/>
    <n v="29.1"/>
    <n v="1.9"/>
    <n v="4"/>
    <x v="1"/>
    <n v="19.690000000000001"/>
    <s v="Normal Weight"/>
    <n v="779.61165048543683"/>
    <x v="1"/>
  </r>
  <r>
    <n v="270"/>
    <s v="Pune"/>
    <n v="35"/>
    <s v="Female"/>
    <n v="64.2"/>
    <n v="1.59"/>
    <n v="199"/>
    <n v="145"/>
    <n v="66"/>
    <n v="1.63"/>
    <n v="1182"/>
    <s v="Yoga"/>
    <n v="16.600000000000001"/>
    <n v="2.7"/>
    <n v="5"/>
    <x v="0"/>
    <n v="25.39"/>
    <s v="Overweight"/>
    <n v="725.15337423312883"/>
    <x v="2"/>
  </r>
  <r>
    <n v="271"/>
    <s v="Hyderabad"/>
    <n v="19"/>
    <s v="Female"/>
    <n v="58.8"/>
    <n v="1.77"/>
    <n v="181"/>
    <n v="136"/>
    <n v="53"/>
    <n v="1.4"/>
    <n v="952"/>
    <s v="HIIT"/>
    <n v="32.799999999999997"/>
    <n v="2.7"/>
    <n v="2"/>
    <x v="2"/>
    <n v="18.77"/>
    <s v="Normal Weight"/>
    <n v="680"/>
    <x v="2"/>
  </r>
  <r>
    <n v="272"/>
    <s v="Ahmedabad"/>
    <n v="52"/>
    <s v="Male"/>
    <n v="105.2"/>
    <n v="1.62"/>
    <n v="189"/>
    <n v="141"/>
    <n v="61"/>
    <n v="1.36"/>
    <n v="949"/>
    <s v="HIIT"/>
    <n v="27.6"/>
    <n v="3.2"/>
    <n v="3"/>
    <x v="2"/>
    <n v="40.090000000000003"/>
    <s v="Obesity"/>
    <n v="697.79411764705878"/>
    <x v="0"/>
  </r>
  <r>
    <n v="273"/>
    <s v="Ahmedabad"/>
    <n v="33"/>
    <s v="Female"/>
    <n v="45.9"/>
    <n v="1.5"/>
    <n v="189"/>
    <n v="144"/>
    <n v="62"/>
    <n v="0.92"/>
    <n v="662"/>
    <s v="Yoga"/>
    <n v="29.8"/>
    <n v="1.7"/>
    <n v="3"/>
    <x v="2"/>
    <n v="20.399999999999999"/>
    <s v="Normal Weight"/>
    <n v="719.56521739130437"/>
    <x v="1"/>
  </r>
  <r>
    <n v="274"/>
    <s v="Kolkata"/>
    <n v="58"/>
    <s v="Female"/>
    <n v="65.2"/>
    <n v="1.63"/>
    <n v="167"/>
    <n v="121"/>
    <n v="53"/>
    <n v="1.1200000000000001"/>
    <n v="610"/>
    <s v="HIIT"/>
    <n v="25.4"/>
    <n v="2"/>
    <n v="3"/>
    <x v="1"/>
    <n v="24.54"/>
    <s v="Normal Weight"/>
    <n v="544.64285714285711"/>
    <x v="1"/>
  </r>
  <r>
    <n v="275"/>
    <s v="Bengaluru"/>
    <n v="53"/>
    <s v="Female"/>
    <n v="56.3"/>
    <n v="1.79"/>
    <n v="193"/>
    <n v="141"/>
    <n v="59"/>
    <n v="1.52"/>
    <n v="964"/>
    <s v="Strength"/>
    <n v="16.5"/>
    <n v="2.7"/>
    <n v="5"/>
    <x v="0"/>
    <n v="17.57"/>
    <s v="Underweight"/>
    <n v="634.21052631578948"/>
    <x v="2"/>
  </r>
  <r>
    <n v="276"/>
    <s v="Mumbai"/>
    <n v="50"/>
    <s v="Male"/>
    <n v="90"/>
    <n v="1.7"/>
    <n v="168"/>
    <n v="124"/>
    <n v="74"/>
    <n v="0.81"/>
    <n v="497"/>
    <s v="Cardio"/>
    <n v="22.9"/>
    <n v="2.7"/>
    <n v="2"/>
    <x v="2"/>
    <n v="31.14"/>
    <s v="Obesity"/>
    <n v="613.58024691358025"/>
    <x v="2"/>
  </r>
  <r>
    <n v="277"/>
    <s v="Mumbai"/>
    <n v="21"/>
    <s v="Female"/>
    <n v="60"/>
    <n v="1.7"/>
    <n v="179"/>
    <n v="123"/>
    <n v="52"/>
    <n v="1.97"/>
    <n v="1212"/>
    <s v="Strength"/>
    <n v="19.100000000000001"/>
    <n v="2.7"/>
    <n v="5"/>
    <x v="0"/>
    <n v="20.76"/>
    <s v="Normal Weight"/>
    <n v="615.2284263959391"/>
    <x v="2"/>
  </r>
  <r>
    <n v="278"/>
    <s v="Bengaluru"/>
    <n v="50"/>
    <s v="Male"/>
    <n v="51.5"/>
    <n v="1.71"/>
    <n v="199"/>
    <n v="155"/>
    <n v="64"/>
    <n v="1.48"/>
    <n v="1136"/>
    <s v="Yoga"/>
    <n v="20.9"/>
    <n v="2.9"/>
    <n v="2"/>
    <x v="2"/>
    <n v="17.61"/>
    <s v="Underweight"/>
    <n v="767.56756756756761"/>
    <x v="2"/>
  </r>
  <r>
    <n v="279"/>
    <s v="Chennai"/>
    <n v="31"/>
    <s v="Female"/>
    <n v="63.1"/>
    <n v="1.64"/>
    <n v="184"/>
    <n v="125"/>
    <n v="51"/>
    <n v="1.54"/>
    <n v="962"/>
    <s v="Cardio"/>
    <n v="19"/>
    <n v="2.7"/>
    <n v="4"/>
    <x v="0"/>
    <n v="23.46"/>
    <s v="Normal Weight"/>
    <n v="624.67532467532465"/>
    <x v="2"/>
  </r>
  <r>
    <n v="280"/>
    <s v="Kolkata"/>
    <n v="38"/>
    <s v="Male"/>
    <n v="91.5"/>
    <n v="1.77"/>
    <n v="178"/>
    <n v="140"/>
    <n v="74"/>
    <n v="0.8"/>
    <n v="616"/>
    <s v="Yoga"/>
    <n v="26.7"/>
    <n v="3.4"/>
    <n v="2"/>
    <x v="2"/>
    <n v="29.21"/>
    <s v="Overweight"/>
    <n v="770"/>
    <x v="0"/>
  </r>
  <r>
    <n v="281"/>
    <s v="Chennai"/>
    <n v="37"/>
    <s v="Male"/>
    <n v="48.7"/>
    <n v="1.67"/>
    <n v="164"/>
    <n v="132"/>
    <n v="74"/>
    <n v="1.39"/>
    <n v="1009"/>
    <s v="Yoga"/>
    <n v="27.3"/>
    <n v="3"/>
    <n v="2"/>
    <x v="2"/>
    <n v="17.46"/>
    <s v="Underweight"/>
    <n v="725.89928057553959"/>
    <x v="2"/>
  </r>
  <r>
    <n v="282"/>
    <s v="Chennai"/>
    <n v="25"/>
    <s v="Female"/>
    <n v="57.8"/>
    <n v="1.56"/>
    <n v="170"/>
    <n v="156"/>
    <n v="66"/>
    <n v="1.35"/>
    <n v="1053"/>
    <s v="Yoga"/>
    <n v="29.3"/>
    <n v="1.6"/>
    <n v="3"/>
    <x v="1"/>
    <n v="23.75"/>
    <s v="Normal Weight"/>
    <n v="780"/>
    <x v="1"/>
  </r>
  <r>
    <n v="283"/>
    <s v="Chennai"/>
    <n v="24"/>
    <s v="Female"/>
    <n v="42"/>
    <n v="1.75"/>
    <n v="174"/>
    <n v="144"/>
    <n v="55"/>
    <n v="0.83"/>
    <n v="598"/>
    <s v="Strength"/>
    <n v="31.8"/>
    <n v="2.2999999999999998"/>
    <n v="3"/>
    <x v="2"/>
    <n v="13.71"/>
    <s v="Underweight"/>
    <n v="720.48192771084337"/>
    <x v="1"/>
  </r>
  <r>
    <n v="284"/>
    <s v="Bengaluru"/>
    <n v="20"/>
    <s v="Male"/>
    <n v="128.4"/>
    <n v="1.92"/>
    <n v="167"/>
    <n v="145"/>
    <n v="57"/>
    <n v="0.63"/>
    <n v="502"/>
    <s v="Cardio"/>
    <n v="26.1"/>
    <n v="2"/>
    <n v="2"/>
    <x v="2"/>
    <n v="34.83"/>
    <s v="Obesity"/>
    <n v="796.82539682539687"/>
    <x v="1"/>
  </r>
  <r>
    <n v="285"/>
    <s v="Chennai"/>
    <n v="34"/>
    <s v="Female"/>
    <n v="74.2"/>
    <n v="1.57"/>
    <n v="178"/>
    <n v="158"/>
    <n v="52"/>
    <n v="1.47"/>
    <n v="1161"/>
    <s v="Cardio"/>
    <n v="32.700000000000003"/>
    <n v="2.4"/>
    <n v="3"/>
    <x v="2"/>
    <n v="30.1"/>
    <s v="Obesity"/>
    <n v="789.79591836734699"/>
    <x v="1"/>
  </r>
  <r>
    <n v="286"/>
    <s v="Ahmedabad"/>
    <n v="50"/>
    <s v="Male"/>
    <n v="89.6"/>
    <n v="1.68"/>
    <n v="182"/>
    <n v="139"/>
    <n v="74"/>
    <n v="1.79"/>
    <n v="1232"/>
    <s v="Cardio"/>
    <n v="12.2"/>
    <n v="3.5"/>
    <n v="5"/>
    <x v="0"/>
    <n v="31.75"/>
    <s v="Obesity"/>
    <n v="688.26815642458098"/>
    <x v="0"/>
  </r>
  <r>
    <n v="287"/>
    <s v="Delhi"/>
    <n v="29"/>
    <s v="Male"/>
    <n v="125.9"/>
    <n v="2"/>
    <n v="186"/>
    <n v="152"/>
    <n v="67"/>
    <n v="1.36"/>
    <n v="1137"/>
    <s v="Strength"/>
    <n v="24.7"/>
    <n v="3.1"/>
    <n v="4"/>
    <x v="1"/>
    <n v="31.48"/>
    <s v="Obesity"/>
    <n v="836.02941176470586"/>
    <x v="0"/>
  </r>
  <r>
    <n v="288"/>
    <s v="Pune"/>
    <n v="39"/>
    <s v="Male"/>
    <n v="105.5"/>
    <n v="1.99"/>
    <n v="199"/>
    <n v="133"/>
    <n v="71"/>
    <n v="0.81"/>
    <n v="593"/>
    <s v="HIIT"/>
    <n v="26.4"/>
    <n v="2.5"/>
    <n v="2"/>
    <x v="2"/>
    <n v="26.64"/>
    <s v="Overweight"/>
    <n v="732.09876543209873"/>
    <x v="1"/>
  </r>
  <r>
    <n v="289"/>
    <s v="Mumbai"/>
    <n v="39"/>
    <s v="Male"/>
    <n v="93.4"/>
    <n v="1.7"/>
    <n v="191"/>
    <n v="155"/>
    <n v="50"/>
    <n v="1.1000000000000001"/>
    <n v="938"/>
    <s v="Strength"/>
    <n v="21.1"/>
    <n v="2.5"/>
    <n v="4"/>
    <x v="1"/>
    <n v="32.32"/>
    <s v="Obesity"/>
    <n v="852.72727272727263"/>
    <x v="1"/>
  </r>
  <r>
    <n v="290"/>
    <s v="Mumbai"/>
    <n v="47"/>
    <s v="Male"/>
    <n v="82.1"/>
    <n v="1.84"/>
    <n v="185"/>
    <n v="136"/>
    <n v="65"/>
    <n v="1.37"/>
    <n v="922"/>
    <s v="Strength"/>
    <n v="24.4"/>
    <n v="3.4"/>
    <n v="4"/>
    <x v="1"/>
    <n v="24.25"/>
    <s v="Normal Weight"/>
    <n v="672.99270072992692"/>
    <x v="0"/>
  </r>
  <r>
    <n v="291"/>
    <s v="Pune"/>
    <n v="55"/>
    <s v="Female"/>
    <n v="42.9"/>
    <n v="1.69"/>
    <n v="186"/>
    <n v="140"/>
    <n v="56"/>
    <n v="0.9"/>
    <n v="567"/>
    <s v="Yoga"/>
    <n v="34.700000000000003"/>
    <n v="2.4"/>
    <n v="2"/>
    <x v="2"/>
    <n v="15.02"/>
    <s v="Underweight"/>
    <n v="630"/>
    <x v="1"/>
  </r>
  <r>
    <n v="292"/>
    <s v="Bengaluru"/>
    <n v="55"/>
    <s v="Male"/>
    <n v="128.4"/>
    <n v="1.68"/>
    <n v="178"/>
    <n v="165"/>
    <n v="52"/>
    <n v="1.1299999999999999"/>
    <n v="923"/>
    <s v="Cardio"/>
    <n v="20.399999999999999"/>
    <n v="2.6"/>
    <n v="4"/>
    <x v="1"/>
    <n v="45.49"/>
    <s v="Obesity"/>
    <n v="816.81415929203547"/>
    <x v="2"/>
  </r>
  <r>
    <n v="293"/>
    <s v="Hyderabad"/>
    <n v="25"/>
    <s v="Male"/>
    <n v="112.4"/>
    <n v="1.96"/>
    <n v="188"/>
    <n v="135"/>
    <n v="72"/>
    <n v="1.42"/>
    <n v="1054"/>
    <s v="Cardio"/>
    <n v="23.2"/>
    <n v="2.5"/>
    <n v="2"/>
    <x v="2"/>
    <n v="29.26"/>
    <s v="Overweight"/>
    <n v="742.25352112676057"/>
    <x v="1"/>
  </r>
  <r>
    <n v="294"/>
    <s v="Bengaluru"/>
    <n v="44"/>
    <s v="Female"/>
    <n v="77.7"/>
    <n v="1.79"/>
    <n v="198"/>
    <n v="165"/>
    <n v="53"/>
    <n v="1.41"/>
    <n v="1047"/>
    <s v="HIIT"/>
    <n v="28.1"/>
    <n v="2.2000000000000002"/>
    <n v="3"/>
    <x v="2"/>
    <n v="24.25"/>
    <s v="Normal Weight"/>
    <n v="742.55319148936178"/>
    <x v="1"/>
  </r>
  <r>
    <n v="295"/>
    <s v="Mumbai"/>
    <n v="44"/>
    <s v="Male"/>
    <n v="89.3"/>
    <n v="1.99"/>
    <n v="192"/>
    <n v="135"/>
    <n v="58"/>
    <n v="1.4"/>
    <n v="936"/>
    <s v="HIIT"/>
    <n v="26.3"/>
    <n v="2"/>
    <n v="4"/>
    <x v="1"/>
    <n v="22.55"/>
    <s v="Normal Weight"/>
    <n v="668.57142857142867"/>
    <x v="1"/>
  </r>
  <r>
    <n v="296"/>
    <s v="Mumbai"/>
    <n v="51"/>
    <s v="Female"/>
    <n v="70.3"/>
    <n v="1.55"/>
    <n v="178"/>
    <n v="139"/>
    <n v="54"/>
    <n v="1.4"/>
    <n v="876"/>
    <s v="Yoga"/>
    <n v="26.1"/>
    <n v="1.6"/>
    <n v="3"/>
    <x v="2"/>
    <n v="29.26"/>
    <s v="Overweight"/>
    <n v="625.71428571428578"/>
    <x v="1"/>
  </r>
  <r>
    <n v="297"/>
    <s v="Pune"/>
    <n v="38"/>
    <s v="Female"/>
    <n v="59.1"/>
    <n v="1.72"/>
    <n v="196"/>
    <n v="148"/>
    <n v="68"/>
    <n v="1.07"/>
    <n v="792"/>
    <s v="Cardio"/>
    <n v="31.3"/>
    <n v="1.7"/>
    <n v="3"/>
    <x v="1"/>
    <n v="19.98"/>
    <s v="Normal Weight"/>
    <n v="740.18691588785043"/>
    <x v="1"/>
  </r>
  <r>
    <n v="298"/>
    <s v="Chennai"/>
    <n v="47"/>
    <s v="Female"/>
    <n v="49.9"/>
    <n v="1.69"/>
    <n v="178"/>
    <n v="147"/>
    <n v="64"/>
    <n v="1.48"/>
    <n v="979"/>
    <s v="HIIT"/>
    <n v="26"/>
    <n v="1.7"/>
    <n v="3"/>
    <x v="1"/>
    <n v="17.47"/>
    <s v="Underweight"/>
    <n v="661.48648648648646"/>
    <x v="1"/>
  </r>
  <r>
    <n v="299"/>
    <s v="Bengaluru"/>
    <n v="50"/>
    <s v="Male"/>
    <n v="101.7"/>
    <n v="1.67"/>
    <n v="192"/>
    <n v="127"/>
    <n v="57"/>
    <n v="0.53"/>
    <n v="333"/>
    <s v="HIIT"/>
    <n v="20.9"/>
    <n v="2.9"/>
    <n v="2"/>
    <x v="2"/>
    <n v="36.47"/>
    <s v="Obesity"/>
    <n v="628.30188679245282"/>
    <x v="2"/>
  </r>
  <r>
    <n v="300"/>
    <s v="Gurgaon"/>
    <n v="45"/>
    <s v="Male"/>
    <n v="93"/>
    <n v="1.91"/>
    <n v="175"/>
    <n v="143"/>
    <n v="55"/>
    <n v="1.03"/>
    <n v="729"/>
    <s v="Cardio"/>
    <n v="27.3"/>
    <n v="3.7"/>
    <n v="3"/>
    <x v="1"/>
    <n v="25.49"/>
    <s v="Overweight"/>
    <n v="707.76699029126212"/>
    <x v="0"/>
  </r>
  <r>
    <n v="301"/>
    <s v="Pune"/>
    <n v="50"/>
    <s v="Male"/>
    <n v="87.4"/>
    <n v="1.6"/>
    <n v="182"/>
    <n v="122"/>
    <n v="67"/>
    <n v="0.77"/>
    <n v="465"/>
    <s v="Strength"/>
    <n v="23.2"/>
    <n v="3.1"/>
    <n v="2"/>
    <x v="2"/>
    <n v="34.14"/>
    <s v="Obesity"/>
    <n v="603.89610389610391"/>
    <x v="0"/>
  </r>
  <r>
    <n v="302"/>
    <s v="Ahmedabad"/>
    <n v="22"/>
    <s v="Female"/>
    <n v="55.1"/>
    <n v="1.61"/>
    <n v="166"/>
    <n v="144"/>
    <n v="68"/>
    <n v="1.62"/>
    <n v="1166"/>
    <s v="HIIT"/>
    <n v="19.899999999999999"/>
    <n v="2.7"/>
    <n v="4"/>
    <x v="0"/>
    <n v="21.26"/>
    <s v="Normal Weight"/>
    <n v="719.753086419753"/>
    <x v="2"/>
  </r>
  <r>
    <n v="303"/>
    <s v="Mumbai"/>
    <n v="36"/>
    <s v="Male"/>
    <n v="123.7"/>
    <n v="1.69"/>
    <n v="185"/>
    <n v="138"/>
    <n v="73"/>
    <n v="1.3"/>
    <n v="987"/>
    <s v="Cardio"/>
    <n v="20.399999999999999"/>
    <n v="2.1"/>
    <n v="4"/>
    <x v="1"/>
    <n v="43.31"/>
    <s v="Obesity"/>
    <n v="759.23076923076917"/>
    <x v="1"/>
  </r>
  <r>
    <n v="304"/>
    <s v="Pune"/>
    <n v="21"/>
    <s v="Female"/>
    <n v="61.3"/>
    <n v="1.57"/>
    <n v="191"/>
    <n v="152"/>
    <n v="64"/>
    <n v="1.94"/>
    <n v="1474"/>
    <s v="HIIT"/>
    <n v="17.2"/>
    <n v="2.7"/>
    <n v="4"/>
    <x v="0"/>
    <n v="24.87"/>
    <s v="Normal Weight"/>
    <n v="759.79381443298973"/>
    <x v="2"/>
  </r>
  <r>
    <n v="305"/>
    <s v="Bengaluru"/>
    <n v="52"/>
    <s v="Male"/>
    <n v="72.3"/>
    <n v="1.94"/>
    <n v="171"/>
    <n v="121"/>
    <n v="56"/>
    <n v="1.46"/>
    <n v="874"/>
    <s v="Yoga"/>
    <n v="21.1"/>
    <n v="2.9"/>
    <n v="3"/>
    <x v="1"/>
    <n v="19.21"/>
    <s v="Normal Weight"/>
    <n v="598.63013698630141"/>
    <x v="2"/>
  </r>
  <r>
    <n v="306"/>
    <s v="Mumbai"/>
    <n v="34"/>
    <s v="Female"/>
    <n v="69.2"/>
    <n v="1.53"/>
    <n v="167"/>
    <n v="134"/>
    <n v="59"/>
    <n v="1.36"/>
    <n v="911"/>
    <s v="HIIT"/>
    <n v="28.5"/>
    <n v="2.1"/>
    <n v="2"/>
    <x v="2"/>
    <n v="29.56"/>
    <s v="Overweight"/>
    <n v="669.85294117647049"/>
    <x v="1"/>
  </r>
  <r>
    <n v="307"/>
    <s v="Hyderabad"/>
    <n v="45"/>
    <s v="Male"/>
    <n v="81.400000000000006"/>
    <n v="1.61"/>
    <n v="164"/>
    <n v="141"/>
    <n v="55"/>
    <n v="1.1399999999999999"/>
    <n v="796"/>
    <s v="Cardio"/>
    <n v="30"/>
    <n v="2.2000000000000002"/>
    <n v="4"/>
    <x v="1"/>
    <n v="31.4"/>
    <s v="Obesity"/>
    <n v="698.24561403508778"/>
    <x v="1"/>
  </r>
  <r>
    <n v="308"/>
    <s v="Pune"/>
    <n v="47"/>
    <s v="Male"/>
    <n v="84.8"/>
    <n v="1.86"/>
    <n v="187"/>
    <n v="129"/>
    <n v="63"/>
    <n v="1.85"/>
    <n v="1181"/>
    <s v="HIIT"/>
    <n v="14.4"/>
    <n v="3.5"/>
    <n v="5"/>
    <x v="0"/>
    <n v="24.51"/>
    <s v="Normal Weight"/>
    <n v="638.37837837837833"/>
    <x v="0"/>
  </r>
  <r>
    <n v="309"/>
    <s v="Kolkata"/>
    <n v="46"/>
    <s v="Male"/>
    <n v="55.1"/>
    <n v="1.72"/>
    <n v="164"/>
    <n v="137"/>
    <n v="66"/>
    <n v="1.43"/>
    <n v="970"/>
    <s v="Yoga"/>
    <n v="20.5"/>
    <n v="3.6"/>
    <n v="3"/>
    <x v="1"/>
    <n v="18.62"/>
    <s v="Normal Weight"/>
    <n v="678.32167832167841"/>
    <x v="0"/>
  </r>
  <r>
    <n v="310"/>
    <s v="Mumbai"/>
    <n v="23"/>
    <s v="Female"/>
    <n v="59"/>
    <n v="1.78"/>
    <n v="185"/>
    <n v="141"/>
    <n v="58"/>
    <n v="1.67"/>
    <n v="1177"/>
    <s v="Yoga"/>
    <n v="17.8"/>
    <n v="2.7"/>
    <n v="5"/>
    <x v="0"/>
    <n v="18.62"/>
    <s v="Normal Weight"/>
    <n v="704.79041916167671"/>
    <x v="2"/>
  </r>
  <r>
    <n v="311"/>
    <s v="Bengaluru"/>
    <n v="52"/>
    <s v="Female"/>
    <n v="64.900000000000006"/>
    <n v="1.51"/>
    <n v="164"/>
    <n v="165"/>
    <n v="68"/>
    <n v="1.83"/>
    <n v="1359"/>
    <s v="HIIT"/>
    <n v="18.2"/>
    <n v="2.7"/>
    <n v="4"/>
    <x v="0"/>
    <n v="28.46"/>
    <s v="Overweight"/>
    <n v="742.62295081967216"/>
    <x v="2"/>
  </r>
  <r>
    <n v="312"/>
    <s v="Delhi"/>
    <n v="58"/>
    <s v="Male"/>
    <n v="109.7"/>
    <n v="1.75"/>
    <n v="181"/>
    <n v="168"/>
    <n v="54"/>
    <n v="1.01"/>
    <n v="840"/>
    <s v="HIIT"/>
    <n v="22.1"/>
    <n v="2.7"/>
    <n v="2"/>
    <x v="2"/>
    <n v="35.82"/>
    <s v="Obesity"/>
    <n v="831.68316831683171"/>
    <x v="2"/>
  </r>
  <r>
    <n v="313"/>
    <s v="Gurgaon"/>
    <n v="54"/>
    <s v="Male"/>
    <n v="78.400000000000006"/>
    <n v="1.9"/>
    <n v="174"/>
    <n v="146"/>
    <n v="72"/>
    <n v="0.81"/>
    <n v="585"/>
    <s v="Yoga"/>
    <n v="21.5"/>
    <n v="3.7"/>
    <n v="2"/>
    <x v="2"/>
    <n v="21.72"/>
    <s v="Normal Weight"/>
    <n v="722.22222222222217"/>
    <x v="0"/>
  </r>
  <r>
    <n v="314"/>
    <s v="Noida"/>
    <n v="41"/>
    <s v="Female"/>
    <n v="76.7"/>
    <n v="1.79"/>
    <n v="172"/>
    <n v="132"/>
    <n v="56"/>
    <n v="1.4"/>
    <n v="832"/>
    <s v="Yoga"/>
    <n v="34"/>
    <n v="2"/>
    <n v="4"/>
    <x v="1"/>
    <n v="23.94"/>
    <s v="Normal Weight"/>
    <n v="594.28571428571433"/>
    <x v="1"/>
  </r>
  <r>
    <n v="315"/>
    <s v="Chennai"/>
    <n v="46"/>
    <s v="Female"/>
    <n v="63.1"/>
    <n v="1.61"/>
    <n v="187"/>
    <n v="152"/>
    <n v="68"/>
    <n v="1"/>
    <n v="684"/>
    <s v="Strength"/>
    <n v="34.700000000000003"/>
    <n v="2.2000000000000002"/>
    <n v="4"/>
    <x v="1"/>
    <n v="24.34"/>
    <s v="Normal Weight"/>
    <n v="684"/>
    <x v="1"/>
  </r>
  <r>
    <n v="316"/>
    <s v="Noida"/>
    <n v="48"/>
    <s v="Female"/>
    <n v="62.9"/>
    <n v="1.58"/>
    <n v="192"/>
    <n v="124"/>
    <n v="69"/>
    <n v="1.98"/>
    <n v="1105"/>
    <s v="Strength"/>
    <n v="20"/>
    <n v="2.7"/>
    <n v="4"/>
    <x v="0"/>
    <n v="25.2"/>
    <s v="Overweight"/>
    <n v="558.08080808080808"/>
    <x v="2"/>
  </r>
  <r>
    <n v="317"/>
    <s v="Bengaluru"/>
    <n v="52"/>
    <s v="Male"/>
    <n v="85.6"/>
    <n v="1.74"/>
    <n v="182"/>
    <n v="145"/>
    <n v="56"/>
    <n v="1.84"/>
    <n v="1321"/>
    <s v="Yoga"/>
    <n v="13.9"/>
    <n v="3.5"/>
    <n v="4"/>
    <x v="0"/>
    <n v="28.27"/>
    <s v="Overweight"/>
    <n v="717.93478260869563"/>
    <x v="0"/>
  </r>
  <r>
    <n v="318"/>
    <s v="Ahmedabad"/>
    <n v="50"/>
    <s v="Female"/>
    <n v="66.3"/>
    <n v="1.57"/>
    <n v="192"/>
    <n v="132"/>
    <n v="73"/>
    <n v="1.25"/>
    <n v="742"/>
    <s v="HIIT"/>
    <n v="31.6"/>
    <n v="1.6"/>
    <n v="2"/>
    <x v="2"/>
    <n v="26.9"/>
    <s v="Overweight"/>
    <n v="593.6"/>
    <x v="1"/>
  </r>
  <r>
    <n v="319"/>
    <s v="Ahmedabad"/>
    <n v="38"/>
    <s v="Male"/>
    <n v="61.3"/>
    <n v="1.97"/>
    <n v="177"/>
    <n v="146"/>
    <n v="51"/>
    <n v="1.37"/>
    <n v="1100"/>
    <s v="Cardio"/>
    <n v="23.5"/>
    <n v="2.8"/>
    <n v="3"/>
    <x v="2"/>
    <n v="15.8"/>
    <s v="Underweight"/>
    <n v="802.91970802919707"/>
    <x v="2"/>
  </r>
  <r>
    <n v="320"/>
    <s v="Delhi"/>
    <n v="49"/>
    <s v="Female"/>
    <n v="44.1"/>
    <n v="1.65"/>
    <n v="189"/>
    <n v="133"/>
    <n v="74"/>
    <n v="1.1599999999999999"/>
    <n v="694"/>
    <s v="HIIT"/>
    <n v="26.7"/>
    <n v="1.8"/>
    <n v="4"/>
    <x v="1"/>
    <n v="16.2"/>
    <s v="Underweight"/>
    <n v="598.27586206896558"/>
    <x v="1"/>
  </r>
  <r>
    <n v="321"/>
    <s v="Chennai"/>
    <n v="40"/>
    <s v="Male"/>
    <n v="63.8"/>
    <n v="1.62"/>
    <n v="185"/>
    <n v="143"/>
    <n v="72"/>
    <n v="1.3"/>
    <n v="1022"/>
    <s v="HIIT"/>
    <n v="20.8"/>
    <n v="3.4"/>
    <n v="2"/>
    <x v="2"/>
    <n v="24.31"/>
    <s v="Normal Weight"/>
    <n v="786.15384615384608"/>
    <x v="0"/>
  </r>
  <r>
    <n v="322"/>
    <s v="Kolkata"/>
    <n v="50"/>
    <s v="Female"/>
    <n v="55.4"/>
    <n v="1.55"/>
    <n v="175"/>
    <n v="122"/>
    <n v="65"/>
    <n v="1.85"/>
    <n v="1016"/>
    <s v="Strength"/>
    <n v="18.5"/>
    <n v="2.7"/>
    <n v="4"/>
    <x v="0"/>
    <n v="23.06"/>
    <s v="Normal Weight"/>
    <n v="549.18918918918916"/>
    <x v="2"/>
  </r>
  <r>
    <n v="323"/>
    <s v="Delhi"/>
    <n v="20"/>
    <s v="Female"/>
    <n v="74.7"/>
    <n v="1.58"/>
    <n v="172"/>
    <n v="166"/>
    <n v="62"/>
    <n v="1.04"/>
    <n v="863"/>
    <s v="Strength"/>
    <n v="32.799999999999997"/>
    <n v="2.4"/>
    <n v="3"/>
    <x v="1"/>
    <n v="29.92"/>
    <s v="Overweight"/>
    <n v="829.80769230769226"/>
    <x v="1"/>
  </r>
  <r>
    <n v="324"/>
    <s v="Noida"/>
    <n v="35"/>
    <s v="Female"/>
    <n v="78"/>
    <n v="1.67"/>
    <n v="198"/>
    <n v="168"/>
    <n v="57"/>
    <n v="1.1299999999999999"/>
    <n v="949"/>
    <s v="Strength"/>
    <n v="33.299999999999997"/>
    <n v="2.5"/>
    <n v="4"/>
    <x v="1"/>
    <n v="27.97"/>
    <s v="Overweight"/>
    <n v="839.8230088495576"/>
    <x v="1"/>
  </r>
  <r>
    <n v="325"/>
    <s v="Delhi"/>
    <n v="42"/>
    <s v="Female"/>
    <n v="57.5"/>
    <n v="1.67"/>
    <n v="192"/>
    <n v="149"/>
    <n v="55"/>
    <n v="1.1399999999999999"/>
    <n v="764"/>
    <s v="Yoga"/>
    <n v="34.1"/>
    <n v="2.4"/>
    <n v="2"/>
    <x v="2"/>
    <n v="20.62"/>
    <s v="Normal Weight"/>
    <n v="670.17543859649129"/>
    <x v="1"/>
  </r>
  <r>
    <n v="326"/>
    <s v="Noida"/>
    <n v="59"/>
    <s v="Female"/>
    <n v="60.7"/>
    <n v="1.73"/>
    <n v="185"/>
    <n v="154"/>
    <n v="55"/>
    <n v="1.03"/>
    <n v="714"/>
    <s v="Yoga"/>
    <n v="33.799999999999997"/>
    <n v="2.5"/>
    <n v="3"/>
    <x v="1"/>
    <n v="20.28"/>
    <s v="Normal Weight"/>
    <n v="693.20388349514565"/>
    <x v="1"/>
  </r>
  <r>
    <n v="327"/>
    <s v="Mumbai"/>
    <n v="48"/>
    <s v="Male"/>
    <n v="69"/>
    <n v="1.74"/>
    <n v="160"/>
    <n v="167"/>
    <n v="58"/>
    <n v="1.48"/>
    <n v="1223"/>
    <s v="HIIT"/>
    <n v="30"/>
    <n v="2.2999999999999998"/>
    <n v="3"/>
    <x v="1"/>
    <n v="22.79"/>
    <s v="Normal Weight"/>
    <n v="826.35135135135135"/>
    <x v="1"/>
  </r>
  <r>
    <n v="328"/>
    <s v="Ahmedabad"/>
    <n v="20"/>
    <s v="Female"/>
    <n v="75.8"/>
    <n v="1.78"/>
    <n v="197"/>
    <n v="133"/>
    <n v="53"/>
    <n v="1.42"/>
    <n v="944"/>
    <s v="HIIT"/>
    <n v="27.4"/>
    <n v="2"/>
    <n v="4"/>
    <x v="1"/>
    <n v="23.92"/>
    <s v="Normal Weight"/>
    <n v="664.78873239436621"/>
    <x v="1"/>
  </r>
  <r>
    <n v="329"/>
    <s v="Mumbai"/>
    <n v="57"/>
    <s v="Female"/>
    <n v="75.7"/>
    <n v="1.63"/>
    <n v="161"/>
    <n v="131"/>
    <n v="60"/>
    <n v="0.69"/>
    <n v="407"/>
    <s v="Cardio"/>
    <n v="32.6"/>
    <n v="2.2999999999999998"/>
    <n v="3"/>
    <x v="2"/>
    <n v="28.49"/>
    <s v="Overweight"/>
    <n v="589.85507246376812"/>
    <x v="1"/>
  </r>
  <r>
    <n v="330"/>
    <s v="Gurgaon"/>
    <n v="41"/>
    <s v="Female"/>
    <n v="71.2"/>
    <n v="1.64"/>
    <n v="165"/>
    <n v="147"/>
    <n v="54"/>
    <n v="1.42"/>
    <n v="939"/>
    <s v="HIIT"/>
    <n v="30.9"/>
    <n v="2.2999999999999998"/>
    <n v="3"/>
    <x v="1"/>
    <n v="26.47"/>
    <s v="Overweight"/>
    <n v="661.26760563380287"/>
    <x v="1"/>
  </r>
  <r>
    <n v="331"/>
    <s v="Chennai"/>
    <n v="49"/>
    <s v="Male"/>
    <n v="85"/>
    <n v="1.68"/>
    <n v="197"/>
    <n v="163"/>
    <n v="74"/>
    <n v="1.82"/>
    <n v="1468"/>
    <s v="HIIT"/>
    <n v="11.3"/>
    <n v="3.5"/>
    <n v="4"/>
    <x v="0"/>
    <n v="30.12"/>
    <s v="Obesity"/>
    <n v="806.5934065934066"/>
    <x v="0"/>
  </r>
  <r>
    <n v="332"/>
    <s v="Kolkata"/>
    <n v="39"/>
    <s v="Female"/>
    <n v="63.6"/>
    <n v="1.56"/>
    <n v="183"/>
    <n v="148"/>
    <n v="66"/>
    <n v="1.22"/>
    <n v="903"/>
    <s v="Strength"/>
    <n v="34.799999999999997"/>
    <n v="2.4"/>
    <n v="2"/>
    <x v="2"/>
    <n v="26.13"/>
    <s v="Overweight"/>
    <n v="740.1639344262295"/>
    <x v="1"/>
  </r>
  <r>
    <n v="333"/>
    <s v="Noida"/>
    <n v="40"/>
    <s v="Male"/>
    <n v="73.2"/>
    <n v="1.94"/>
    <n v="177"/>
    <n v="162"/>
    <n v="69"/>
    <n v="0.81"/>
    <n v="722"/>
    <s v="Strength"/>
    <n v="29"/>
    <n v="2.4"/>
    <n v="2"/>
    <x v="2"/>
    <n v="19.45"/>
    <s v="Normal Weight"/>
    <n v="891.35802469135797"/>
    <x v="1"/>
  </r>
  <r>
    <n v="334"/>
    <s v="Kolkata"/>
    <n v="19"/>
    <s v="Female"/>
    <n v="48.3"/>
    <n v="1.52"/>
    <n v="186"/>
    <n v="136"/>
    <n v="56"/>
    <n v="0.96"/>
    <n v="653"/>
    <s v="Strength"/>
    <n v="26.3"/>
    <n v="1.6"/>
    <n v="2"/>
    <x v="2"/>
    <n v="20.91"/>
    <s v="Normal Weight"/>
    <n v="680.20833333333337"/>
    <x v="1"/>
  </r>
  <r>
    <n v="335"/>
    <s v="Noida"/>
    <n v="44"/>
    <s v="Female"/>
    <n v="42.8"/>
    <n v="1.78"/>
    <n v="167"/>
    <n v="159"/>
    <n v="64"/>
    <n v="1.49"/>
    <n v="1066"/>
    <s v="Strength"/>
    <n v="25.3"/>
    <n v="2.6"/>
    <n v="3"/>
    <x v="1"/>
    <n v="13.51"/>
    <s v="Underweight"/>
    <n v="715.43624161073831"/>
    <x v="2"/>
  </r>
  <r>
    <n v="336"/>
    <s v="Bengaluru"/>
    <n v="59"/>
    <s v="Male"/>
    <n v="88.1"/>
    <n v="1.76"/>
    <n v="187"/>
    <n v="168"/>
    <n v="74"/>
    <n v="1.35"/>
    <n v="1123"/>
    <s v="Strength"/>
    <n v="26.9"/>
    <n v="3"/>
    <n v="3"/>
    <x v="1"/>
    <n v="28.44"/>
    <s v="Overweight"/>
    <n v="831.85185185185185"/>
    <x v="2"/>
  </r>
  <r>
    <n v="337"/>
    <s v="Delhi"/>
    <n v="19"/>
    <s v="Female"/>
    <n v="72.400000000000006"/>
    <n v="1.75"/>
    <n v="169"/>
    <n v="140"/>
    <n v="64"/>
    <n v="1.2"/>
    <n v="840"/>
    <s v="Cardio"/>
    <n v="31"/>
    <n v="1.7"/>
    <n v="4"/>
    <x v="1"/>
    <n v="23.64"/>
    <s v="Normal Weight"/>
    <n v="700"/>
    <x v="1"/>
  </r>
  <r>
    <n v="338"/>
    <s v="Gurgaon"/>
    <n v="43"/>
    <s v="Male"/>
    <n v="73.2"/>
    <n v="1.88"/>
    <n v="176"/>
    <n v="142"/>
    <n v="63"/>
    <n v="1.17"/>
    <n v="822"/>
    <s v="Cardio"/>
    <n v="29.4"/>
    <n v="3.3"/>
    <n v="3"/>
    <x v="2"/>
    <n v="20.71"/>
    <s v="Normal Weight"/>
    <n v="702.56410256410265"/>
    <x v="0"/>
  </r>
  <r>
    <n v="339"/>
    <s v="Ahmedabad"/>
    <n v="34"/>
    <s v="Male"/>
    <n v="110.5"/>
    <n v="1.86"/>
    <n v="188"/>
    <n v="139"/>
    <n v="62"/>
    <n v="1.42"/>
    <n v="1086"/>
    <s v="Cardio"/>
    <n v="22.3"/>
    <n v="3.6"/>
    <n v="2"/>
    <x v="2"/>
    <n v="31.94"/>
    <s v="Obesity"/>
    <n v="764.78873239436621"/>
    <x v="0"/>
  </r>
  <r>
    <n v="340"/>
    <s v="Noida"/>
    <n v="57"/>
    <s v="Female"/>
    <n v="46.1"/>
    <n v="1.76"/>
    <n v="165"/>
    <n v="130"/>
    <n v="60"/>
    <n v="1.44"/>
    <n v="842"/>
    <s v="Strength"/>
    <n v="25.8"/>
    <n v="1.7"/>
    <n v="3"/>
    <x v="1"/>
    <n v="14.88"/>
    <s v="Underweight"/>
    <n v="584.72222222222229"/>
    <x v="1"/>
  </r>
  <r>
    <n v="341"/>
    <s v="Kolkata"/>
    <n v="50"/>
    <s v="Male"/>
    <n v="90.8"/>
    <n v="1.71"/>
    <n v="173"/>
    <n v="153"/>
    <n v="62"/>
    <n v="1.07"/>
    <n v="810"/>
    <s v="Yoga"/>
    <n v="22.6"/>
    <n v="3.4"/>
    <n v="4"/>
    <x v="1"/>
    <n v="31.05"/>
    <s v="Obesity"/>
    <n v="757.00934579439252"/>
    <x v="0"/>
  </r>
  <r>
    <n v="342"/>
    <s v="Gurgaon"/>
    <n v="26"/>
    <s v="Female"/>
    <n v="59.3"/>
    <n v="1.51"/>
    <n v="181"/>
    <n v="129"/>
    <n v="71"/>
    <n v="1.7"/>
    <n v="1096"/>
    <s v="Strength"/>
    <n v="15.1"/>
    <n v="2.7"/>
    <n v="5"/>
    <x v="0"/>
    <n v="26.01"/>
    <s v="Overweight"/>
    <n v="644.70588235294122"/>
    <x v="2"/>
  </r>
  <r>
    <n v="343"/>
    <s v="Hyderabad"/>
    <n v="56"/>
    <s v="Female"/>
    <n v="45.1"/>
    <n v="1.73"/>
    <n v="165"/>
    <n v="129"/>
    <n v="73"/>
    <n v="0.83"/>
    <n v="482"/>
    <s v="Strength"/>
    <n v="25.4"/>
    <n v="2.6"/>
    <n v="3"/>
    <x v="2"/>
    <n v="15.07"/>
    <s v="Underweight"/>
    <n v="580.72289156626505"/>
    <x v="2"/>
  </r>
  <r>
    <n v="344"/>
    <s v="Hyderabad"/>
    <n v="46"/>
    <s v="Male"/>
    <n v="45"/>
    <n v="1.77"/>
    <n v="185"/>
    <n v="162"/>
    <n v="58"/>
    <n v="1.48"/>
    <n v="1187"/>
    <s v="Cardio"/>
    <n v="29.1"/>
    <n v="3.6"/>
    <n v="3"/>
    <x v="1"/>
    <n v="14.36"/>
    <s v="Underweight"/>
    <n v="802.02702702702709"/>
    <x v="0"/>
  </r>
  <r>
    <n v="345"/>
    <s v="Mumbai"/>
    <n v="59"/>
    <s v="Male"/>
    <n v="89.4"/>
    <n v="1.62"/>
    <n v="198"/>
    <n v="125"/>
    <n v="59"/>
    <n v="1.43"/>
    <n v="885"/>
    <s v="Strength"/>
    <n v="23.5"/>
    <n v="3.6"/>
    <n v="3"/>
    <x v="1"/>
    <n v="34.06"/>
    <s v="Obesity"/>
    <n v="618.88111888111894"/>
    <x v="0"/>
  </r>
  <r>
    <n v="346"/>
    <s v="Ahmedabad"/>
    <n v="43"/>
    <s v="Male"/>
    <n v="127.7"/>
    <n v="1.69"/>
    <n v="171"/>
    <n v="155"/>
    <n v="53"/>
    <n v="1.1399999999999999"/>
    <n v="875"/>
    <s v="Cardio"/>
    <n v="24.1"/>
    <n v="2.9"/>
    <n v="3"/>
    <x v="1"/>
    <n v="44.71"/>
    <s v="Obesity"/>
    <n v="767.54385964912285"/>
    <x v="2"/>
  </r>
  <r>
    <n v="347"/>
    <s v="Bengaluru"/>
    <n v="52"/>
    <s v="Male"/>
    <n v="70.900000000000006"/>
    <n v="1.72"/>
    <n v="194"/>
    <n v="143"/>
    <n v="66"/>
    <n v="1.31"/>
    <n v="927"/>
    <s v="Strength"/>
    <n v="20.2"/>
    <n v="2.6"/>
    <n v="3"/>
    <x v="1"/>
    <n v="23.97"/>
    <s v="Normal Weight"/>
    <n v="707.63358778625957"/>
    <x v="2"/>
  </r>
  <r>
    <n v="348"/>
    <s v="Kolkata"/>
    <n v="42"/>
    <s v="Female"/>
    <n v="49.2"/>
    <n v="1.5"/>
    <n v="173"/>
    <n v="131"/>
    <n v="63"/>
    <n v="1.1499999999999999"/>
    <n v="678"/>
    <s v="HIIT"/>
    <n v="27.7"/>
    <n v="1.5"/>
    <n v="3"/>
    <x v="1"/>
    <n v="21.87"/>
    <s v="Normal Weight"/>
    <n v="589.56521739130437"/>
    <x v="1"/>
  </r>
  <r>
    <n v="349"/>
    <s v="Delhi"/>
    <n v="41"/>
    <s v="Female"/>
    <n v="62.3"/>
    <n v="1.79"/>
    <n v="181"/>
    <n v="162"/>
    <n v="73"/>
    <n v="1.99"/>
    <n v="1451"/>
    <s v="Yoga"/>
    <n v="19"/>
    <n v="2.7"/>
    <n v="5"/>
    <x v="0"/>
    <n v="19.440000000000001"/>
    <s v="Normal Weight"/>
    <n v="729.1457286432161"/>
    <x v="2"/>
  </r>
  <r>
    <n v="350"/>
    <s v="Delhi"/>
    <n v="30"/>
    <s v="Male"/>
    <n v="64.099999999999994"/>
    <n v="1.87"/>
    <n v="182"/>
    <n v="142"/>
    <n v="67"/>
    <n v="0.64"/>
    <n v="500"/>
    <s v="Yoga"/>
    <n v="26.2"/>
    <n v="2.1"/>
    <n v="2"/>
    <x v="2"/>
    <n v="18.329999999999998"/>
    <s v="Underweight"/>
    <n v="781.25"/>
    <x v="1"/>
  </r>
  <r>
    <n v="351"/>
    <s v="Kolkata"/>
    <n v="24"/>
    <s v="Female"/>
    <n v="69.7"/>
    <n v="1.75"/>
    <n v="166"/>
    <n v="146"/>
    <n v="60"/>
    <n v="1.41"/>
    <n v="1029"/>
    <s v="Cardio"/>
    <n v="32.5"/>
    <n v="2"/>
    <n v="3"/>
    <x v="2"/>
    <n v="22.76"/>
    <s v="Normal Weight"/>
    <n v="729.78723404255322"/>
    <x v="1"/>
  </r>
  <r>
    <n v="352"/>
    <s v="Chennai"/>
    <n v="53"/>
    <s v="Female"/>
    <n v="56.9"/>
    <n v="1.59"/>
    <n v="199"/>
    <n v="164"/>
    <n v="65"/>
    <n v="1.49"/>
    <n v="1100"/>
    <s v="HIIT"/>
    <n v="29.5"/>
    <n v="2"/>
    <n v="3"/>
    <x v="1"/>
    <n v="22.51"/>
    <s v="Normal Weight"/>
    <n v="738.255033557047"/>
    <x v="1"/>
  </r>
  <r>
    <n v="353"/>
    <s v="Bengaluru"/>
    <n v="37"/>
    <s v="Female"/>
    <n v="53"/>
    <n v="1.71"/>
    <n v="184"/>
    <n v="156"/>
    <n v="50"/>
    <n v="1.1299999999999999"/>
    <n v="881"/>
    <s v="Yoga"/>
    <n v="28.1"/>
    <n v="1.7"/>
    <n v="4"/>
    <x v="1"/>
    <n v="18.13"/>
    <s v="Underweight"/>
    <n v="779.64601769911508"/>
    <x v="1"/>
  </r>
  <r>
    <n v="354"/>
    <s v="Gurgaon"/>
    <n v="18"/>
    <s v="Female"/>
    <n v="72.7"/>
    <n v="1.55"/>
    <n v="172"/>
    <n v="125"/>
    <n v="56"/>
    <n v="0.84"/>
    <n v="525"/>
    <s v="Cardio"/>
    <n v="29.8"/>
    <n v="2"/>
    <n v="3"/>
    <x v="2"/>
    <n v="30.26"/>
    <s v="Obesity"/>
    <n v="625"/>
    <x v="1"/>
  </r>
  <r>
    <n v="355"/>
    <s v="Noida"/>
    <n v="25"/>
    <s v="Male"/>
    <n v="76.5"/>
    <n v="1.96"/>
    <n v="180"/>
    <n v="120"/>
    <n v="59"/>
    <n v="0.67"/>
    <n v="442"/>
    <s v="Strength"/>
    <n v="23.2"/>
    <n v="2.2999999999999998"/>
    <n v="3"/>
    <x v="2"/>
    <n v="19.91"/>
    <s v="Normal Weight"/>
    <n v="659.70149253731336"/>
    <x v="1"/>
  </r>
  <r>
    <n v="356"/>
    <s v="Chennai"/>
    <n v="33"/>
    <s v="Male"/>
    <n v="113.6"/>
    <n v="1.99"/>
    <n v="169"/>
    <n v="125"/>
    <n v="58"/>
    <n v="1.38"/>
    <n v="949"/>
    <s v="Strength"/>
    <n v="28.4"/>
    <n v="3.4"/>
    <n v="2"/>
    <x v="2"/>
    <n v="28.69"/>
    <s v="Overweight"/>
    <n v="687.68115942028987"/>
    <x v="0"/>
  </r>
  <r>
    <n v="357"/>
    <s v="Noida"/>
    <n v="31"/>
    <s v="Female"/>
    <n v="62.5"/>
    <n v="1.62"/>
    <n v="168"/>
    <n v="169"/>
    <n v="74"/>
    <n v="1.56"/>
    <n v="1318"/>
    <s v="HIIT"/>
    <n v="16.5"/>
    <n v="2.7"/>
    <n v="4"/>
    <x v="0"/>
    <n v="23.81"/>
    <s v="Normal Weight"/>
    <n v="844.8717948717948"/>
    <x v="2"/>
  </r>
  <r>
    <n v="358"/>
    <s v="Noida"/>
    <n v="29"/>
    <s v="Male"/>
    <n v="95.2"/>
    <n v="1.86"/>
    <n v="174"/>
    <n v="141"/>
    <n v="52"/>
    <n v="0.64"/>
    <n v="496"/>
    <s v="Yoga"/>
    <n v="26.6"/>
    <n v="2.5"/>
    <n v="2"/>
    <x v="2"/>
    <n v="27.52"/>
    <s v="Overweight"/>
    <n v="775"/>
    <x v="1"/>
  </r>
  <r>
    <n v="359"/>
    <s v="Chennai"/>
    <n v="40"/>
    <s v="Male"/>
    <n v="51.7"/>
    <n v="1.82"/>
    <n v="161"/>
    <n v="160"/>
    <n v="71"/>
    <n v="0.9"/>
    <n v="792"/>
    <s v="Strength"/>
    <n v="21.4"/>
    <n v="3"/>
    <n v="3"/>
    <x v="2"/>
    <n v="15.61"/>
    <s v="Underweight"/>
    <n v="880"/>
    <x v="2"/>
  </r>
  <r>
    <n v="360"/>
    <s v="Mumbai"/>
    <n v="32"/>
    <s v="Male"/>
    <n v="105.3"/>
    <n v="1.67"/>
    <n v="184"/>
    <n v="143"/>
    <n v="72"/>
    <n v="0.56999999999999995"/>
    <n v="448"/>
    <s v="Cardio"/>
    <n v="26.9"/>
    <n v="2.9"/>
    <n v="3"/>
    <x v="2"/>
    <n v="37.76"/>
    <s v="Obesity"/>
    <n v="785.96491228070181"/>
    <x v="2"/>
  </r>
  <r>
    <n v="361"/>
    <s v="Hyderabad"/>
    <n v="45"/>
    <s v="Female"/>
    <n v="71.2"/>
    <n v="1.68"/>
    <n v="172"/>
    <n v="144"/>
    <n v="63"/>
    <n v="1.37"/>
    <n v="888"/>
    <s v="Strength"/>
    <n v="34.1"/>
    <n v="1.6"/>
    <n v="3"/>
    <x v="2"/>
    <n v="25.23"/>
    <s v="Overweight"/>
    <n v="648.17518248175179"/>
    <x v="1"/>
  </r>
  <r>
    <n v="362"/>
    <s v="Noida"/>
    <n v="51"/>
    <s v="Female"/>
    <n v="78.099999999999994"/>
    <n v="1.51"/>
    <n v="193"/>
    <n v="134"/>
    <n v="74"/>
    <n v="0.92"/>
    <n v="555"/>
    <s v="Strength"/>
    <n v="31.1"/>
    <n v="2.6"/>
    <n v="3"/>
    <x v="2"/>
    <n v="34.25"/>
    <s v="Obesity"/>
    <n v="603.26086956521738"/>
    <x v="2"/>
  </r>
  <r>
    <n v="363"/>
    <s v="Chennai"/>
    <n v="19"/>
    <s v="Female"/>
    <n v="50.6"/>
    <n v="1.68"/>
    <n v="193"/>
    <n v="145"/>
    <n v="64"/>
    <n v="1.21"/>
    <n v="877"/>
    <s v="Yoga"/>
    <n v="30.6"/>
    <n v="2.1"/>
    <n v="3"/>
    <x v="1"/>
    <n v="17.93"/>
    <s v="Underweight"/>
    <n v="724.7933884297521"/>
    <x v="1"/>
  </r>
  <r>
    <n v="364"/>
    <s v="Chennai"/>
    <n v="49"/>
    <s v="Male"/>
    <n v="70.2"/>
    <n v="1.89"/>
    <n v="194"/>
    <n v="127"/>
    <n v="51"/>
    <n v="0.7"/>
    <n v="440"/>
    <s v="Yoga"/>
    <n v="29.6"/>
    <n v="2.6"/>
    <n v="3"/>
    <x v="2"/>
    <n v="19.649999999999999"/>
    <s v="Normal Weight"/>
    <n v="628.57142857142856"/>
    <x v="2"/>
  </r>
  <r>
    <n v="365"/>
    <s v="Pune"/>
    <n v="40"/>
    <s v="Female"/>
    <n v="62.6"/>
    <n v="1.53"/>
    <n v="197"/>
    <n v="143"/>
    <n v="73"/>
    <n v="1.93"/>
    <n v="1380"/>
    <s v="Cardio"/>
    <n v="18.100000000000001"/>
    <n v="2.7"/>
    <n v="5"/>
    <x v="0"/>
    <n v="26.74"/>
    <s v="Overweight"/>
    <n v="715.02590673575128"/>
    <x v="2"/>
  </r>
  <r>
    <n v="366"/>
    <s v="Mumbai"/>
    <n v="39"/>
    <s v="Female"/>
    <n v="60.6"/>
    <n v="1.65"/>
    <n v="162"/>
    <n v="167"/>
    <n v="63"/>
    <n v="0.92"/>
    <n v="768"/>
    <s v="HIIT"/>
    <n v="27.6"/>
    <n v="1.7"/>
    <n v="3"/>
    <x v="2"/>
    <n v="22.26"/>
    <s v="Normal Weight"/>
    <n v="834.78260869565213"/>
    <x v="1"/>
  </r>
  <r>
    <n v="367"/>
    <s v="Ahmedabad"/>
    <n v="42"/>
    <s v="Male"/>
    <n v="76.400000000000006"/>
    <n v="1.97"/>
    <n v="165"/>
    <n v="157"/>
    <n v="65"/>
    <n v="1.1399999999999999"/>
    <n v="886"/>
    <s v="HIIT"/>
    <n v="22.9"/>
    <n v="2.6"/>
    <n v="3"/>
    <x v="1"/>
    <n v="19.690000000000001"/>
    <s v="Normal Weight"/>
    <n v="777.19298245614038"/>
    <x v="2"/>
  </r>
  <r>
    <n v="368"/>
    <s v="Pune"/>
    <n v="39"/>
    <s v="Female"/>
    <n v="63.3"/>
    <n v="1.71"/>
    <n v="178"/>
    <n v="125"/>
    <n v="56"/>
    <n v="1.88"/>
    <n v="1175"/>
    <s v="Strength"/>
    <n v="18.5"/>
    <n v="2.7"/>
    <n v="4"/>
    <x v="0"/>
    <n v="21.65"/>
    <s v="Normal Weight"/>
    <n v="625"/>
    <x v="2"/>
  </r>
  <r>
    <n v="369"/>
    <s v="Pune"/>
    <n v="39"/>
    <s v="Female"/>
    <n v="68.599999999999994"/>
    <n v="1.64"/>
    <n v="162"/>
    <n v="154"/>
    <n v="53"/>
    <n v="1.33"/>
    <n v="1024"/>
    <s v="Cardio"/>
    <n v="32.4"/>
    <n v="1.5"/>
    <n v="3"/>
    <x v="1"/>
    <n v="25.51"/>
    <s v="Overweight"/>
    <n v="769.92481203007515"/>
    <x v="1"/>
  </r>
  <r>
    <n v="370"/>
    <s v="Kolkata"/>
    <n v="59"/>
    <s v="Male"/>
    <n v="123.3"/>
    <n v="1.88"/>
    <n v="177"/>
    <n v="161"/>
    <n v="67"/>
    <n v="1.3"/>
    <n v="1036"/>
    <s v="HIIT"/>
    <n v="23"/>
    <n v="2.6"/>
    <n v="4"/>
    <x v="1"/>
    <n v="34.89"/>
    <s v="Obesity"/>
    <n v="796.92307692307691"/>
    <x v="2"/>
  </r>
  <r>
    <n v="371"/>
    <s v="Hyderabad"/>
    <n v="23"/>
    <s v="Male"/>
    <n v="107"/>
    <n v="1.94"/>
    <n v="198"/>
    <n v="120"/>
    <n v="73"/>
    <n v="1.35"/>
    <n v="891"/>
    <s v="HIIT"/>
    <n v="23.5"/>
    <n v="2.9"/>
    <n v="2"/>
    <x v="2"/>
    <n v="28.43"/>
    <s v="Overweight"/>
    <n v="660"/>
    <x v="2"/>
  </r>
  <r>
    <n v="372"/>
    <s v="Chennai"/>
    <n v="32"/>
    <s v="Male"/>
    <n v="68.3"/>
    <n v="1.92"/>
    <n v="168"/>
    <n v="165"/>
    <n v="54"/>
    <n v="1.42"/>
    <n v="1289"/>
    <s v="Strength"/>
    <n v="29.9"/>
    <n v="3.5"/>
    <n v="2"/>
    <x v="2"/>
    <n v="18.53"/>
    <s v="Normal Weight"/>
    <n v="907.74647887323943"/>
    <x v="0"/>
  </r>
  <r>
    <n v="373"/>
    <s v="Hyderabad"/>
    <n v="54"/>
    <s v="Female"/>
    <n v="47.8"/>
    <n v="1.6"/>
    <n v="171"/>
    <n v="155"/>
    <n v="55"/>
    <n v="1.19"/>
    <n v="830"/>
    <s v="Cardio"/>
    <n v="26"/>
    <n v="2.2999999999999998"/>
    <n v="4"/>
    <x v="1"/>
    <n v="18.670000000000002"/>
    <s v="Normal Weight"/>
    <n v="697.47899159663871"/>
    <x v="1"/>
  </r>
  <r>
    <n v="374"/>
    <s v="Bengaluru"/>
    <n v="50"/>
    <s v="Female"/>
    <n v="58.4"/>
    <n v="1.79"/>
    <n v="164"/>
    <n v="131"/>
    <n v="56"/>
    <n v="1.6"/>
    <n v="943"/>
    <s v="HIIT"/>
    <n v="17"/>
    <n v="2.7"/>
    <n v="4"/>
    <x v="0"/>
    <n v="18.23"/>
    <s v="Underweight"/>
    <n v="589.375"/>
    <x v="2"/>
  </r>
  <r>
    <n v="375"/>
    <s v="Kolkata"/>
    <n v="25"/>
    <s v="Female"/>
    <n v="74.3"/>
    <n v="1.71"/>
    <n v="162"/>
    <n v="157"/>
    <n v="64"/>
    <n v="1.43"/>
    <n v="1123"/>
    <s v="Yoga"/>
    <n v="25.6"/>
    <n v="1.6"/>
    <n v="3"/>
    <x v="1"/>
    <n v="25.41"/>
    <s v="Overweight"/>
    <n v="785.31468531468533"/>
    <x v="1"/>
  </r>
  <r>
    <n v="376"/>
    <s v="Ahmedabad"/>
    <n v="22"/>
    <s v="Male"/>
    <n v="106.8"/>
    <n v="1.82"/>
    <n v="170"/>
    <n v="130"/>
    <n v="50"/>
    <n v="1"/>
    <n v="715"/>
    <s v="Yoga"/>
    <n v="28.2"/>
    <n v="2.2999999999999998"/>
    <n v="4"/>
    <x v="1"/>
    <n v="32.24"/>
    <s v="Obesity"/>
    <n v="715"/>
    <x v="1"/>
  </r>
  <r>
    <n v="377"/>
    <s v="Hyderabad"/>
    <n v="56"/>
    <s v="Male"/>
    <n v="125.5"/>
    <n v="1.8"/>
    <n v="189"/>
    <n v="131"/>
    <n v="73"/>
    <n v="1.26"/>
    <n v="817"/>
    <s v="Strength"/>
    <n v="20.9"/>
    <n v="2.7"/>
    <n v="4"/>
    <x v="1"/>
    <n v="38.729999999999997"/>
    <s v="Obesity"/>
    <n v="648.41269841269843"/>
    <x v="2"/>
  </r>
  <r>
    <n v="378"/>
    <s v="Delhi"/>
    <n v="21"/>
    <s v="Female"/>
    <n v="55.2"/>
    <n v="1.55"/>
    <n v="163"/>
    <n v="161"/>
    <n v="53"/>
    <n v="1.37"/>
    <n v="1103"/>
    <s v="Strength"/>
    <n v="31.7"/>
    <n v="1.7"/>
    <n v="4"/>
    <x v="1"/>
    <n v="22.98"/>
    <s v="Normal Weight"/>
    <n v="805.10948905109478"/>
    <x v="1"/>
  </r>
  <r>
    <n v="379"/>
    <s v="Noida"/>
    <n v="23"/>
    <s v="Female"/>
    <n v="71.400000000000006"/>
    <n v="1.72"/>
    <n v="164"/>
    <n v="169"/>
    <n v="74"/>
    <n v="1.25"/>
    <n v="1056"/>
    <s v="Strength"/>
    <n v="25.6"/>
    <n v="1.5"/>
    <n v="2"/>
    <x v="2"/>
    <n v="24.13"/>
    <s v="Normal Weight"/>
    <n v="844.8"/>
    <x v="1"/>
  </r>
  <r>
    <n v="380"/>
    <s v="Bengaluru"/>
    <n v="49"/>
    <s v="Male"/>
    <n v="77.7"/>
    <n v="1.61"/>
    <n v="160"/>
    <n v="158"/>
    <n v="50"/>
    <n v="1.03"/>
    <n v="806"/>
    <s v="Strength"/>
    <n v="26.7"/>
    <n v="3.4"/>
    <n v="3"/>
    <x v="1"/>
    <n v="29.98"/>
    <s v="Overweight"/>
    <n v="782.52427184466012"/>
    <x v="0"/>
  </r>
  <r>
    <n v="381"/>
    <s v="Mumbai"/>
    <n v="47"/>
    <s v="Male"/>
    <n v="88.4"/>
    <n v="1.6"/>
    <n v="186"/>
    <n v="126"/>
    <n v="60"/>
    <n v="1.86"/>
    <n v="1160"/>
    <s v="HIIT"/>
    <n v="14.2"/>
    <n v="3.5"/>
    <n v="5"/>
    <x v="0"/>
    <n v="34.53"/>
    <s v="Obesity"/>
    <n v="623.6559139784946"/>
    <x v="0"/>
  </r>
  <r>
    <n v="382"/>
    <s v="Ahmedabad"/>
    <n v="52"/>
    <s v="Male"/>
    <n v="104.8"/>
    <n v="1.99"/>
    <n v="187"/>
    <n v="130"/>
    <n v="67"/>
    <n v="0.93"/>
    <n v="598"/>
    <s v="Cardio"/>
    <n v="24"/>
    <n v="2"/>
    <n v="2"/>
    <x v="2"/>
    <n v="26.46"/>
    <s v="Overweight"/>
    <n v="643.01075268817203"/>
    <x v="1"/>
  </r>
  <r>
    <n v="383"/>
    <s v="Bengaluru"/>
    <n v="57"/>
    <s v="Male"/>
    <n v="82.2"/>
    <n v="1.69"/>
    <n v="188"/>
    <n v="155"/>
    <n v="63"/>
    <n v="1.1499999999999999"/>
    <n v="882"/>
    <s v="Strength"/>
    <n v="25.2"/>
    <n v="3.4"/>
    <n v="4"/>
    <x v="1"/>
    <n v="28.78"/>
    <s v="Overweight"/>
    <n v="766.95652173913049"/>
    <x v="0"/>
  </r>
  <r>
    <n v="384"/>
    <s v="Noida"/>
    <n v="33"/>
    <s v="Female"/>
    <n v="68.2"/>
    <n v="1.75"/>
    <n v="177"/>
    <n v="150"/>
    <n v="71"/>
    <n v="0.85"/>
    <n v="638"/>
    <s v="Strength"/>
    <n v="29"/>
    <n v="1.7"/>
    <n v="2"/>
    <x v="2"/>
    <n v="22.27"/>
    <s v="Normal Weight"/>
    <n v="750.58823529411768"/>
    <x v="1"/>
  </r>
  <r>
    <n v="385"/>
    <s v="Kolkata"/>
    <n v="30"/>
    <s v="Male"/>
    <n v="91.4"/>
    <n v="1.99"/>
    <n v="171"/>
    <n v="152"/>
    <n v="60"/>
    <n v="1.37"/>
    <n v="1145"/>
    <s v="HIIT"/>
    <n v="23"/>
    <n v="3.7"/>
    <n v="3"/>
    <x v="1"/>
    <n v="23.08"/>
    <s v="Normal Weight"/>
    <n v="835.76642335766417"/>
    <x v="0"/>
  </r>
  <r>
    <n v="386"/>
    <s v="Noida"/>
    <n v="59"/>
    <s v="Female"/>
    <n v="42.1"/>
    <n v="1.65"/>
    <n v="172"/>
    <n v="132"/>
    <n v="59"/>
    <n v="1.22"/>
    <n v="725"/>
    <s v="Strength"/>
    <n v="33"/>
    <n v="2.2000000000000002"/>
    <n v="2"/>
    <x v="2"/>
    <n v="15.46"/>
    <s v="Underweight"/>
    <n v="594.26229508196718"/>
    <x v="1"/>
  </r>
  <r>
    <n v="387"/>
    <s v="Pune"/>
    <n v="47"/>
    <s v="Female"/>
    <n v="68.7"/>
    <n v="1.76"/>
    <n v="161"/>
    <n v="137"/>
    <n v="66"/>
    <n v="1.37"/>
    <n v="845"/>
    <s v="Strength"/>
    <n v="27.7"/>
    <n v="2.4"/>
    <n v="3"/>
    <x v="1"/>
    <n v="22.18"/>
    <s v="Normal Weight"/>
    <n v="616.78832116788317"/>
    <x v="1"/>
  </r>
  <r>
    <n v="388"/>
    <s v="Noida"/>
    <n v="36"/>
    <s v="Female"/>
    <n v="47.2"/>
    <n v="1.74"/>
    <n v="196"/>
    <n v="160"/>
    <n v="53"/>
    <n v="1.5"/>
    <n v="1200"/>
    <s v="Cardio"/>
    <n v="32.200000000000003"/>
    <n v="1.6"/>
    <n v="4"/>
    <x v="1"/>
    <n v="15.59"/>
    <s v="Underweight"/>
    <n v="800"/>
    <x v="1"/>
  </r>
  <r>
    <n v="389"/>
    <s v="Pune"/>
    <n v="34"/>
    <s v="Male"/>
    <n v="92"/>
    <n v="1.76"/>
    <n v="175"/>
    <n v="143"/>
    <n v="73"/>
    <n v="0.73"/>
    <n v="574"/>
    <s v="Yoga"/>
    <n v="22.1"/>
    <n v="3.5"/>
    <n v="3"/>
    <x v="2"/>
    <n v="29.7"/>
    <s v="Overweight"/>
    <n v="786.30136986301375"/>
    <x v="0"/>
  </r>
  <r>
    <n v="390"/>
    <s v="Kolkata"/>
    <n v="36"/>
    <s v="Male"/>
    <n v="56.2"/>
    <n v="1.95"/>
    <n v="183"/>
    <n v="128"/>
    <n v="64"/>
    <n v="1.0900000000000001"/>
    <n v="767"/>
    <s v="Strength"/>
    <n v="22.5"/>
    <n v="3.4"/>
    <n v="4"/>
    <x v="1"/>
    <n v="14.78"/>
    <s v="Underweight"/>
    <n v="703.66972477064212"/>
    <x v="0"/>
  </r>
  <r>
    <n v="391"/>
    <s v="Gurgaon"/>
    <n v="45"/>
    <s v="Male"/>
    <n v="58.4"/>
    <n v="1.72"/>
    <n v="194"/>
    <n v="150"/>
    <n v="65"/>
    <n v="1.31"/>
    <n v="973"/>
    <s v="HIIT"/>
    <n v="23.4"/>
    <n v="3.1"/>
    <n v="4"/>
    <x v="1"/>
    <n v="19.739999999999998"/>
    <s v="Normal Weight"/>
    <n v="742.74809160305335"/>
    <x v="0"/>
  </r>
  <r>
    <n v="392"/>
    <s v="Pune"/>
    <n v="43"/>
    <s v="Male"/>
    <n v="82.9"/>
    <n v="1.95"/>
    <n v="181"/>
    <n v="160"/>
    <n v="70"/>
    <n v="1.9"/>
    <n v="1505"/>
    <s v="Cardio"/>
    <n v="12.9"/>
    <n v="3.5"/>
    <n v="5"/>
    <x v="0"/>
    <n v="21.8"/>
    <s v="Normal Weight"/>
    <n v="792.1052631578948"/>
    <x v="0"/>
  </r>
  <r>
    <n v="393"/>
    <s v="Mumbai"/>
    <n v="54"/>
    <s v="Female"/>
    <n v="66.900000000000006"/>
    <n v="1.74"/>
    <n v="195"/>
    <n v="129"/>
    <n v="62"/>
    <n v="1.24"/>
    <n v="720"/>
    <s v="HIIT"/>
    <n v="29.5"/>
    <n v="2.1"/>
    <n v="2"/>
    <x v="2"/>
    <n v="22.1"/>
    <s v="Normal Weight"/>
    <n v="580.64516129032256"/>
    <x v="1"/>
  </r>
  <r>
    <n v="394"/>
    <s v="Noida"/>
    <n v="43"/>
    <s v="Male"/>
    <n v="66.3"/>
    <n v="1.85"/>
    <n v="170"/>
    <n v="121"/>
    <n v="58"/>
    <n v="1.18"/>
    <n v="707"/>
    <s v="Cardio"/>
    <n v="27.5"/>
    <n v="3.2"/>
    <n v="2"/>
    <x v="2"/>
    <n v="19.37"/>
    <s v="Normal Weight"/>
    <n v="599.15254237288138"/>
    <x v="0"/>
  </r>
  <r>
    <n v="395"/>
    <s v="Noida"/>
    <n v="40"/>
    <s v="Male"/>
    <n v="93.6"/>
    <n v="1.93"/>
    <n v="188"/>
    <n v="157"/>
    <n v="60"/>
    <n v="1.38"/>
    <n v="1192"/>
    <s v="Cardio"/>
    <n v="22.1"/>
    <n v="2"/>
    <n v="3"/>
    <x v="2"/>
    <n v="25.13"/>
    <s v="Overweight"/>
    <n v="863.768115942029"/>
    <x v="1"/>
  </r>
  <r>
    <n v="396"/>
    <s v="Mumbai"/>
    <n v="26"/>
    <s v="Female"/>
    <n v="64.099999999999994"/>
    <n v="1.5"/>
    <n v="194"/>
    <n v="134"/>
    <n v="60"/>
    <n v="1.93"/>
    <n v="1293"/>
    <s v="Strength"/>
    <n v="15.1"/>
    <n v="2.7"/>
    <n v="5"/>
    <x v="0"/>
    <n v="28.49"/>
    <s v="Overweight"/>
    <n v="669.94818652849744"/>
    <x v="2"/>
  </r>
  <r>
    <n v="397"/>
    <s v="Delhi"/>
    <n v="29"/>
    <s v="Male"/>
    <n v="86.7"/>
    <n v="1.62"/>
    <n v="174"/>
    <n v="122"/>
    <n v="55"/>
    <n v="1.52"/>
    <n v="1020"/>
    <s v="Strength"/>
    <n v="13.9"/>
    <n v="3.5"/>
    <n v="4"/>
    <x v="0"/>
    <n v="33.04"/>
    <s v="Obesity"/>
    <n v="671.0526315789474"/>
    <x v="0"/>
  </r>
  <r>
    <n v="398"/>
    <s v="Chennai"/>
    <n v="18"/>
    <s v="Female"/>
    <n v="62"/>
    <n v="1.59"/>
    <n v="190"/>
    <n v="162"/>
    <n v="50"/>
    <n v="1.23"/>
    <n v="996"/>
    <s v="Strength"/>
    <n v="33.200000000000003"/>
    <n v="2.2000000000000002"/>
    <n v="4"/>
    <x v="1"/>
    <n v="24.52"/>
    <s v="Normal Weight"/>
    <n v="809.7560975609756"/>
    <x v="1"/>
  </r>
  <r>
    <n v="399"/>
    <s v="Gurgaon"/>
    <n v="18"/>
    <s v="Female"/>
    <n v="58.1"/>
    <n v="1.61"/>
    <n v="175"/>
    <n v="150"/>
    <n v="71"/>
    <n v="1.9"/>
    <n v="1425"/>
    <s v="Yoga"/>
    <n v="15.3"/>
    <n v="2.7"/>
    <n v="4"/>
    <x v="0"/>
    <n v="22.41"/>
    <s v="Normal Weight"/>
    <n v="750"/>
    <x v="2"/>
  </r>
  <r>
    <n v="400"/>
    <s v="Ahmedabad"/>
    <n v="51"/>
    <s v="Female"/>
    <n v="64.900000000000006"/>
    <n v="1.6"/>
    <n v="169"/>
    <n v="125"/>
    <n v="55"/>
    <n v="1.49"/>
    <n v="838"/>
    <s v="Yoga"/>
    <n v="31.1"/>
    <n v="2.5"/>
    <n v="4"/>
    <x v="1"/>
    <n v="25.35"/>
    <s v="Overweight"/>
    <n v="562.41610738255031"/>
    <x v="1"/>
  </r>
  <r>
    <n v="401"/>
    <s v="Pune"/>
    <n v="49"/>
    <s v="Female"/>
    <n v="69.3"/>
    <n v="1.62"/>
    <n v="191"/>
    <n v="122"/>
    <n v="62"/>
    <n v="1.1399999999999999"/>
    <n v="626"/>
    <s v="HIIT"/>
    <n v="28.8"/>
    <n v="1.9"/>
    <n v="4"/>
    <x v="1"/>
    <n v="26.41"/>
    <s v="Overweight"/>
    <n v="549.12280701754389"/>
    <x v="1"/>
  </r>
  <r>
    <n v="402"/>
    <s v="Mumbai"/>
    <n v="42"/>
    <s v="Female"/>
    <n v="42.7"/>
    <n v="1.74"/>
    <n v="161"/>
    <n v="130"/>
    <n v="71"/>
    <n v="1.04"/>
    <n v="608"/>
    <s v="Strength"/>
    <n v="32.9"/>
    <n v="1.6"/>
    <n v="3"/>
    <x v="2"/>
    <n v="14.1"/>
    <s v="Underweight"/>
    <n v="584.61538461538464"/>
    <x v="1"/>
  </r>
  <r>
    <n v="403"/>
    <s v="Kolkata"/>
    <n v="57"/>
    <s v="Female"/>
    <n v="51.4"/>
    <n v="1.63"/>
    <n v="183"/>
    <n v="134"/>
    <n v="73"/>
    <n v="1.2"/>
    <n v="724"/>
    <s v="Yoga"/>
    <n v="33.700000000000003"/>
    <n v="2"/>
    <n v="4"/>
    <x v="1"/>
    <n v="19.350000000000001"/>
    <s v="Normal Weight"/>
    <n v="603.33333333333337"/>
    <x v="1"/>
  </r>
  <r>
    <n v="404"/>
    <s v="Pune"/>
    <n v="18"/>
    <s v="Female"/>
    <n v="67.400000000000006"/>
    <n v="1.6"/>
    <n v="182"/>
    <n v="164"/>
    <n v="71"/>
    <n v="0.6"/>
    <n v="492"/>
    <s v="Strength"/>
    <n v="33.5"/>
    <n v="2.4"/>
    <n v="3"/>
    <x v="2"/>
    <n v="26.33"/>
    <s v="Overweight"/>
    <n v="820"/>
    <x v="1"/>
  </r>
  <r>
    <n v="405"/>
    <s v="Chennai"/>
    <n v="33"/>
    <s v="Female"/>
    <n v="55.6"/>
    <n v="1.61"/>
    <n v="161"/>
    <n v="147"/>
    <n v="54"/>
    <n v="1.77"/>
    <n v="1301"/>
    <s v="Yoga"/>
    <n v="18.899999999999999"/>
    <n v="2.7"/>
    <n v="4"/>
    <x v="0"/>
    <n v="21.45"/>
    <s v="Normal Weight"/>
    <n v="735.0282485875706"/>
    <x v="2"/>
  </r>
  <r>
    <n v="406"/>
    <s v="Kolkata"/>
    <n v="56"/>
    <s v="Male"/>
    <n v="125.3"/>
    <n v="1.86"/>
    <n v="197"/>
    <n v="129"/>
    <n v="64"/>
    <n v="1"/>
    <n v="639"/>
    <s v="Yoga"/>
    <n v="22.7"/>
    <n v="2.2000000000000002"/>
    <n v="3"/>
    <x v="1"/>
    <n v="36.22"/>
    <s v="Obesity"/>
    <n v="639"/>
    <x v="1"/>
  </r>
  <r>
    <n v="407"/>
    <s v="Bengaluru"/>
    <n v="22"/>
    <s v="Male"/>
    <n v="102.1"/>
    <n v="1.85"/>
    <n v="190"/>
    <n v="157"/>
    <n v="67"/>
    <n v="1.48"/>
    <n v="1278"/>
    <s v="Cardio"/>
    <n v="28.1"/>
    <n v="2.4"/>
    <n v="4"/>
    <x v="1"/>
    <n v="29.83"/>
    <s v="Overweight"/>
    <n v="863.51351351351354"/>
    <x v="1"/>
  </r>
  <r>
    <n v="408"/>
    <s v="Noida"/>
    <n v="39"/>
    <s v="Male"/>
    <n v="61.9"/>
    <n v="1.77"/>
    <n v="199"/>
    <n v="166"/>
    <n v="69"/>
    <n v="1.32"/>
    <n v="1205"/>
    <s v="Strength"/>
    <n v="25.3"/>
    <n v="2.2999999999999998"/>
    <n v="3"/>
    <x v="2"/>
    <n v="19.760000000000002"/>
    <s v="Normal Weight"/>
    <n v="912.87878787878788"/>
    <x v="1"/>
  </r>
  <r>
    <n v="409"/>
    <s v="Bengaluru"/>
    <n v="46"/>
    <s v="Male"/>
    <n v="108.8"/>
    <n v="1.64"/>
    <n v="185"/>
    <n v="169"/>
    <n v="63"/>
    <n v="1.4"/>
    <n v="1171"/>
    <s v="Strength"/>
    <n v="20.5"/>
    <n v="3.4"/>
    <n v="3"/>
    <x v="2"/>
    <n v="40.450000000000003"/>
    <s v="Obesity"/>
    <n v="836.42857142857144"/>
    <x v="0"/>
  </r>
  <r>
    <n v="410"/>
    <s v="Pune"/>
    <n v="20"/>
    <s v="Female"/>
    <n v="51.1"/>
    <n v="1.58"/>
    <n v="188"/>
    <n v="169"/>
    <n v="64"/>
    <n v="0.5"/>
    <n v="422"/>
    <s v="Yoga"/>
    <n v="29.6"/>
    <n v="1.6"/>
    <n v="2"/>
    <x v="2"/>
    <n v="20.47"/>
    <s v="Normal Weight"/>
    <n v="844"/>
    <x v="1"/>
  </r>
  <r>
    <n v="411"/>
    <s v="Chennai"/>
    <n v="29"/>
    <s v="Male"/>
    <n v="81.7"/>
    <n v="1.99"/>
    <n v="162"/>
    <n v="126"/>
    <n v="54"/>
    <n v="1.45"/>
    <n v="1005"/>
    <s v="Strength"/>
    <n v="29.4"/>
    <n v="3.2"/>
    <n v="2"/>
    <x v="2"/>
    <n v="20.63"/>
    <s v="Normal Weight"/>
    <n v="693.10344827586209"/>
    <x v="0"/>
  </r>
  <r>
    <n v="412"/>
    <s v="Gurgaon"/>
    <n v="43"/>
    <s v="Female"/>
    <n v="42.7"/>
    <n v="1.66"/>
    <n v="173"/>
    <n v="134"/>
    <n v="53"/>
    <n v="0.73"/>
    <n v="440"/>
    <s v="Yoga"/>
    <n v="33.9"/>
    <n v="1.9"/>
    <n v="2"/>
    <x v="2"/>
    <n v="15.5"/>
    <s v="Underweight"/>
    <n v="602.7397260273973"/>
    <x v="1"/>
  </r>
  <r>
    <n v="413"/>
    <s v="Pune"/>
    <n v="33"/>
    <s v="Male"/>
    <n v="81.8"/>
    <n v="1.99"/>
    <n v="184"/>
    <n v="137"/>
    <n v="51"/>
    <n v="1.59"/>
    <n v="1198"/>
    <s v="Strength"/>
    <n v="10.5"/>
    <n v="3.5"/>
    <n v="4"/>
    <x v="0"/>
    <n v="20.66"/>
    <s v="Normal Weight"/>
    <n v="753.45911949685535"/>
    <x v="0"/>
  </r>
  <r>
    <n v="414"/>
    <s v="Mumbai"/>
    <n v="54"/>
    <s v="Male"/>
    <n v="54.6"/>
    <n v="1.76"/>
    <n v="160"/>
    <n v="137"/>
    <n v="56"/>
    <n v="1.28"/>
    <n v="868"/>
    <s v="Cardio"/>
    <n v="27.4"/>
    <n v="3.3"/>
    <n v="4"/>
    <x v="1"/>
    <n v="17.63"/>
    <s v="Underweight"/>
    <n v="678.125"/>
    <x v="0"/>
  </r>
  <r>
    <n v="415"/>
    <s v="Hyderabad"/>
    <n v="39"/>
    <s v="Male"/>
    <n v="107.7"/>
    <n v="1.88"/>
    <n v="162"/>
    <n v="160"/>
    <n v="59"/>
    <n v="0.72"/>
    <n v="634"/>
    <s v="Strength"/>
    <n v="28.1"/>
    <n v="3.6"/>
    <n v="2"/>
    <x v="2"/>
    <n v="30.47"/>
    <s v="Obesity"/>
    <n v="880.55555555555554"/>
    <x v="0"/>
  </r>
  <r>
    <n v="416"/>
    <s v="Pune"/>
    <n v="46"/>
    <s v="Female"/>
    <n v="56.9"/>
    <n v="1.6"/>
    <n v="185"/>
    <n v="143"/>
    <n v="65"/>
    <n v="0.88"/>
    <n v="566"/>
    <s v="Cardio"/>
    <n v="27.7"/>
    <n v="1.6"/>
    <n v="3"/>
    <x v="2"/>
    <n v="22.23"/>
    <s v="Normal Weight"/>
    <n v="643.18181818181813"/>
    <x v="1"/>
  </r>
  <r>
    <n v="417"/>
    <s v="Noida"/>
    <n v="31"/>
    <s v="Male"/>
    <n v="78.8"/>
    <n v="1.71"/>
    <n v="177"/>
    <n v="121"/>
    <n v="59"/>
    <n v="1.49"/>
    <n v="992"/>
    <s v="HIIT"/>
    <n v="24.7"/>
    <n v="2.5"/>
    <n v="4"/>
    <x v="1"/>
    <n v="26.95"/>
    <s v="Overweight"/>
    <n v="665.77181208053696"/>
    <x v="1"/>
  </r>
  <r>
    <n v="418"/>
    <s v="Noida"/>
    <n v="45"/>
    <s v="Female"/>
    <n v="48.2"/>
    <n v="1.64"/>
    <n v="168"/>
    <n v="159"/>
    <n v="67"/>
    <n v="1.25"/>
    <n v="894"/>
    <s v="Strength"/>
    <n v="32.1"/>
    <n v="2.5"/>
    <n v="4"/>
    <x v="1"/>
    <n v="17.920000000000002"/>
    <s v="Underweight"/>
    <n v="715.2"/>
    <x v="1"/>
  </r>
  <r>
    <n v="419"/>
    <s v="Pune"/>
    <n v="22"/>
    <s v="Female"/>
    <n v="50.7"/>
    <n v="1.59"/>
    <n v="197"/>
    <n v="139"/>
    <n v="66"/>
    <n v="1.27"/>
    <n v="883"/>
    <s v="Strength"/>
    <n v="29.4"/>
    <n v="1.8"/>
    <n v="3"/>
    <x v="1"/>
    <n v="20.05"/>
    <s v="Normal Weight"/>
    <n v="695.27559055118104"/>
    <x v="1"/>
  </r>
  <r>
    <n v="420"/>
    <s v="Kolkata"/>
    <n v="47"/>
    <s v="Male"/>
    <n v="86.6"/>
    <n v="1.99"/>
    <n v="182"/>
    <n v="153"/>
    <n v="70"/>
    <n v="1.98"/>
    <n v="1500"/>
    <s v="Strength"/>
    <n v="10.6"/>
    <n v="3.5"/>
    <n v="4"/>
    <x v="0"/>
    <n v="21.87"/>
    <s v="Normal Weight"/>
    <n v="757.57575757575762"/>
    <x v="0"/>
  </r>
  <r>
    <n v="421"/>
    <s v="Hyderabad"/>
    <n v="22"/>
    <s v="Male"/>
    <n v="96.3"/>
    <n v="1.63"/>
    <n v="180"/>
    <n v="162"/>
    <n v="62"/>
    <n v="1.35"/>
    <n v="1203"/>
    <s v="Cardio"/>
    <n v="27.1"/>
    <n v="2.4"/>
    <n v="4"/>
    <x v="1"/>
    <n v="36.25"/>
    <s v="Obesity"/>
    <n v="891.11111111111109"/>
    <x v="1"/>
  </r>
  <r>
    <n v="422"/>
    <s v="Mumbai"/>
    <n v="29"/>
    <s v="Male"/>
    <n v="80.8"/>
    <n v="1.98"/>
    <n v="160"/>
    <n v="145"/>
    <n v="50"/>
    <n v="1.65"/>
    <n v="1316"/>
    <s v="Strength"/>
    <n v="14.6"/>
    <n v="3.5"/>
    <n v="5"/>
    <x v="0"/>
    <n v="20.61"/>
    <s v="Normal Weight"/>
    <n v="797.57575757575762"/>
    <x v="0"/>
  </r>
  <r>
    <n v="423"/>
    <s v="Pune"/>
    <n v="33"/>
    <s v="Female"/>
    <n v="58"/>
    <n v="1.53"/>
    <n v="180"/>
    <n v="126"/>
    <n v="50"/>
    <n v="1.84"/>
    <n v="1159"/>
    <s v="Strength"/>
    <n v="18.3"/>
    <n v="2.7"/>
    <n v="5"/>
    <x v="0"/>
    <n v="24.78"/>
    <s v="Normal Weight"/>
    <n v="629.89130434782601"/>
    <x v="2"/>
  </r>
  <r>
    <n v="424"/>
    <s v="Kolkata"/>
    <n v="43"/>
    <s v="Male"/>
    <n v="95.9"/>
    <n v="1.85"/>
    <n v="186"/>
    <n v="157"/>
    <n v="64"/>
    <n v="1.28"/>
    <n v="995"/>
    <s v="Yoga"/>
    <n v="27.7"/>
    <n v="3.4"/>
    <n v="2"/>
    <x v="2"/>
    <n v="28.02"/>
    <s v="Overweight"/>
    <n v="777.34375"/>
    <x v="0"/>
  </r>
  <r>
    <n v="425"/>
    <s v="Noida"/>
    <n v="43"/>
    <s v="Female"/>
    <n v="61.5"/>
    <n v="1.58"/>
    <n v="165"/>
    <n v="149"/>
    <n v="50"/>
    <n v="1.86"/>
    <n v="1247"/>
    <s v="HIIT"/>
    <n v="16.8"/>
    <n v="2.7"/>
    <n v="5"/>
    <x v="0"/>
    <n v="24.64"/>
    <s v="Normal Weight"/>
    <n v="670.43010752688167"/>
    <x v="2"/>
  </r>
  <r>
    <n v="426"/>
    <s v="Noida"/>
    <n v="38"/>
    <s v="Female"/>
    <n v="40.6"/>
    <n v="1.79"/>
    <n v="195"/>
    <n v="161"/>
    <n v="55"/>
    <n v="0.62"/>
    <n v="499"/>
    <s v="Cardio"/>
    <n v="26.8"/>
    <n v="2.7"/>
    <n v="2"/>
    <x v="2"/>
    <n v="12.67"/>
    <s v="Underweight"/>
    <n v="804.83870967741939"/>
    <x v="2"/>
  </r>
  <r>
    <n v="427"/>
    <s v="Chennai"/>
    <n v="56"/>
    <s v="Male"/>
    <n v="82.5"/>
    <n v="1.87"/>
    <n v="187"/>
    <n v="124"/>
    <n v="74"/>
    <n v="1.51"/>
    <n v="927"/>
    <s v="Yoga"/>
    <n v="13.2"/>
    <n v="3.5"/>
    <n v="5"/>
    <x v="0"/>
    <n v="23.59"/>
    <s v="Normal Weight"/>
    <n v="613.90728476821187"/>
    <x v="0"/>
  </r>
  <r>
    <n v="428"/>
    <s v="Pune"/>
    <n v="53"/>
    <s v="Male"/>
    <n v="105.1"/>
    <n v="1.84"/>
    <n v="176"/>
    <n v="130"/>
    <n v="62"/>
    <n v="0.69"/>
    <n v="444"/>
    <s v="Cardio"/>
    <n v="23.3"/>
    <n v="2.9"/>
    <n v="3"/>
    <x v="2"/>
    <n v="31.04"/>
    <s v="Obesity"/>
    <n v="643.47826086956525"/>
    <x v="2"/>
  </r>
  <r>
    <n v="429"/>
    <s v="Hyderabad"/>
    <n v="50"/>
    <s v="Female"/>
    <n v="58.1"/>
    <n v="1.58"/>
    <n v="199"/>
    <n v="120"/>
    <n v="50"/>
    <n v="1.93"/>
    <n v="1042"/>
    <s v="Yoga"/>
    <n v="19.3"/>
    <n v="2.7"/>
    <n v="5"/>
    <x v="0"/>
    <n v="23.27"/>
    <s v="Normal Weight"/>
    <n v="539.89637305699489"/>
    <x v="2"/>
  </r>
  <r>
    <n v="430"/>
    <s v="Delhi"/>
    <n v="47"/>
    <s v="Female"/>
    <n v="61"/>
    <n v="1.76"/>
    <n v="162"/>
    <n v="153"/>
    <n v="54"/>
    <n v="1.54"/>
    <n v="1060"/>
    <s v="HIIT"/>
    <n v="15.6"/>
    <n v="2.7"/>
    <n v="5"/>
    <x v="0"/>
    <n v="19.690000000000001"/>
    <s v="Normal Weight"/>
    <n v="688.31168831168827"/>
    <x v="2"/>
  </r>
  <r>
    <n v="431"/>
    <s v="Hyderabad"/>
    <n v="54"/>
    <s v="Female"/>
    <n v="64.5"/>
    <n v="1.53"/>
    <n v="171"/>
    <n v="120"/>
    <n v="58"/>
    <n v="1.74"/>
    <n v="940"/>
    <s v="Yoga"/>
    <n v="17.2"/>
    <n v="2.7"/>
    <n v="4"/>
    <x v="0"/>
    <n v="27.55"/>
    <s v="Overweight"/>
    <n v="540.22988505747128"/>
    <x v="2"/>
  </r>
  <r>
    <n v="432"/>
    <s v="Noida"/>
    <n v="40"/>
    <s v="Male"/>
    <n v="58.2"/>
    <n v="1.98"/>
    <n v="198"/>
    <n v="138"/>
    <n v="74"/>
    <n v="1.43"/>
    <n v="1085"/>
    <s v="Cardio"/>
    <n v="24"/>
    <n v="2.5"/>
    <n v="3"/>
    <x v="1"/>
    <n v="14.85"/>
    <s v="Underweight"/>
    <n v="758.74125874125878"/>
    <x v="1"/>
  </r>
  <r>
    <n v="433"/>
    <s v="Noida"/>
    <n v="27"/>
    <s v="Female"/>
    <n v="69.5"/>
    <n v="1.76"/>
    <n v="171"/>
    <n v="121"/>
    <n v="66"/>
    <n v="0.94"/>
    <n v="569"/>
    <s v="Strength"/>
    <n v="34.4"/>
    <n v="2"/>
    <n v="3"/>
    <x v="2"/>
    <n v="22.44"/>
    <s v="Normal Weight"/>
    <n v="605.31914893617022"/>
    <x v="1"/>
  </r>
  <r>
    <n v="434"/>
    <s v="Bengaluru"/>
    <n v="22"/>
    <s v="Male"/>
    <n v="62.2"/>
    <n v="1.84"/>
    <n v="161"/>
    <n v="140"/>
    <n v="65"/>
    <n v="0.51"/>
    <n v="393"/>
    <s v="Strength"/>
    <n v="21.5"/>
    <n v="2.2999999999999998"/>
    <n v="3"/>
    <x v="2"/>
    <n v="18.37"/>
    <s v="Underweight"/>
    <n v="770.58823529411768"/>
    <x v="1"/>
  </r>
  <r>
    <n v="435"/>
    <s v="Noida"/>
    <n v="53"/>
    <s v="Female"/>
    <n v="68"/>
    <n v="1.7"/>
    <n v="181"/>
    <n v="139"/>
    <n v="57"/>
    <n v="1.06"/>
    <n v="663"/>
    <s v="HIIT"/>
    <n v="25.1"/>
    <n v="2.4"/>
    <n v="4"/>
    <x v="1"/>
    <n v="23.53"/>
    <s v="Normal Weight"/>
    <n v="625.47169811320748"/>
    <x v="1"/>
  </r>
  <r>
    <n v="436"/>
    <s v="Mumbai"/>
    <n v="51"/>
    <s v="Female"/>
    <n v="56.3"/>
    <n v="1.5"/>
    <n v="182"/>
    <n v="142"/>
    <n v="66"/>
    <n v="1.43"/>
    <n v="914"/>
    <s v="Cardio"/>
    <n v="27.4"/>
    <n v="2.4"/>
    <n v="3"/>
    <x v="2"/>
    <n v="25.02"/>
    <s v="Overweight"/>
    <n v="639.16083916083915"/>
    <x v="1"/>
  </r>
  <r>
    <n v="437"/>
    <s v="Ahmedabad"/>
    <n v="48"/>
    <s v="Male"/>
    <n v="94.5"/>
    <n v="1.7"/>
    <n v="189"/>
    <n v="140"/>
    <n v="64"/>
    <n v="1.01"/>
    <n v="700"/>
    <s v="Cardio"/>
    <n v="28.2"/>
    <n v="3.5"/>
    <n v="3"/>
    <x v="1"/>
    <n v="32.700000000000003"/>
    <s v="Obesity"/>
    <n v="693.06930693069307"/>
    <x v="0"/>
  </r>
  <r>
    <n v="438"/>
    <s v="Pune"/>
    <n v="27"/>
    <s v="Female"/>
    <n v="58"/>
    <n v="1.79"/>
    <n v="164"/>
    <n v="143"/>
    <n v="73"/>
    <n v="1.39"/>
    <n v="994"/>
    <s v="Cardio"/>
    <n v="27.1"/>
    <n v="1.5"/>
    <n v="2"/>
    <x v="2"/>
    <n v="18.100000000000001"/>
    <s v="Underweight"/>
    <n v="715.10791366906483"/>
    <x v="1"/>
  </r>
  <r>
    <n v="439"/>
    <s v="Hyderabad"/>
    <n v="36"/>
    <s v="Male"/>
    <n v="84"/>
    <n v="1.94"/>
    <n v="168"/>
    <n v="123"/>
    <n v="50"/>
    <n v="1.8"/>
    <n v="1218"/>
    <s v="HIIT"/>
    <n v="11.2"/>
    <n v="3.5"/>
    <n v="5"/>
    <x v="0"/>
    <n v="22.32"/>
    <s v="Normal Weight"/>
    <n v="676.66666666666663"/>
    <x v="0"/>
  </r>
  <r>
    <n v="440"/>
    <s v="Ahmedabad"/>
    <n v="49"/>
    <s v="Male"/>
    <n v="61"/>
    <n v="1.87"/>
    <n v="180"/>
    <n v="131"/>
    <n v="61"/>
    <n v="1.1399999999999999"/>
    <n v="739"/>
    <s v="Strength"/>
    <n v="21.3"/>
    <n v="3"/>
    <n v="4"/>
    <x v="1"/>
    <n v="17.440000000000001"/>
    <s v="Underweight"/>
    <n v="648.24561403508778"/>
    <x v="2"/>
  </r>
  <r>
    <n v="441"/>
    <s v="Kolkata"/>
    <n v="18"/>
    <s v="Female"/>
    <n v="64.8"/>
    <n v="1.53"/>
    <n v="170"/>
    <n v="141"/>
    <n v="54"/>
    <n v="1.98"/>
    <n v="1396"/>
    <s v="Yoga"/>
    <n v="18.600000000000001"/>
    <n v="2.7"/>
    <n v="5"/>
    <x v="0"/>
    <n v="27.68"/>
    <s v="Overweight"/>
    <n v="705.05050505050508"/>
    <x v="2"/>
  </r>
  <r>
    <n v="442"/>
    <s v="Delhi"/>
    <n v="22"/>
    <s v="Male"/>
    <n v="45.7"/>
    <n v="1.77"/>
    <n v="164"/>
    <n v="139"/>
    <n v="73"/>
    <n v="1.04"/>
    <n v="795"/>
    <s v="HIIT"/>
    <n v="20.7"/>
    <n v="2.4"/>
    <n v="3"/>
    <x v="2"/>
    <n v="14.59"/>
    <s v="Underweight"/>
    <n v="764.42307692307691"/>
    <x v="1"/>
  </r>
  <r>
    <n v="443"/>
    <s v="Mumbai"/>
    <n v="21"/>
    <s v="Male"/>
    <n v="80.900000000000006"/>
    <n v="1.9"/>
    <n v="194"/>
    <n v="137"/>
    <n v="55"/>
    <n v="1.8"/>
    <n v="1356"/>
    <s v="Yoga"/>
    <n v="11.7"/>
    <n v="3.5"/>
    <n v="4"/>
    <x v="0"/>
    <n v="22.41"/>
    <s v="Normal Weight"/>
    <n v="753.33333333333337"/>
    <x v="0"/>
  </r>
  <r>
    <n v="444"/>
    <s v="Hyderabad"/>
    <n v="33"/>
    <s v="Female"/>
    <n v="64.099999999999994"/>
    <n v="1.63"/>
    <n v="186"/>
    <n v="120"/>
    <n v="74"/>
    <n v="1.58"/>
    <n v="948"/>
    <s v="Strength"/>
    <n v="16.399999999999999"/>
    <n v="2.7"/>
    <n v="5"/>
    <x v="0"/>
    <n v="24.13"/>
    <s v="Normal Weight"/>
    <n v="600"/>
    <x v="2"/>
  </r>
  <r>
    <n v="445"/>
    <s v="Ahmedabad"/>
    <n v="41"/>
    <s v="Male"/>
    <n v="67"/>
    <n v="1.77"/>
    <n v="161"/>
    <n v="149"/>
    <n v="50"/>
    <n v="1.22"/>
    <n v="900"/>
    <s v="HIIT"/>
    <n v="25.6"/>
    <n v="2.6"/>
    <n v="3"/>
    <x v="1"/>
    <n v="21.39"/>
    <s v="Normal Weight"/>
    <n v="737.70491803278685"/>
    <x v="2"/>
  </r>
  <r>
    <n v="446"/>
    <s v="Delhi"/>
    <n v="33"/>
    <s v="Male"/>
    <n v="106.5"/>
    <n v="1.6"/>
    <n v="183"/>
    <n v="152"/>
    <n v="74"/>
    <n v="1.4"/>
    <n v="1170"/>
    <s v="Strength"/>
    <n v="27.3"/>
    <n v="3.3"/>
    <n v="4"/>
    <x v="1"/>
    <n v="41.6"/>
    <s v="Obesity"/>
    <n v="835.71428571428578"/>
    <x v="0"/>
  </r>
  <r>
    <n v="447"/>
    <s v="Bengaluru"/>
    <n v="19"/>
    <s v="Male"/>
    <n v="95.1"/>
    <n v="1.85"/>
    <n v="190"/>
    <n v="143"/>
    <n v="50"/>
    <n v="1.21"/>
    <n v="952"/>
    <s v="Yoga"/>
    <n v="25.3"/>
    <n v="2.2999999999999998"/>
    <n v="4"/>
    <x v="1"/>
    <n v="27.79"/>
    <s v="Overweight"/>
    <n v="786.77685950413229"/>
    <x v="1"/>
  </r>
  <r>
    <n v="448"/>
    <s v="Mumbai"/>
    <n v="45"/>
    <s v="Female"/>
    <n v="65.5"/>
    <n v="1.57"/>
    <n v="192"/>
    <n v="133"/>
    <n v="59"/>
    <n v="0.66"/>
    <n v="395"/>
    <s v="Cardio"/>
    <n v="34.299999999999997"/>
    <n v="2.2999999999999998"/>
    <n v="2"/>
    <x v="2"/>
    <n v="26.57"/>
    <s v="Overweight"/>
    <n v="598.4848484848485"/>
    <x v="1"/>
  </r>
  <r>
    <n v="449"/>
    <s v="Mumbai"/>
    <n v="49"/>
    <s v="Male"/>
    <n v="105.7"/>
    <n v="1.64"/>
    <n v="198"/>
    <n v="155"/>
    <n v="59"/>
    <n v="1.2"/>
    <n v="921"/>
    <s v="Cardio"/>
    <n v="29.5"/>
    <n v="3.1"/>
    <n v="3"/>
    <x v="1"/>
    <n v="39.299999999999997"/>
    <s v="Obesity"/>
    <n v="767.5"/>
    <x v="0"/>
  </r>
  <r>
    <n v="450"/>
    <s v="Bengaluru"/>
    <n v="44"/>
    <s v="Female"/>
    <n v="48"/>
    <n v="1.76"/>
    <n v="189"/>
    <n v="124"/>
    <n v="52"/>
    <n v="0.88"/>
    <n v="491"/>
    <s v="Yoga"/>
    <n v="28.6"/>
    <n v="2.6"/>
    <n v="2"/>
    <x v="2"/>
    <n v="15.5"/>
    <s v="Underweight"/>
    <n v="557.9545454545455"/>
    <x v="2"/>
  </r>
  <r>
    <n v="451"/>
    <s v="Pune"/>
    <n v="37"/>
    <s v="Female"/>
    <n v="69.5"/>
    <n v="1.5"/>
    <n v="196"/>
    <n v="130"/>
    <n v="66"/>
    <n v="0.69"/>
    <n v="448"/>
    <s v="Cardio"/>
    <n v="32.799999999999997"/>
    <n v="2.4"/>
    <n v="2"/>
    <x v="2"/>
    <n v="30.89"/>
    <s v="Obesity"/>
    <n v="649.27536231884062"/>
    <x v="1"/>
  </r>
  <r>
    <n v="452"/>
    <s v="Bengaluru"/>
    <n v="41"/>
    <s v="Male"/>
    <n v="66.099999999999994"/>
    <n v="1.69"/>
    <n v="187"/>
    <n v="143"/>
    <n v="68"/>
    <n v="0.77"/>
    <n v="545"/>
    <s v="Yoga"/>
    <n v="27.4"/>
    <n v="3.4"/>
    <n v="2"/>
    <x v="2"/>
    <n v="23.14"/>
    <s v="Normal Weight"/>
    <n v="707.79220779220782"/>
    <x v="0"/>
  </r>
  <r>
    <n v="453"/>
    <s v="Mumbai"/>
    <n v="29"/>
    <s v="Male"/>
    <n v="68"/>
    <n v="1.7"/>
    <n v="190"/>
    <n v="150"/>
    <n v="60"/>
    <n v="0.76"/>
    <n v="627"/>
    <s v="HIIT"/>
    <n v="28.9"/>
    <n v="2.9"/>
    <n v="2"/>
    <x v="2"/>
    <n v="23.53"/>
    <s v="Normal Weight"/>
    <n v="825"/>
    <x v="2"/>
  </r>
  <r>
    <n v="454"/>
    <s v="Mumbai"/>
    <n v="52"/>
    <s v="Male"/>
    <n v="50.3"/>
    <n v="1.78"/>
    <n v="170"/>
    <n v="132"/>
    <n v="67"/>
    <n v="0.85"/>
    <n v="555"/>
    <s v="HIIT"/>
    <n v="24.5"/>
    <n v="2.2999999999999998"/>
    <n v="2"/>
    <x v="2"/>
    <n v="15.88"/>
    <s v="Underweight"/>
    <n v="652.94117647058829"/>
    <x v="1"/>
  </r>
  <r>
    <n v="455"/>
    <s v="Ahmedabad"/>
    <n v="50"/>
    <s v="Female"/>
    <n v="69.3"/>
    <n v="1.68"/>
    <n v="182"/>
    <n v="135"/>
    <n v="51"/>
    <n v="1.2"/>
    <n v="729"/>
    <s v="HIIT"/>
    <n v="30.3"/>
    <n v="2"/>
    <n v="2"/>
    <x v="2"/>
    <n v="24.55"/>
    <s v="Normal Weight"/>
    <n v="607.5"/>
    <x v="1"/>
  </r>
  <r>
    <n v="456"/>
    <s v="Noida"/>
    <n v="50"/>
    <s v="Male"/>
    <n v="86.7"/>
    <n v="1.63"/>
    <n v="161"/>
    <n v="143"/>
    <n v="58"/>
    <n v="1.7"/>
    <n v="1203"/>
    <s v="Cardio"/>
    <n v="12.1"/>
    <n v="3.5"/>
    <n v="4"/>
    <x v="0"/>
    <n v="32.630000000000003"/>
    <s v="Obesity"/>
    <n v="707.64705882352939"/>
    <x v="0"/>
  </r>
  <r>
    <n v="457"/>
    <s v="Delhi"/>
    <n v="54"/>
    <s v="Male"/>
    <n v="125.9"/>
    <n v="1.94"/>
    <n v="199"/>
    <n v="132"/>
    <n v="73"/>
    <n v="1.35"/>
    <n v="882"/>
    <s v="Strength"/>
    <n v="28.5"/>
    <n v="2.9"/>
    <n v="3"/>
    <x v="1"/>
    <n v="33.450000000000003"/>
    <s v="Obesity"/>
    <n v="653.33333333333326"/>
    <x v="2"/>
  </r>
  <r>
    <n v="458"/>
    <s v="Bengaluru"/>
    <n v="29"/>
    <s v="Male"/>
    <n v="88.1"/>
    <n v="1.93"/>
    <n v="186"/>
    <n v="143"/>
    <n v="66"/>
    <n v="1.88"/>
    <n v="1479"/>
    <s v="Cardio"/>
    <n v="11.1"/>
    <n v="3.5"/>
    <n v="5"/>
    <x v="0"/>
    <n v="23.65"/>
    <s v="Normal Weight"/>
    <n v="786.70212765957456"/>
    <x v="0"/>
  </r>
  <r>
    <n v="459"/>
    <s v="Delhi"/>
    <n v="20"/>
    <s v="Male"/>
    <n v="124.3"/>
    <n v="1.82"/>
    <n v="194"/>
    <n v="145"/>
    <n v="63"/>
    <n v="1.25"/>
    <n v="997"/>
    <s v="Cardio"/>
    <n v="22.4"/>
    <n v="3.2"/>
    <n v="3"/>
    <x v="1"/>
    <n v="37.53"/>
    <s v="Obesity"/>
    <n v="797.6"/>
    <x v="0"/>
  </r>
  <r>
    <n v="460"/>
    <s v="Bengaluru"/>
    <n v="18"/>
    <s v="Male"/>
    <n v="62"/>
    <n v="1.85"/>
    <n v="161"/>
    <n v="121"/>
    <n v="53"/>
    <n v="0.88"/>
    <n v="586"/>
    <s v="Strength"/>
    <n v="23.7"/>
    <n v="3"/>
    <n v="3"/>
    <x v="2"/>
    <n v="18.12"/>
    <s v="Underweight"/>
    <n v="665.90909090909088"/>
    <x v="2"/>
  </r>
  <r>
    <n v="461"/>
    <s v="Kolkata"/>
    <n v="50"/>
    <s v="Female"/>
    <n v="69.7"/>
    <n v="1.72"/>
    <n v="198"/>
    <n v="135"/>
    <n v="66"/>
    <n v="1.24"/>
    <n v="753"/>
    <s v="Strength"/>
    <n v="27.3"/>
    <n v="2"/>
    <n v="4"/>
    <x v="1"/>
    <n v="23.56"/>
    <s v="Normal Weight"/>
    <n v="607.25806451612902"/>
    <x v="1"/>
  </r>
  <r>
    <n v="462"/>
    <s v="Mumbai"/>
    <n v="57"/>
    <s v="Female"/>
    <n v="60.9"/>
    <n v="1.52"/>
    <n v="196"/>
    <n v="157"/>
    <n v="66"/>
    <n v="1.31"/>
    <n v="926"/>
    <s v="Strength"/>
    <n v="30.6"/>
    <n v="1.8"/>
    <n v="3"/>
    <x v="1"/>
    <n v="26.36"/>
    <s v="Overweight"/>
    <n v="706.87022900763361"/>
    <x v="1"/>
  </r>
  <r>
    <n v="463"/>
    <s v="Noida"/>
    <n v="27"/>
    <s v="Male"/>
    <n v="76.5"/>
    <n v="1.97"/>
    <n v="180"/>
    <n v="165"/>
    <n v="61"/>
    <n v="1.1299999999999999"/>
    <n v="1025"/>
    <s v="Strength"/>
    <n v="21.3"/>
    <n v="2.2999999999999998"/>
    <n v="2"/>
    <x v="2"/>
    <n v="19.71"/>
    <s v="Normal Weight"/>
    <n v="907.07964601769925"/>
    <x v="1"/>
  </r>
  <r>
    <n v="464"/>
    <s v="Ahmedabad"/>
    <n v="46"/>
    <s v="Male"/>
    <n v="94.7"/>
    <n v="1.82"/>
    <n v="164"/>
    <n v="120"/>
    <n v="69"/>
    <n v="1.47"/>
    <n v="873"/>
    <s v="Cardio"/>
    <n v="23.2"/>
    <n v="3.2"/>
    <n v="3"/>
    <x v="1"/>
    <n v="28.59"/>
    <s v="Overweight"/>
    <n v="593.87755102040819"/>
    <x v="0"/>
  </r>
  <r>
    <n v="465"/>
    <s v="Noida"/>
    <n v="30"/>
    <s v="Male"/>
    <n v="67.900000000000006"/>
    <n v="1.75"/>
    <n v="180"/>
    <n v="168"/>
    <n v="67"/>
    <n v="1.25"/>
    <n v="1155"/>
    <s v="Yoga"/>
    <n v="29.1"/>
    <n v="3.1"/>
    <n v="2"/>
    <x v="2"/>
    <n v="22.17"/>
    <s v="Normal Weight"/>
    <n v="924"/>
    <x v="0"/>
  </r>
  <r>
    <n v="466"/>
    <s v="Noida"/>
    <n v="29"/>
    <s v="Male"/>
    <n v="121.1"/>
    <n v="1.87"/>
    <n v="188"/>
    <n v="130"/>
    <n v="52"/>
    <n v="1.31"/>
    <n v="937"/>
    <s v="HIIT"/>
    <n v="24.1"/>
    <n v="3.2"/>
    <n v="4"/>
    <x v="1"/>
    <n v="34.630000000000003"/>
    <s v="Obesity"/>
    <n v="715.26717557251902"/>
    <x v="0"/>
  </r>
  <r>
    <n v="467"/>
    <s v="Noida"/>
    <n v="48"/>
    <s v="Female"/>
    <n v="71.5"/>
    <n v="1.64"/>
    <n v="179"/>
    <n v="154"/>
    <n v="60"/>
    <n v="1.46"/>
    <n v="1012"/>
    <s v="Yoga"/>
    <n v="32.5"/>
    <n v="1.9"/>
    <n v="4"/>
    <x v="1"/>
    <n v="26.58"/>
    <s v="Overweight"/>
    <n v="693.15068493150682"/>
    <x v="1"/>
  </r>
  <r>
    <n v="468"/>
    <s v="Delhi"/>
    <n v="19"/>
    <s v="Male"/>
    <n v="98.6"/>
    <n v="1.7"/>
    <n v="197"/>
    <n v="162"/>
    <n v="74"/>
    <n v="0.83"/>
    <n v="740"/>
    <s v="Cardio"/>
    <n v="21.1"/>
    <n v="2.4"/>
    <n v="2"/>
    <x v="2"/>
    <n v="34.119999999999997"/>
    <s v="Obesity"/>
    <n v="891.56626506024099"/>
    <x v="1"/>
  </r>
  <r>
    <n v="469"/>
    <s v="Bengaluru"/>
    <n v="52"/>
    <s v="Female"/>
    <n v="68.2"/>
    <n v="1.63"/>
    <n v="179"/>
    <n v="148"/>
    <n v="67"/>
    <n v="1.17"/>
    <n v="779"/>
    <s v="Strength"/>
    <n v="27.5"/>
    <n v="2.4"/>
    <n v="3"/>
    <x v="2"/>
    <n v="25.67"/>
    <s v="Overweight"/>
    <n v="665.81196581196582"/>
    <x v="1"/>
  </r>
  <r>
    <n v="470"/>
    <s v="Gurgaon"/>
    <n v="40"/>
    <s v="Female"/>
    <n v="57.7"/>
    <n v="1.69"/>
    <n v="184"/>
    <n v="156"/>
    <n v="53"/>
    <n v="1.18"/>
    <n v="920"/>
    <s v="HIIT"/>
    <n v="33.1"/>
    <n v="2.4"/>
    <n v="4"/>
    <x v="1"/>
    <n v="20.2"/>
    <s v="Normal Weight"/>
    <n v="779.66101694915255"/>
    <x v="1"/>
  </r>
  <r>
    <n v="471"/>
    <s v="Kolkata"/>
    <n v="34"/>
    <s v="Male"/>
    <n v="124.6"/>
    <n v="1.63"/>
    <n v="161"/>
    <n v="136"/>
    <n v="66"/>
    <n v="1.41"/>
    <n v="1055"/>
    <s v="HIIT"/>
    <n v="27.6"/>
    <n v="2.8"/>
    <n v="3"/>
    <x v="1"/>
    <n v="46.9"/>
    <s v="Obesity"/>
    <n v="748.22695035460993"/>
    <x v="2"/>
  </r>
  <r>
    <n v="472"/>
    <s v="Hyderabad"/>
    <n v="43"/>
    <s v="Female"/>
    <n v="73"/>
    <n v="1.59"/>
    <n v="191"/>
    <n v="158"/>
    <n v="67"/>
    <n v="1.31"/>
    <n v="931"/>
    <s v="Yoga"/>
    <n v="28.9"/>
    <n v="2.2000000000000002"/>
    <n v="3"/>
    <x v="2"/>
    <n v="28.88"/>
    <s v="Overweight"/>
    <n v="710.68702290076328"/>
    <x v="1"/>
  </r>
  <r>
    <n v="473"/>
    <s v="Noida"/>
    <n v="25"/>
    <s v="Female"/>
    <n v="59.4"/>
    <n v="1.51"/>
    <n v="185"/>
    <n v="161"/>
    <n v="54"/>
    <n v="1.62"/>
    <n v="1304"/>
    <s v="Cardio"/>
    <n v="19.8"/>
    <n v="2.7"/>
    <n v="5"/>
    <x v="0"/>
    <n v="26.05"/>
    <s v="Overweight"/>
    <n v="804.93827160493822"/>
    <x v="2"/>
  </r>
  <r>
    <n v="474"/>
    <s v="Pune"/>
    <n v="46"/>
    <s v="Female"/>
    <n v="52"/>
    <n v="1.65"/>
    <n v="165"/>
    <n v="147"/>
    <n v="63"/>
    <n v="0.7"/>
    <n v="463"/>
    <s v="Cardio"/>
    <n v="34.1"/>
    <n v="1.9"/>
    <n v="2"/>
    <x v="2"/>
    <n v="19.100000000000001"/>
    <s v="Normal Weight"/>
    <n v="661.42857142857144"/>
    <x v="1"/>
  </r>
  <r>
    <n v="475"/>
    <s v="Delhi"/>
    <n v="43"/>
    <s v="Female"/>
    <n v="42.2"/>
    <n v="1.65"/>
    <n v="162"/>
    <n v="148"/>
    <n v="59"/>
    <n v="1.33"/>
    <n v="886"/>
    <s v="Cardio"/>
    <n v="34.6"/>
    <n v="2.2999999999999998"/>
    <n v="3"/>
    <x v="1"/>
    <n v="15.5"/>
    <s v="Underweight"/>
    <n v="666.16541353383457"/>
    <x v="1"/>
  </r>
  <r>
    <n v="476"/>
    <s v="Ahmedabad"/>
    <n v="27"/>
    <s v="Male"/>
    <n v="89.3"/>
    <n v="1.64"/>
    <n v="192"/>
    <n v="162"/>
    <n v="64"/>
    <n v="1.82"/>
    <n v="1622"/>
    <s v="HIIT"/>
    <n v="12.1"/>
    <n v="3.5"/>
    <n v="4"/>
    <x v="0"/>
    <n v="33.200000000000003"/>
    <s v="Obesity"/>
    <n v="891.20879120879113"/>
    <x v="0"/>
  </r>
  <r>
    <n v="477"/>
    <s v="Hyderabad"/>
    <n v="43"/>
    <s v="Male"/>
    <n v="110"/>
    <n v="1.76"/>
    <n v="160"/>
    <n v="122"/>
    <n v="50"/>
    <n v="1.0900000000000001"/>
    <n v="658"/>
    <s v="Yoga"/>
    <n v="22"/>
    <n v="3.4"/>
    <n v="3"/>
    <x v="2"/>
    <n v="35.51"/>
    <s v="Obesity"/>
    <n v="603.66972477064212"/>
    <x v="0"/>
  </r>
  <r>
    <n v="478"/>
    <s v="Gurgaon"/>
    <n v="51"/>
    <s v="Female"/>
    <n v="66.2"/>
    <n v="1.58"/>
    <n v="164"/>
    <n v="129"/>
    <n v="65"/>
    <n v="0.86"/>
    <n v="499"/>
    <s v="HIIT"/>
    <n v="31.3"/>
    <n v="2.2999999999999998"/>
    <n v="3"/>
    <x v="2"/>
    <n v="26.52"/>
    <s v="Overweight"/>
    <n v="580.23255813953494"/>
    <x v="1"/>
  </r>
  <r>
    <n v="479"/>
    <s v="Pune"/>
    <n v="58"/>
    <s v="Male"/>
    <n v="58.6"/>
    <n v="1.66"/>
    <n v="172"/>
    <n v="161"/>
    <n v="60"/>
    <n v="1.21"/>
    <n v="964"/>
    <s v="HIIT"/>
    <n v="26.8"/>
    <n v="2.9"/>
    <n v="2"/>
    <x v="2"/>
    <n v="21.27"/>
    <s v="Normal Weight"/>
    <n v="796.69421487603313"/>
    <x v="2"/>
  </r>
  <r>
    <n v="480"/>
    <s v="Gurgaon"/>
    <n v="24"/>
    <s v="Male"/>
    <n v="51"/>
    <n v="1.67"/>
    <n v="178"/>
    <n v="133"/>
    <n v="72"/>
    <n v="0.97"/>
    <n v="710"/>
    <s v="Strength"/>
    <n v="21.3"/>
    <n v="2.8"/>
    <n v="3"/>
    <x v="2"/>
    <n v="18.29"/>
    <s v="Underweight"/>
    <n v="731.95876288659792"/>
    <x v="2"/>
  </r>
  <r>
    <n v="481"/>
    <s v="Hyderabad"/>
    <n v="21"/>
    <s v="Male"/>
    <n v="101.5"/>
    <n v="1.95"/>
    <n v="171"/>
    <n v="131"/>
    <n v="69"/>
    <n v="0.97"/>
    <n v="699"/>
    <s v="Yoga"/>
    <n v="27.9"/>
    <n v="3.1"/>
    <n v="3"/>
    <x v="2"/>
    <n v="26.69"/>
    <s v="Overweight"/>
    <n v="720.61855670103091"/>
    <x v="0"/>
  </r>
  <r>
    <n v="482"/>
    <s v="Noida"/>
    <n v="28"/>
    <s v="Male"/>
    <n v="114.2"/>
    <n v="1.87"/>
    <n v="184"/>
    <n v="166"/>
    <n v="55"/>
    <n v="1.05"/>
    <n v="959"/>
    <s v="Strength"/>
    <n v="20.2"/>
    <n v="3.2"/>
    <n v="3"/>
    <x v="1"/>
    <n v="32.659999999999997"/>
    <s v="Obesity"/>
    <n v="913.33333333333326"/>
    <x v="0"/>
  </r>
  <r>
    <n v="483"/>
    <s v="Pune"/>
    <n v="46"/>
    <s v="Male"/>
    <n v="54.4"/>
    <n v="1.72"/>
    <n v="194"/>
    <n v="161"/>
    <n v="73"/>
    <n v="0.91"/>
    <n v="725"/>
    <s v="Cardio"/>
    <n v="24.8"/>
    <n v="2.9"/>
    <n v="2"/>
    <x v="2"/>
    <n v="18.39"/>
    <s v="Underweight"/>
    <n v="796.7032967032967"/>
    <x v="2"/>
  </r>
  <r>
    <n v="484"/>
    <s v="Gurgaon"/>
    <n v="53"/>
    <s v="Female"/>
    <n v="52.4"/>
    <n v="1.57"/>
    <n v="171"/>
    <n v="149"/>
    <n v="71"/>
    <n v="1.34"/>
    <n v="898"/>
    <s v="HIIT"/>
    <n v="28.3"/>
    <n v="2.2000000000000002"/>
    <n v="3"/>
    <x v="1"/>
    <n v="21.26"/>
    <s v="Normal Weight"/>
    <n v="670.14925373134326"/>
    <x v="1"/>
  </r>
  <r>
    <n v="485"/>
    <s v="Ahmedabad"/>
    <n v="42"/>
    <s v="Male"/>
    <n v="85.2"/>
    <n v="1.81"/>
    <n v="189"/>
    <n v="151"/>
    <n v="65"/>
    <n v="1.54"/>
    <n v="1151"/>
    <s v="Yoga"/>
    <n v="13.7"/>
    <n v="3.5"/>
    <n v="5"/>
    <x v="0"/>
    <n v="26.01"/>
    <s v="Overweight"/>
    <n v="747.40259740259739"/>
    <x v="0"/>
  </r>
  <r>
    <n v="486"/>
    <s v="Bengaluru"/>
    <n v="38"/>
    <s v="Male"/>
    <n v="83.6"/>
    <n v="1.74"/>
    <n v="164"/>
    <n v="151"/>
    <n v="51"/>
    <n v="1.66"/>
    <n v="1379"/>
    <s v="Cardio"/>
    <n v="11.6"/>
    <n v="3.5"/>
    <n v="5"/>
    <x v="0"/>
    <n v="27.61"/>
    <s v="Overweight"/>
    <n v="830.72289156626505"/>
    <x v="0"/>
  </r>
  <r>
    <n v="487"/>
    <s v="Mumbai"/>
    <n v="53"/>
    <s v="Male"/>
    <n v="115.4"/>
    <n v="1.92"/>
    <n v="193"/>
    <n v="161"/>
    <n v="50"/>
    <n v="1.36"/>
    <n v="1084"/>
    <s v="Yoga"/>
    <n v="28.3"/>
    <n v="2.2000000000000002"/>
    <n v="4"/>
    <x v="1"/>
    <n v="31.3"/>
    <s v="Obesity"/>
    <n v="797.05882352941171"/>
    <x v="1"/>
  </r>
  <r>
    <n v="488"/>
    <s v="Bengaluru"/>
    <n v="27"/>
    <s v="Male"/>
    <n v="71.2"/>
    <n v="1.97"/>
    <n v="181"/>
    <n v="151"/>
    <n v="73"/>
    <n v="0.74"/>
    <n v="615"/>
    <s v="HIIT"/>
    <n v="25.9"/>
    <n v="3.6"/>
    <n v="3"/>
    <x v="2"/>
    <n v="18.350000000000001"/>
    <s v="Underweight"/>
    <n v="831.08108108108104"/>
    <x v="0"/>
  </r>
  <r>
    <n v="489"/>
    <s v="Hyderabad"/>
    <n v="54"/>
    <s v="Female"/>
    <n v="78.099999999999994"/>
    <n v="1.6"/>
    <n v="198"/>
    <n v="145"/>
    <n v="73"/>
    <n v="1.1000000000000001"/>
    <n v="718"/>
    <s v="Yoga"/>
    <n v="32.9"/>
    <n v="2.4"/>
    <n v="4"/>
    <x v="1"/>
    <n v="30.51"/>
    <s v="Obesity"/>
    <n v="652.72727272727263"/>
    <x v="1"/>
  </r>
  <r>
    <n v="490"/>
    <s v="Delhi"/>
    <n v="26"/>
    <s v="Female"/>
    <n v="54.2"/>
    <n v="1.65"/>
    <n v="172"/>
    <n v="120"/>
    <n v="58"/>
    <n v="1.07"/>
    <n v="642"/>
    <s v="Cardio"/>
    <n v="34.9"/>
    <n v="1.9"/>
    <n v="4"/>
    <x v="1"/>
    <n v="19.91"/>
    <s v="Normal Weight"/>
    <n v="600"/>
    <x v="1"/>
  </r>
  <r>
    <n v="491"/>
    <s v="Mumbai"/>
    <n v="41"/>
    <s v="Female"/>
    <n v="77.599999999999994"/>
    <n v="1.76"/>
    <n v="162"/>
    <n v="161"/>
    <n v="71"/>
    <n v="1.27"/>
    <n v="920"/>
    <s v="Strength"/>
    <n v="31.8"/>
    <n v="2.2000000000000002"/>
    <n v="4"/>
    <x v="1"/>
    <n v="25.05"/>
    <s v="Overweight"/>
    <n v="724.40944881889766"/>
    <x v="1"/>
  </r>
  <r>
    <n v="492"/>
    <s v="Kolkata"/>
    <n v="52"/>
    <s v="Female"/>
    <n v="44.1"/>
    <n v="1.62"/>
    <n v="179"/>
    <n v="121"/>
    <n v="61"/>
    <n v="1.41"/>
    <n v="768"/>
    <s v="HIIT"/>
    <n v="34.799999999999997"/>
    <n v="1.6"/>
    <n v="3"/>
    <x v="2"/>
    <n v="16.8"/>
    <s v="Underweight"/>
    <n v="544.68085106382978"/>
    <x v="1"/>
  </r>
  <r>
    <n v="493"/>
    <s v="Ahmedabad"/>
    <n v="52"/>
    <s v="Male"/>
    <n v="85.5"/>
    <n v="1.8"/>
    <n v="190"/>
    <n v="136"/>
    <n v="66"/>
    <n v="1.7"/>
    <n v="1144"/>
    <s v="Strength"/>
    <n v="10.1"/>
    <n v="3.5"/>
    <n v="5"/>
    <x v="0"/>
    <n v="26.39"/>
    <s v="Overweight"/>
    <n v="672.94117647058829"/>
    <x v="0"/>
  </r>
  <r>
    <n v="494"/>
    <s v="Kolkata"/>
    <n v="53"/>
    <s v="Female"/>
    <n v="47.8"/>
    <n v="1.76"/>
    <n v="164"/>
    <n v="149"/>
    <n v="74"/>
    <n v="1.06"/>
    <n v="711"/>
    <s v="HIIT"/>
    <n v="28.4"/>
    <n v="1.5"/>
    <n v="4"/>
    <x v="1"/>
    <n v="15.43"/>
    <s v="Underweight"/>
    <n v="670.75471698113199"/>
    <x v="1"/>
  </r>
  <r>
    <n v="495"/>
    <s v="Pune"/>
    <n v="35"/>
    <s v="Male"/>
    <n v="102.5"/>
    <n v="1.94"/>
    <n v="183"/>
    <n v="158"/>
    <n v="64"/>
    <n v="0.84"/>
    <n v="730"/>
    <s v="Cardio"/>
    <n v="21.1"/>
    <n v="2.4"/>
    <n v="2"/>
    <x v="2"/>
    <n v="27.23"/>
    <s v="Overweight"/>
    <n v="869.04761904761904"/>
    <x v="1"/>
  </r>
  <r>
    <n v="496"/>
    <s v="Mumbai"/>
    <n v="56"/>
    <s v="Male"/>
    <n v="118"/>
    <n v="1.9"/>
    <n v="199"/>
    <n v="126"/>
    <n v="68"/>
    <n v="0.66"/>
    <n v="412"/>
    <s v="HIIT"/>
    <n v="22.6"/>
    <n v="3.2"/>
    <n v="2"/>
    <x v="2"/>
    <n v="32.69"/>
    <s v="Obesity"/>
    <n v="624.24242424242425"/>
    <x v="0"/>
  </r>
  <r>
    <n v="497"/>
    <s v="Kolkata"/>
    <n v="49"/>
    <s v="Male"/>
    <n v="82.3"/>
    <n v="1.84"/>
    <n v="192"/>
    <n v="146"/>
    <n v="71"/>
    <n v="1.29"/>
    <n v="932"/>
    <s v="Strength"/>
    <n v="28.4"/>
    <n v="3.4"/>
    <n v="4"/>
    <x v="1"/>
    <n v="24.31"/>
    <s v="Normal Weight"/>
    <n v="722.48062015503876"/>
    <x v="0"/>
  </r>
  <r>
    <n v="498"/>
    <s v="Kolkata"/>
    <n v="41"/>
    <s v="Male"/>
    <n v="81.599999999999994"/>
    <n v="1.87"/>
    <n v="167"/>
    <n v="128"/>
    <n v="59"/>
    <n v="1.87"/>
    <n v="1185"/>
    <s v="HIIT"/>
    <n v="10.199999999999999"/>
    <n v="3.5"/>
    <n v="5"/>
    <x v="0"/>
    <n v="23.33"/>
    <s v="Normal Weight"/>
    <n v="633.68983957219245"/>
    <x v="0"/>
  </r>
  <r>
    <n v="499"/>
    <s v="Gurgaon"/>
    <n v="40"/>
    <s v="Male"/>
    <n v="60.2"/>
    <n v="1.88"/>
    <n v="183"/>
    <n v="141"/>
    <n v="61"/>
    <n v="1.22"/>
    <n v="946"/>
    <s v="Cardio"/>
    <n v="25.2"/>
    <n v="3"/>
    <n v="3"/>
    <x v="1"/>
    <n v="17.03"/>
    <s v="Underweight"/>
    <n v="775.40983606557381"/>
    <x v="2"/>
  </r>
  <r>
    <n v="500"/>
    <s v="Bengaluru"/>
    <n v="49"/>
    <s v="Female"/>
    <n v="49.2"/>
    <n v="1.54"/>
    <n v="179"/>
    <n v="153"/>
    <n v="63"/>
    <n v="1.28"/>
    <n v="881"/>
    <s v="HIIT"/>
    <n v="30.7"/>
    <n v="2.1"/>
    <n v="3"/>
    <x v="1"/>
    <n v="20.75"/>
    <s v="Normal Weight"/>
    <n v="688.28125"/>
    <x v="1"/>
  </r>
  <r>
    <n v="501"/>
    <s v="Gurgaon"/>
    <n v="54"/>
    <s v="Female"/>
    <n v="46.6"/>
    <n v="1.5"/>
    <n v="175"/>
    <n v="165"/>
    <n v="58"/>
    <n v="1.38"/>
    <n v="1025"/>
    <s v="Strength"/>
    <n v="30.6"/>
    <n v="2"/>
    <n v="2"/>
    <x v="2"/>
    <n v="20.71"/>
    <s v="Normal Weight"/>
    <n v="742.75362318840587"/>
    <x v="1"/>
  </r>
  <r>
    <n v="502"/>
    <s v="Mumbai"/>
    <n v="29"/>
    <s v="Female"/>
    <n v="68.7"/>
    <n v="1.72"/>
    <n v="171"/>
    <n v="168"/>
    <n v="62"/>
    <n v="1.08"/>
    <n v="907"/>
    <s v="Cardio"/>
    <n v="29.8"/>
    <n v="1.7"/>
    <n v="4"/>
    <x v="1"/>
    <n v="23.22"/>
    <s v="Normal Weight"/>
    <n v="839.81481481481478"/>
    <x v="1"/>
  </r>
  <r>
    <n v="503"/>
    <s v="Mumbai"/>
    <n v="30"/>
    <s v="Female"/>
    <n v="60.6"/>
    <n v="1.55"/>
    <n v="172"/>
    <n v="120"/>
    <n v="52"/>
    <n v="1.3"/>
    <n v="780"/>
    <s v="Strength"/>
    <n v="32.9"/>
    <n v="1.6"/>
    <n v="3"/>
    <x v="1"/>
    <n v="25.22"/>
    <s v="Overweight"/>
    <n v="600"/>
    <x v="1"/>
  </r>
  <r>
    <n v="504"/>
    <s v="Hyderabad"/>
    <n v="40"/>
    <s v="Male"/>
    <n v="52.1"/>
    <n v="1.61"/>
    <n v="198"/>
    <n v="128"/>
    <n v="70"/>
    <n v="0.87"/>
    <n v="612"/>
    <s v="HIIT"/>
    <n v="21.3"/>
    <n v="3.3"/>
    <n v="2"/>
    <x v="2"/>
    <n v="20.100000000000001"/>
    <s v="Normal Weight"/>
    <n v="703.44827586206895"/>
    <x v="0"/>
  </r>
  <r>
    <n v="505"/>
    <s v="Gurgaon"/>
    <n v="42"/>
    <s v="Female"/>
    <n v="46.6"/>
    <n v="1.77"/>
    <n v="184"/>
    <n v="139"/>
    <n v="63"/>
    <n v="0.61"/>
    <n v="382"/>
    <s v="Yoga"/>
    <n v="28.1"/>
    <n v="2.6"/>
    <n v="2"/>
    <x v="2"/>
    <n v="14.87"/>
    <s v="Underweight"/>
    <n v="626.22950819672133"/>
    <x v="2"/>
  </r>
  <r>
    <n v="506"/>
    <s v="Chennai"/>
    <n v="52"/>
    <s v="Male"/>
    <n v="65.5"/>
    <n v="1.74"/>
    <n v="191"/>
    <n v="138"/>
    <n v="70"/>
    <n v="1.48"/>
    <n v="1011"/>
    <s v="Strength"/>
    <n v="26.2"/>
    <n v="2.8"/>
    <n v="4"/>
    <x v="1"/>
    <n v="21.63"/>
    <s v="Normal Weight"/>
    <n v="683.10810810810813"/>
    <x v="2"/>
  </r>
  <r>
    <n v="507"/>
    <s v="Bengaluru"/>
    <n v="58"/>
    <s v="Female"/>
    <n v="44.2"/>
    <n v="1.57"/>
    <n v="183"/>
    <n v="155"/>
    <n v="59"/>
    <n v="1.08"/>
    <n v="753"/>
    <s v="HIIT"/>
    <n v="31.9"/>
    <n v="2.2999999999999998"/>
    <n v="3"/>
    <x v="2"/>
    <n v="17.93"/>
    <s v="Underweight"/>
    <n v="697.22222222222217"/>
    <x v="1"/>
  </r>
  <r>
    <n v="508"/>
    <s v="Mumbai"/>
    <n v="47"/>
    <s v="Male"/>
    <n v="89.1"/>
    <n v="1.84"/>
    <n v="168"/>
    <n v="159"/>
    <n v="65"/>
    <n v="1.44"/>
    <n v="1133"/>
    <s v="Yoga"/>
    <n v="24"/>
    <n v="3.6"/>
    <n v="3"/>
    <x v="1"/>
    <n v="26.32"/>
    <s v="Overweight"/>
    <n v="786.80555555555554"/>
    <x v="0"/>
  </r>
  <r>
    <n v="509"/>
    <s v="Hyderabad"/>
    <n v="34"/>
    <s v="Male"/>
    <n v="65.900000000000006"/>
    <n v="1.62"/>
    <n v="199"/>
    <n v="164"/>
    <n v="56"/>
    <n v="0.81"/>
    <n v="731"/>
    <s v="Yoga"/>
    <n v="28.8"/>
    <n v="2.2000000000000002"/>
    <n v="2"/>
    <x v="2"/>
    <n v="25.11"/>
    <s v="Overweight"/>
    <n v="902.46913580246905"/>
    <x v="1"/>
  </r>
  <r>
    <n v="510"/>
    <s v="Gurgaon"/>
    <n v="37"/>
    <s v="Female"/>
    <n v="55.6"/>
    <n v="1.57"/>
    <n v="182"/>
    <n v="123"/>
    <n v="53"/>
    <n v="0.97"/>
    <n v="597"/>
    <s v="Cardio"/>
    <n v="29.2"/>
    <n v="2.4"/>
    <n v="2"/>
    <x v="2"/>
    <n v="22.56"/>
    <s v="Normal Weight"/>
    <n v="615.46391752577324"/>
    <x v="1"/>
  </r>
  <r>
    <n v="511"/>
    <s v="Bengaluru"/>
    <n v="42"/>
    <s v="Male"/>
    <n v="63.7"/>
    <n v="1.98"/>
    <n v="172"/>
    <n v="128"/>
    <n v="69"/>
    <n v="1.37"/>
    <n v="868"/>
    <s v="Yoga"/>
    <n v="24"/>
    <n v="3"/>
    <n v="2"/>
    <x v="2"/>
    <n v="16.25"/>
    <s v="Underweight"/>
    <n v="633.57664233576634"/>
    <x v="2"/>
  </r>
  <r>
    <n v="512"/>
    <s v="Gurgaon"/>
    <n v="39"/>
    <s v="Male"/>
    <n v="86.2"/>
    <n v="1.82"/>
    <n v="191"/>
    <n v="160"/>
    <n v="72"/>
    <n v="1.96"/>
    <n v="1725"/>
    <s v="Strength"/>
    <n v="10.199999999999999"/>
    <n v="3.5"/>
    <n v="5"/>
    <x v="0"/>
    <n v="26.02"/>
    <s v="Overweight"/>
    <n v="880.10204081632651"/>
    <x v="0"/>
  </r>
  <r>
    <n v="513"/>
    <s v="Kolkata"/>
    <n v="30"/>
    <s v="Female"/>
    <n v="59.2"/>
    <n v="1.63"/>
    <n v="174"/>
    <n v="141"/>
    <n v="74"/>
    <n v="1.85"/>
    <n v="1304"/>
    <s v="Strength"/>
    <n v="17.8"/>
    <n v="2.7"/>
    <n v="4"/>
    <x v="0"/>
    <n v="22.28"/>
    <s v="Normal Weight"/>
    <n v="704.86486486486478"/>
    <x v="2"/>
  </r>
  <r>
    <n v="514"/>
    <s v="Hyderabad"/>
    <n v="36"/>
    <s v="Male"/>
    <n v="85.4"/>
    <n v="1.88"/>
    <n v="195"/>
    <n v="137"/>
    <n v="60"/>
    <n v="1.98"/>
    <n v="1492"/>
    <s v="Yoga"/>
    <n v="13.5"/>
    <n v="3.5"/>
    <n v="5"/>
    <x v="0"/>
    <n v="24.16"/>
    <s v="Normal Weight"/>
    <n v="753.53535353535358"/>
    <x v="0"/>
  </r>
  <r>
    <n v="515"/>
    <s v="Bengaluru"/>
    <n v="53"/>
    <s v="Female"/>
    <n v="68.099999999999994"/>
    <n v="1.55"/>
    <n v="164"/>
    <n v="131"/>
    <n v="65"/>
    <n v="1.41"/>
    <n v="831"/>
    <s v="HIIT"/>
    <n v="26.1"/>
    <n v="2.2000000000000002"/>
    <n v="4"/>
    <x v="1"/>
    <n v="28.35"/>
    <s v="Overweight"/>
    <n v="589.36170212765956"/>
    <x v="1"/>
  </r>
  <r>
    <n v="516"/>
    <s v="Noida"/>
    <n v="29"/>
    <s v="Female"/>
    <n v="60"/>
    <n v="1.62"/>
    <n v="181"/>
    <n v="161"/>
    <n v="69"/>
    <n v="0.85"/>
    <n v="684"/>
    <s v="Strength"/>
    <n v="28.1"/>
    <n v="1.9"/>
    <n v="2"/>
    <x v="2"/>
    <n v="22.86"/>
    <s v="Normal Weight"/>
    <n v="804.70588235294122"/>
    <x v="1"/>
  </r>
  <r>
    <n v="517"/>
    <s v="Pune"/>
    <n v="58"/>
    <s v="Female"/>
    <n v="74.8"/>
    <n v="1.69"/>
    <n v="175"/>
    <n v="162"/>
    <n v="53"/>
    <n v="1.28"/>
    <n v="933"/>
    <s v="Strength"/>
    <n v="32.799999999999997"/>
    <n v="2.2999999999999998"/>
    <n v="4"/>
    <x v="1"/>
    <n v="26.19"/>
    <s v="Overweight"/>
    <n v="728.90625"/>
    <x v="1"/>
  </r>
  <r>
    <n v="518"/>
    <s v="Pune"/>
    <n v="36"/>
    <s v="Male"/>
    <n v="90.3"/>
    <n v="1.65"/>
    <n v="169"/>
    <n v="158"/>
    <n v="71"/>
    <n v="1.38"/>
    <n v="1199"/>
    <s v="Cardio"/>
    <n v="23.7"/>
    <n v="3.4"/>
    <n v="4"/>
    <x v="1"/>
    <n v="33.17"/>
    <s v="Obesity"/>
    <n v="868.84057971014499"/>
    <x v="0"/>
  </r>
  <r>
    <n v="519"/>
    <s v="Bengaluru"/>
    <n v="29"/>
    <s v="Male"/>
    <n v="86.1"/>
    <n v="1.65"/>
    <n v="183"/>
    <n v="128"/>
    <n v="71"/>
    <n v="1.66"/>
    <n v="1169"/>
    <s v="HIIT"/>
    <n v="11.2"/>
    <n v="3.5"/>
    <n v="4"/>
    <x v="0"/>
    <n v="31.63"/>
    <s v="Obesity"/>
    <n v="704.2168674698795"/>
    <x v="0"/>
  </r>
  <r>
    <n v="520"/>
    <s v="Gurgaon"/>
    <n v="26"/>
    <s v="Male"/>
    <n v="73.7"/>
    <n v="1.66"/>
    <n v="177"/>
    <n v="125"/>
    <n v="72"/>
    <n v="0.93"/>
    <n v="639"/>
    <s v="Yoga"/>
    <n v="26.7"/>
    <n v="2.2000000000000002"/>
    <n v="2"/>
    <x v="2"/>
    <n v="26.75"/>
    <s v="Overweight"/>
    <n v="687.0967741935483"/>
    <x v="1"/>
  </r>
  <r>
    <n v="521"/>
    <s v="Hyderabad"/>
    <n v="24"/>
    <s v="Female"/>
    <n v="67.7"/>
    <n v="1.56"/>
    <n v="177"/>
    <n v="138"/>
    <n v="66"/>
    <n v="1.42"/>
    <n v="980"/>
    <s v="HIIT"/>
    <n v="27"/>
    <n v="2.1"/>
    <n v="3"/>
    <x v="1"/>
    <n v="27.82"/>
    <s v="Overweight"/>
    <n v="690.14084507042253"/>
    <x v="1"/>
  </r>
  <r>
    <n v="522"/>
    <s v="Pune"/>
    <n v="45"/>
    <s v="Male"/>
    <n v="78.3"/>
    <n v="1.96"/>
    <n v="166"/>
    <n v="167"/>
    <n v="62"/>
    <n v="1.29"/>
    <n v="1066"/>
    <s v="Cardio"/>
    <n v="29"/>
    <n v="2.2000000000000002"/>
    <n v="3"/>
    <x v="2"/>
    <n v="20.38"/>
    <s v="Normal Weight"/>
    <n v="826.35658914728685"/>
    <x v="1"/>
  </r>
  <r>
    <n v="523"/>
    <s v="Hyderabad"/>
    <n v="31"/>
    <s v="Female"/>
    <n v="48.2"/>
    <n v="1.65"/>
    <n v="163"/>
    <n v="166"/>
    <n v="60"/>
    <n v="1.1000000000000001"/>
    <n v="913"/>
    <s v="Cardio"/>
    <n v="26.1"/>
    <n v="2.5"/>
    <n v="2"/>
    <x v="2"/>
    <n v="17.7"/>
    <s v="Underweight"/>
    <n v="829.99999999999989"/>
    <x v="1"/>
  </r>
  <r>
    <n v="524"/>
    <s v="Pune"/>
    <n v="48"/>
    <s v="Female"/>
    <n v="56.8"/>
    <n v="1.51"/>
    <n v="185"/>
    <n v="126"/>
    <n v="52"/>
    <n v="1.37"/>
    <n v="777"/>
    <s v="HIIT"/>
    <n v="32.1"/>
    <n v="2.1"/>
    <n v="4"/>
    <x v="1"/>
    <n v="24.91"/>
    <s v="Normal Weight"/>
    <n v="567.15328467153279"/>
    <x v="1"/>
  </r>
  <r>
    <n v="525"/>
    <s v="Kolkata"/>
    <n v="36"/>
    <s v="Male"/>
    <n v="112.4"/>
    <n v="1.63"/>
    <n v="164"/>
    <n v="135"/>
    <n v="58"/>
    <n v="1.02"/>
    <n v="757"/>
    <s v="Cardio"/>
    <n v="25"/>
    <n v="3.4"/>
    <n v="4"/>
    <x v="1"/>
    <n v="42.3"/>
    <s v="Obesity"/>
    <n v="742.15686274509801"/>
    <x v="0"/>
  </r>
  <r>
    <n v="526"/>
    <s v="Gurgaon"/>
    <n v="33"/>
    <s v="Female"/>
    <n v="59"/>
    <n v="1.67"/>
    <n v="175"/>
    <n v="124"/>
    <n v="55"/>
    <n v="0.9"/>
    <n v="558"/>
    <s v="Cardio"/>
    <n v="33.700000000000003"/>
    <n v="1.9"/>
    <n v="3"/>
    <x v="2"/>
    <n v="21.16"/>
    <s v="Normal Weight"/>
    <n v="620"/>
    <x v="1"/>
  </r>
  <r>
    <n v="527"/>
    <s v="Kolkata"/>
    <n v="22"/>
    <s v="Male"/>
    <n v="98.4"/>
    <n v="1.88"/>
    <n v="194"/>
    <n v="135"/>
    <n v="71"/>
    <n v="0.52"/>
    <n v="386"/>
    <s v="Cardio"/>
    <n v="21.3"/>
    <n v="2.2000000000000002"/>
    <n v="2"/>
    <x v="2"/>
    <n v="27.84"/>
    <s v="Overweight"/>
    <n v="742.30769230769226"/>
    <x v="1"/>
  </r>
  <r>
    <n v="528"/>
    <s v="Pune"/>
    <n v="52"/>
    <s v="Male"/>
    <n v="66.5"/>
    <n v="1.6"/>
    <n v="185"/>
    <n v="120"/>
    <n v="70"/>
    <n v="1.34"/>
    <n v="796"/>
    <s v="HIIT"/>
    <n v="26.8"/>
    <n v="2.1"/>
    <n v="4"/>
    <x v="1"/>
    <n v="25.98"/>
    <s v="Overweight"/>
    <n v="594.02985074626861"/>
    <x v="1"/>
  </r>
  <r>
    <n v="529"/>
    <s v="Noida"/>
    <n v="29"/>
    <s v="Male"/>
    <n v="106.5"/>
    <n v="1.81"/>
    <n v="177"/>
    <n v="156"/>
    <n v="60"/>
    <n v="1.29"/>
    <n v="1107"/>
    <s v="Cardio"/>
    <n v="25.7"/>
    <n v="2.5"/>
    <n v="4"/>
    <x v="1"/>
    <n v="32.51"/>
    <s v="Obesity"/>
    <n v="858.1395348837209"/>
    <x v="1"/>
  </r>
  <r>
    <n v="530"/>
    <s v="Noida"/>
    <n v="42"/>
    <s v="Male"/>
    <n v="88.4"/>
    <n v="1.93"/>
    <n v="188"/>
    <n v="158"/>
    <n v="65"/>
    <n v="1.68"/>
    <n v="1314"/>
    <s v="Yoga"/>
    <n v="12.4"/>
    <n v="3.5"/>
    <n v="4"/>
    <x v="0"/>
    <n v="23.73"/>
    <s v="Normal Weight"/>
    <n v="782.14285714285722"/>
    <x v="0"/>
  </r>
  <r>
    <n v="531"/>
    <s v="Kolkata"/>
    <n v="38"/>
    <s v="Male"/>
    <n v="88.4"/>
    <n v="1.79"/>
    <n v="182"/>
    <n v="138"/>
    <n v="68"/>
    <n v="1.74"/>
    <n v="1321"/>
    <s v="Yoga"/>
    <n v="12.5"/>
    <n v="3.5"/>
    <n v="5"/>
    <x v="0"/>
    <n v="27.59"/>
    <s v="Overweight"/>
    <n v="759.19540229885058"/>
    <x v="0"/>
  </r>
  <r>
    <n v="532"/>
    <s v="Noida"/>
    <n v="53"/>
    <s v="Female"/>
    <n v="53.3"/>
    <n v="1.74"/>
    <n v="173"/>
    <n v="156"/>
    <n v="54"/>
    <n v="1.37"/>
    <n v="962"/>
    <s v="Strength"/>
    <n v="32.200000000000003"/>
    <n v="1.8"/>
    <n v="3"/>
    <x v="1"/>
    <n v="17.600000000000001"/>
    <s v="Underweight"/>
    <n v="702.18978102189772"/>
    <x v="1"/>
  </r>
  <r>
    <n v="533"/>
    <s v="Pune"/>
    <n v="40"/>
    <s v="Female"/>
    <n v="58.1"/>
    <n v="1.56"/>
    <n v="174"/>
    <n v="136"/>
    <n v="63"/>
    <n v="0.61"/>
    <n v="415"/>
    <s v="Yoga"/>
    <n v="34.4"/>
    <n v="2.2000000000000002"/>
    <n v="2"/>
    <x v="2"/>
    <n v="23.87"/>
    <s v="Normal Weight"/>
    <n v="680.32786885245901"/>
    <x v="1"/>
  </r>
  <r>
    <n v="534"/>
    <s v="Bengaluru"/>
    <n v="33"/>
    <s v="Female"/>
    <n v="74.2"/>
    <n v="1.76"/>
    <n v="192"/>
    <n v="145"/>
    <n v="66"/>
    <n v="1.1499999999999999"/>
    <n v="834"/>
    <s v="Strength"/>
    <n v="25.9"/>
    <n v="1.5"/>
    <n v="4"/>
    <x v="1"/>
    <n v="23.95"/>
    <s v="Normal Weight"/>
    <n v="725.21739130434787"/>
    <x v="1"/>
  </r>
  <r>
    <n v="535"/>
    <s v="Kolkata"/>
    <n v="56"/>
    <s v="Male"/>
    <n v="84.6"/>
    <n v="1.63"/>
    <n v="184"/>
    <n v="141"/>
    <n v="52"/>
    <n v="1.01"/>
    <n v="705"/>
    <s v="HIIT"/>
    <n v="20.2"/>
    <n v="2.9"/>
    <n v="4"/>
    <x v="1"/>
    <n v="31.84"/>
    <s v="Obesity"/>
    <n v="698.01980198019805"/>
    <x v="2"/>
  </r>
  <r>
    <n v="536"/>
    <s v="Delhi"/>
    <n v="59"/>
    <s v="Male"/>
    <n v="78"/>
    <n v="1.92"/>
    <n v="180"/>
    <n v="127"/>
    <n v="53"/>
    <n v="0.72"/>
    <n v="453"/>
    <s v="Cardio"/>
    <n v="28.1"/>
    <n v="2.7"/>
    <n v="3"/>
    <x v="2"/>
    <n v="21.16"/>
    <s v="Normal Weight"/>
    <n v="629.16666666666674"/>
    <x v="2"/>
  </r>
  <r>
    <n v="537"/>
    <s v="Gurgaon"/>
    <n v="56"/>
    <s v="Male"/>
    <n v="89"/>
    <n v="1.68"/>
    <n v="176"/>
    <n v="152"/>
    <n v="65"/>
    <n v="1.77"/>
    <n v="1332"/>
    <s v="Yoga"/>
    <n v="10.5"/>
    <n v="3.5"/>
    <n v="5"/>
    <x v="0"/>
    <n v="31.53"/>
    <s v="Obesity"/>
    <n v="752.54237288135596"/>
    <x v="0"/>
  </r>
  <r>
    <n v="538"/>
    <s v="Noida"/>
    <n v="31"/>
    <s v="Female"/>
    <n v="42.7"/>
    <n v="1.76"/>
    <n v="182"/>
    <n v="121"/>
    <n v="65"/>
    <n v="1.46"/>
    <n v="883"/>
    <s v="Strength"/>
    <n v="34.9"/>
    <n v="2.2000000000000002"/>
    <n v="3"/>
    <x v="2"/>
    <n v="13.78"/>
    <s v="Underweight"/>
    <n v="604.79452054794524"/>
    <x v="1"/>
  </r>
  <r>
    <n v="539"/>
    <s v="Noida"/>
    <n v="48"/>
    <s v="Male"/>
    <n v="83.9"/>
    <n v="1.82"/>
    <n v="176"/>
    <n v="149"/>
    <n v="70"/>
    <n v="1.9"/>
    <n v="1401"/>
    <s v="HIIT"/>
    <n v="13.1"/>
    <n v="3.5"/>
    <n v="5"/>
    <x v="0"/>
    <n v="25.33"/>
    <s v="Overweight"/>
    <n v="737.36842105263156"/>
    <x v="0"/>
  </r>
  <r>
    <n v="540"/>
    <s v="Mumbai"/>
    <n v="22"/>
    <s v="Female"/>
    <n v="78.7"/>
    <n v="1.52"/>
    <n v="173"/>
    <n v="166"/>
    <n v="74"/>
    <n v="1.45"/>
    <n v="1204"/>
    <s v="Strength"/>
    <n v="31.5"/>
    <n v="2.2999999999999998"/>
    <n v="3"/>
    <x v="1"/>
    <n v="34.06"/>
    <s v="Obesity"/>
    <n v="830.34482758620697"/>
    <x v="1"/>
  </r>
  <r>
    <n v="541"/>
    <s v="Chennai"/>
    <n v="52"/>
    <s v="Female"/>
    <n v="65.900000000000006"/>
    <n v="1.52"/>
    <n v="188"/>
    <n v="139"/>
    <n v="53"/>
    <n v="1.27"/>
    <n v="794"/>
    <s v="Cardio"/>
    <n v="27"/>
    <n v="2.2999999999999998"/>
    <n v="4"/>
    <x v="1"/>
    <n v="28.52"/>
    <s v="Overweight"/>
    <n v="625.19685039370074"/>
    <x v="1"/>
  </r>
  <r>
    <n v="542"/>
    <s v="Kolkata"/>
    <n v="40"/>
    <s v="Male"/>
    <n v="76.900000000000006"/>
    <n v="1.92"/>
    <n v="179"/>
    <n v="137"/>
    <n v="68"/>
    <n v="1.1299999999999999"/>
    <n v="851"/>
    <s v="Yoga"/>
    <n v="22.4"/>
    <n v="3.7"/>
    <n v="4"/>
    <x v="1"/>
    <n v="20.86"/>
    <s v="Normal Weight"/>
    <n v="753.09734513274338"/>
    <x v="0"/>
  </r>
  <r>
    <n v="543"/>
    <s v="Ahmedabad"/>
    <n v="46"/>
    <s v="Male"/>
    <n v="84.3"/>
    <n v="2"/>
    <n v="189"/>
    <n v="162"/>
    <n v="66"/>
    <n v="1.83"/>
    <n v="1467"/>
    <s v="HIIT"/>
    <n v="13.3"/>
    <n v="3.5"/>
    <n v="5"/>
    <x v="0"/>
    <n v="21.07"/>
    <s v="Normal Weight"/>
    <n v="801.63934426229503"/>
    <x v="0"/>
  </r>
  <r>
    <n v="544"/>
    <s v="Noida"/>
    <n v="28"/>
    <s v="Female"/>
    <n v="62.4"/>
    <n v="1.6"/>
    <n v="178"/>
    <n v="129"/>
    <n v="62"/>
    <n v="1.1000000000000001"/>
    <n v="710"/>
    <s v="Strength"/>
    <n v="34.1"/>
    <n v="1.7"/>
    <n v="3"/>
    <x v="1"/>
    <n v="24.37"/>
    <s v="Normal Weight"/>
    <n v="645.45454545454538"/>
    <x v="1"/>
  </r>
  <r>
    <n v="545"/>
    <s v="Gurgaon"/>
    <n v="35"/>
    <s v="Male"/>
    <n v="63.7"/>
    <n v="1.74"/>
    <n v="198"/>
    <n v="143"/>
    <n v="71"/>
    <n v="1.03"/>
    <n v="810"/>
    <s v="HIIT"/>
    <n v="29.8"/>
    <n v="2.7"/>
    <n v="4"/>
    <x v="1"/>
    <n v="21.04"/>
    <s v="Normal Weight"/>
    <n v="786.40776699029129"/>
    <x v="2"/>
  </r>
  <r>
    <n v="546"/>
    <s v="Delhi"/>
    <n v="29"/>
    <s v="Female"/>
    <n v="54.9"/>
    <n v="1.52"/>
    <n v="172"/>
    <n v="123"/>
    <n v="72"/>
    <n v="1.48"/>
    <n v="910"/>
    <s v="Strength"/>
    <n v="27"/>
    <n v="2"/>
    <n v="3"/>
    <x v="2"/>
    <n v="23.76"/>
    <s v="Normal Weight"/>
    <n v="614.8648648648649"/>
    <x v="1"/>
  </r>
  <r>
    <n v="547"/>
    <s v="Noida"/>
    <n v="26"/>
    <s v="Male"/>
    <n v="76.400000000000006"/>
    <n v="1.79"/>
    <n v="177"/>
    <n v="156"/>
    <n v="73"/>
    <n v="1.17"/>
    <n v="1004"/>
    <s v="Strength"/>
    <n v="21.3"/>
    <n v="2.7"/>
    <n v="3"/>
    <x v="1"/>
    <n v="23.84"/>
    <s v="Normal Weight"/>
    <n v="858.1196581196582"/>
    <x v="2"/>
  </r>
  <r>
    <n v="548"/>
    <s v="Delhi"/>
    <n v="27"/>
    <s v="Male"/>
    <n v="106.4"/>
    <n v="1.86"/>
    <n v="182"/>
    <n v="123"/>
    <n v="50"/>
    <n v="1.34"/>
    <n v="907"/>
    <s v="Cardio"/>
    <n v="20.6"/>
    <n v="3.1"/>
    <n v="2"/>
    <x v="2"/>
    <n v="30.76"/>
    <s v="Obesity"/>
    <n v="676.86567164179098"/>
    <x v="0"/>
  </r>
  <r>
    <n v="549"/>
    <s v="Pune"/>
    <n v="34"/>
    <s v="Female"/>
    <n v="68.400000000000006"/>
    <n v="1.5"/>
    <n v="192"/>
    <n v="132"/>
    <n v="61"/>
    <n v="1.37"/>
    <n v="904"/>
    <s v="Cardio"/>
    <n v="33.700000000000003"/>
    <n v="2.1"/>
    <n v="4"/>
    <x v="1"/>
    <n v="30.4"/>
    <s v="Obesity"/>
    <n v="659.85401459854006"/>
    <x v="1"/>
  </r>
  <r>
    <n v="550"/>
    <s v="Pune"/>
    <n v="55"/>
    <s v="Male"/>
    <n v="63.5"/>
    <n v="1.86"/>
    <n v="198"/>
    <n v="144"/>
    <n v="53"/>
    <n v="1.36"/>
    <n v="969"/>
    <s v="Strength"/>
    <n v="22.9"/>
    <n v="2.9"/>
    <n v="4"/>
    <x v="1"/>
    <n v="18.350000000000001"/>
    <s v="Underweight"/>
    <n v="712.5"/>
    <x v="2"/>
  </r>
  <r>
    <n v="551"/>
    <s v="Chennai"/>
    <n v="24"/>
    <s v="Female"/>
    <n v="59.4"/>
    <n v="1.5"/>
    <n v="199"/>
    <n v="132"/>
    <n v="60"/>
    <n v="1.25"/>
    <n v="825"/>
    <s v="Yoga"/>
    <n v="25"/>
    <n v="2"/>
    <n v="3"/>
    <x v="1"/>
    <n v="26.4"/>
    <s v="Overweight"/>
    <n v="660"/>
    <x v="1"/>
  </r>
  <r>
    <n v="552"/>
    <s v="Bengaluru"/>
    <n v="30"/>
    <s v="Male"/>
    <n v="113.4"/>
    <n v="1.91"/>
    <n v="177"/>
    <n v="137"/>
    <n v="54"/>
    <n v="1.27"/>
    <n v="957"/>
    <s v="HIIT"/>
    <n v="22.2"/>
    <n v="3.7"/>
    <n v="3"/>
    <x v="2"/>
    <n v="31.08"/>
    <s v="Obesity"/>
    <n v="753.54330708661416"/>
    <x v="0"/>
  </r>
  <r>
    <n v="553"/>
    <s v="Ahmedabad"/>
    <n v="57"/>
    <s v="Female"/>
    <n v="61.9"/>
    <n v="1.52"/>
    <n v="168"/>
    <n v="143"/>
    <n v="51"/>
    <n v="0.92"/>
    <n v="592"/>
    <s v="HIIT"/>
    <n v="28.4"/>
    <n v="2.6"/>
    <n v="3"/>
    <x v="2"/>
    <n v="26.79"/>
    <s v="Overweight"/>
    <n v="643.47826086956513"/>
    <x v="2"/>
  </r>
  <r>
    <n v="554"/>
    <s v="Mumbai"/>
    <n v="59"/>
    <s v="Female"/>
    <n v="70.7"/>
    <n v="1.68"/>
    <n v="192"/>
    <n v="121"/>
    <n v="66"/>
    <n v="1.17"/>
    <n v="637"/>
    <s v="Cardio"/>
    <n v="34.9"/>
    <n v="1.9"/>
    <n v="3"/>
    <x v="1"/>
    <n v="25.05"/>
    <s v="Overweight"/>
    <n v="544.44444444444446"/>
    <x v="1"/>
  </r>
  <r>
    <n v="555"/>
    <s v="Chennai"/>
    <n v="26"/>
    <s v="Male"/>
    <n v="111.5"/>
    <n v="1.9"/>
    <n v="191"/>
    <n v="167"/>
    <n v="57"/>
    <n v="1.02"/>
    <n v="937"/>
    <s v="Yoga"/>
    <n v="25.2"/>
    <n v="2.2000000000000002"/>
    <n v="2"/>
    <x v="2"/>
    <n v="30.89"/>
    <s v="Obesity"/>
    <n v="918.62745098039215"/>
    <x v="1"/>
  </r>
  <r>
    <n v="556"/>
    <s v="Hyderabad"/>
    <n v="44"/>
    <s v="Female"/>
    <n v="72.099999999999994"/>
    <n v="1.66"/>
    <n v="176"/>
    <n v="152"/>
    <n v="55"/>
    <n v="1.4"/>
    <n v="958"/>
    <s v="Strength"/>
    <n v="27"/>
    <n v="2.5"/>
    <n v="2"/>
    <x v="2"/>
    <n v="26.16"/>
    <s v="Overweight"/>
    <n v="684.28571428571433"/>
    <x v="1"/>
  </r>
  <r>
    <n v="557"/>
    <s v="Mumbai"/>
    <n v="19"/>
    <s v="Male"/>
    <n v="56.9"/>
    <n v="1.87"/>
    <n v="178"/>
    <n v="138"/>
    <n v="70"/>
    <n v="0.61"/>
    <n v="463"/>
    <s v="Cardio"/>
    <n v="23.3"/>
    <n v="3.7"/>
    <n v="3"/>
    <x v="2"/>
    <n v="16.27"/>
    <s v="Underweight"/>
    <n v="759.01639344262298"/>
    <x v="0"/>
  </r>
  <r>
    <n v="558"/>
    <s v="Kolkata"/>
    <n v="22"/>
    <s v="Male"/>
    <n v="86.2"/>
    <n v="1.9"/>
    <n v="186"/>
    <n v="128"/>
    <n v="58"/>
    <n v="1.91"/>
    <n v="1345"/>
    <s v="Strength"/>
    <n v="11.7"/>
    <n v="3.5"/>
    <n v="5"/>
    <x v="0"/>
    <n v="23.88"/>
    <s v="Normal Weight"/>
    <n v="704.18848167539272"/>
    <x v="0"/>
  </r>
  <r>
    <n v="559"/>
    <s v="Gurgaon"/>
    <n v="46"/>
    <s v="Male"/>
    <n v="59.4"/>
    <n v="1.68"/>
    <n v="165"/>
    <n v="147"/>
    <n v="62"/>
    <n v="1.1599999999999999"/>
    <n v="844"/>
    <s v="Strength"/>
    <n v="20.2"/>
    <n v="2.5"/>
    <n v="4"/>
    <x v="1"/>
    <n v="21.05"/>
    <s v="Normal Weight"/>
    <n v="727.58620689655174"/>
    <x v="1"/>
  </r>
  <r>
    <n v="560"/>
    <s v="Hyderabad"/>
    <n v="54"/>
    <s v="Female"/>
    <n v="75.599999999999994"/>
    <n v="1.72"/>
    <n v="194"/>
    <n v="154"/>
    <n v="60"/>
    <n v="0.97"/>
    <n v="672"/>
    <s v="Cardio"/>
    <n v="26.4"/>
    <n v="1.9"/>
    <n v="3"/>
    <x v="2"/>
    <n v="25.55"/>
    <s v="Overweight"/>
    <n v="692.78350515463922"/>
    <x v="1"/>
  </r>
  <r>
    <n v="561"/>
    <s v="Hyderabad"/>
    <n v="55"/>
    <s v="Female"/>
    <n v="76.3"/>
    <n v="1.73"/>
    <n v="196"/>
    <n v="158"/>
    <n v="65"/>
    <n v="1.08"/>
    <n v="768"/>
    <s v="Yoga"/>
    <n v="32"/>
    <n v="2.6"/>
    <n v="3"/>
    <x v="2"/>
    <n v="25.49"/>
    <s v="Overweight"/>
    <n v="711.11111111111109"/>
    <x v="2"/>
  </r>
  <r>
    <n v="562"/>
    <s v="Chennai"/>
    <n v="36"/>
    <s v="Male"/>
    <n v="95.8"/>
    <n v="1.86"/>
    <n v="193"/>
    <n v="129"/>
    <n v="65"/>
    <n v="1.37"/>
    <n v="972"/>
    <s v="HIIT"/>
    <n v="21.2"/>
    <n v="3.2"/>
    <n v="3"/>
    <x v="2"/>
    <n v="27.69"/>
    <s v="Overweight"/>
    <n v="709.48905109489044"/>
    <x v="0"/>
  </r>
  <r>
    <n v="563"/>
    <s v="Bengaluru"/>
    <n v="25"/>
    <s v="Male"/>
    <n v="120.6"/>
    <n v="1.83"/>
    <n v="179"/>
    <n v="120"/>
    <n v="51"/>
    <n v="1.04"/>
    <n v="686"/>
    <s v="Cardio"/>
    <n v="22.3"/>
    <n v="2.5"/>
    <n v="3"/>
    <x v="1"/>
    <n v="36.01"/>
    <s v="Obesity"/>
    <n v="659.61538461538464"/>
    <x v="1"/>
  </r>
  <r>
    <n v="564"/>
    <s v="Chennai"/>
    <n v="18"/>
    <s v="Female"/>
    <n v="65.3"/>
    <n v="1.55"/>
    <n v="184"/>
    <n v="161"/>
    <n v="59"/>
    <n v="1.42"/>
    <n v="1143"/>
    <s v="Yoga"/>
    <n v="28.5"/>
    <n v="2.2000000000000002"/>
    <n v="3"/>
    <x v="1"/>
    <n v="27.18"/>
    <s v="Overweight"/>
    <n v="804.92957746478874"/>
    <x v="1"/>
  </r>
  <r>
    <n v="565"/>
    <s v="Kolkata"/>
    <n v="39"/>
    <s v="Male"/>
    <n v="85.3"/>
    <n v="1.89"/>
    <n v="163"/>
    <n v="140"/>
    <n v="61"/>
    <n v="0.77"/>
    <n v="593"/>
    <s v="Strength"/>
    <n v="27.6"/>
    <n v="3.6"/>
    <n v="2"/>
    <x v="2"/>
    <n v="23.88"/>
    <s v="Normal Weight"/>
    <n v="770.12987012987014"/>
    <x v="0"/>
  </r>
  <r>
    <n v="566"/>
    <s v="Noida"/>
    <n v="34"/>
    <s v="Male"/>
    <n v="68"/>
    <n v="1.68"/>
    <n v="169"/>
    <n v="128"/>
    <n v="57"/>
    <n v="0.67"/>
    <n v="472"/>
    <s v="Cardio"/>
    <n v="25.8"/>
    <n v="3.4"/>
    <n v="2"/>
    <x v="2"/>
    <n v="24.09"/>
    <s v="Normal Weight"/>
    <n v="704.47761194029852"/>
    <x v="0"/>
  </r>
  <r>
    <n v="567"/>
    <s v="Noida"/>
    <n v="24"/>
    <s v="Female"/>
    <n v="52.6"/>
    <n v="1.57"/>
    <n v="169"/>
    <n v="166"/>
    <n v="60"/>
    <n v="1.29"/>
    <n v="1071"/>
    <s v="HIIT"/>
    <n v="31.9"/>
    <n v="2.4"/>
    <n v="2"/>
    <x v="2"/>
    <n v="21.34"/>
    <s v="Normal Weight"/>
    <n v="830.23255813953483"/>
    <x v="1"/>
  </r>
  <r>
    <n v="568"/>
    <s v="Bengaluru"/>
    <n v="42"/>
    <s v="Male"/>
    <n v="63.3"/>
    <n v="1.77"/>
    <n v="183"/>
    <n v="134"/>
    <n v="59"/>
    <n v="1.32"/>
    <n v="876"/>
    <s v="HIIT"/>
    <n v="25.7"/>
    <n v="3.3"/>
    <n v="3"/>
    <x v="1"/>
    <n v="20.2"/>
    <s v="Normal Weight"/>
    <n v="663.63636363636363"/>
    <x v="0"/>
  </r>
  <r>
    <n v="569"/>
    <s v="Kolkata"/>
    <n v="21"/>
    <s v="Female"/>
    <n v="76.3"/>
    <n v="1.65"/>
    <n v="180"/>
    <n v="154"/>
    <n v="62"/>
    <n v="1.1399999999999999"/>
    <n v="878"/>
    <s v="Strength"/>
    <n v="31.8"/>
    <n v="1.7"/>
    <n v="3"/>
    <x v="1"/>
    <n v="28.03"/>
    <s v="Overweight"/>
    <n v="770.17543859649129"/>
    <x v="1"/>
  </r>
  <r>
    <n v="570"/>
    <s v="Bengaluru"/>
    <n v="53"/>
    <s v="Male"/>
    <n v="61"/>
    <n v="1.63"/>
    <n v="170"/>
    <n v="124"/>
    <n v="74"/>
    <n v="0.54"/>
    <n v="331"/>
    <s v="Cardio"/>
    <n v="20"/>
    <n v="3.4"/>
    <n v="3"/>
    <x v="2"/>
    <n v="22.96"/>
    <s v="Normal Weight"/>
    <n v="612.96296296296293"/>
    <x v="0"/>
  </r>
  <r>
    <n v="571"/>
    <s v="Delhi"/>
    <n v="23"/>
    <s v="Female"/>
    <n v="67.8"/>
    <n v="1.61"/>
    <n v="186"/>
    <n v="160"/>
    <n v="66"/>
    <n v="1.34"/>
    <n v="1072"/>
    <s v="HIIT"/>
    <n v="34.299999999999997"/>
    <n v="1.8"/>
    <n v="2"/>
    <x v="2"/>
    <n v="26.16"/>
    <s v="Overweight"/>
    <n v="800"/>
    <x v="1"/>
  </r>
  <r>
    <n v="572"/>
    <s v="Noida"/>
    <n v="48"/>
    <s v="Male"/>
    <n v="114.9"/>
    <n v="1.86"/>
    <n v="175"/>
    <n v="141"/>
    <n v="56"/>
    <n v="1.36"/>
    <n v="949"/>
    <s v="Cardio"/>
    <n v="21.1"/>
    <n v="3.6"/>
    <n v="3"/>
    <x v="2"/>
    <n v="33.21"/>
    <s v="Obesity"/>
    <n v="697.79411764705878"/>
    <x v="0"/>
  </r>
  <r>
    <n v="573"/>
    <s v="Hyderabad"/>
    <n v="36"/>
    <s v="Male"/>
    <n v="88"/>
    <n v="1.71"/>
    <n v="185"/>
    <n v="160"/>
    <n v="73"/>
    <n v="1.87"/>
    <n v="1646"/>
    <s v="HIIT"/>
    <n v="12"/>
    <n v="3.5"/>
    <n v="5"/>
    <x v="0"/>
    <n v="30.09"/>
    <s v="Obesity"/>
    <n v="880.21390374331543"/>
    <x v="0"/>
  </r>
  <r>
    <n v="574"/>
    <s v="Ahmedabad"/>
    <n v="56"/>
    <s v="Female"/>
    <n v="67.7"/>
    <n v="1.58"/>
    <n v="189"/>
    <n v="142"/>
    <n v="52"/>
    <n v="1.45"/>
    <n v="927"/>
    <s v="Strength"/>
    <n v="32.700000000000003"/>
    <n v="1.9"/>
    <n v="2"/>
    <x v="2"/>
    <n v="27.12"/>
    <s v="Overweight"/>
    <n v="639.31034482758628"/>
    <x v="1"/>
  </r>
  <r>
    <n v="575"/>
    <s v="Gurgaon"/>
    <n v="44"/>
    <s v="Male"/>
    <n v="124.8"/>
    <n v="1.85"/>
    <n v="175"/>
    <n v="126"/>
    <n v="69"/>
    <n v="1.35"/>
    <n v="842"/>
    <s v="Strength"/>
    <n v="24.4"/>
    <n v="3.5"/>
    <n v="4"/>
    <x v="1"/>
    <n v="36.46"/>
    <s v="Obesity"/>
    <n v="623.7037037037037"/>
    <x v="0"/>
  </r>
  <r>
    <n v="576"/>
    <s v="Kolkata"/>
    <n v="27"/>
    <s v="Female"/>
    <n v="53"/>
    <n v="1.58"/>
    <n v="166"/>
    <n v="142"/>
    <n v="62"/>
    <n v="1.26"/>
    <n v="895"/>
    <s v="Cardio"/>
    <n v="34.5"/>
    <n v="1.8"/>
    <n v="4"/>
    <x v="1"/>
    <n v="21.23"/>
    <s v="Normal Weight"/>
    <n v="710.31746031746036"/>
    <x v="1"/>
  </r>
  <r>
    <n v="577"/>
    <s v="Mumbai"/>
    <n v="43"/>
    <s v="Male"/>
    <n v="61.2"/>
    <n v="1.88"/>
    <n v="175"/>
    <n v="163"/>
    <n v="68"/>
    <n v="1.03"/>
    <n v="831"/>
    <s v="Yoga"/>
    <n v="24.7"/>
    <n v="2.9"/>
    <n v="3"/>
    <x v="2"/>
    <n v="17.32"/>
    <s v="Underweight"/>
    <n v="806.79611650485435"/>
    <x v="2"/>
  </r>
  <r>
    <n v="578"/>
    <s v="Bengaluru"/>
    <n v="36"/>
    <s v="Female"/>
    <n v="48.7"/>
    <n v="1.68"/>
    <n v="194"/>
    <n v="144"/>
    <n v="56"/>
    <n v="1.23"/>
    <n v="886"/>
    <s v="Yoga"/>
    <n v="33.700000000000003"/>
    <n v="1.6"/>
    <n v="3"/>
    <x v="2"/>
    <n v="17.25"/>
    <s v="Underweight"/>
    <n v="720.32520325203257"/>
    <x v="1"/>
  </r>
  <r>
    <n v="579"/>
    <s v="Gurgaon"/>
    <n v="56"/>
    <s v="Female"/>
    <n v="50.6"/>
    <n v="1.7"/>
    <n v="175"/>
    <n v="146"/>
    <n v="58"/>
    <n v="1.29"/>
    <n v="848"/>
    <s v="Strength"/>
    <n v="33.1"/>
    <n v="2.2999999999999998"/>
    <n v="2"/>
    <x v="2"/>
    <n v="17.510000000000002"/>
    <s v="Underweight"/>
    <n v="657.36434108527135"/>
    <x v="1"/>
  </r>
  <r>
    <n v="580"/>
    <s v="Mumbai"/>
    <n v="20"/>
    <s v="Female"/>
    <n v="72.599999999999994"/>
    <n v="1.73"/>
    <n v="199"/>
    <n v="160"/>
    <n v="68"/>
    <n v="1.27"/>
    <n v="1016"/>
    <s v="HIIT"/>
    <n v="34.799999999999997"/>
    <n v="2.5"/>
    <n v="3"/>
    <x v="1"/>
    <n v="24.26"/>
    <s v="Normal Weight"/>
    <n v="800"/>
    <x v="1"/>
  </r>
  <r>
    <n v="581"/>
    <s v="Gurgaon"/>
    <n v="30"/>
    <s v="Female"/>
    <n v="70.400000000000006"/>
    <n v="1.56"/>
    <n v="171"/>
    <n v="125"/>
    <n v="62"/>
    <n v="1.03"/>
    <n v="644"/>
    <s v="Yoga"/>
    <n v="34.299999999999997"/>
    <n v="2.4"/>
    <n v="4"/>
    <x v="1"/>
    <n v="28.93"/>
    <s v="Overweight"/>
    <n v="625.24271844660188"/>
    <x v="1"/>
  </r>
  <r>
    <n v="582"/>
    <s v="Ahmedabad"/>
    <n v="45"/>
    <s v="Male"/>
    <n v="52.5"/>
    <n v="1.88"/>
    <n v="194"/>
    <n v="153"/>
    <n v="71"/>
    <n v="1.08"/>
    <n v="818"/>
    <s v="Strength"/>
    <n v="29"/>
    <n v="2.9"/>
    <n v="4"/>
    <x v="1"/>
    <n v="14.85"/>
    <s v="Underweight"/>
    <n v="757.40740740740739"/>
    <x v="2"/>
  </r>
  <r>
    <n v="583"/>
    <s v="Mumbai"/>
    <n v="37"/>
    <s v="Male"/>
    <n v="76.3"/>
    <n v="1.77"/>
    <n v="180"/>
    <n v="128"/>
    <n v="57"/>
    <n v="1.36"/>
    <n v="957"/>
    <s v="HIIT"/>
    <n v="27.3"/>
    <n v="2.1"/>
    <n v="4"/>
    <x v="1"/>
    <n v="24.35"/>
    <s v="Normal Weight"/>
    <n v="703.67647058823525"/>
    <x v="1"/>
  </r>
  <r>
    <n v="584"/>
    <s v="Chennai"/>
    <n v="45"/>
    <s v="Female"/>
    <n v="41.2"/>
    <n v="1.58"/>
    <n v="195"/>
    <n v="168"/>
    <n v="71"/>
    <n v="1.47"/>
    <n v="1111"/>
    <s v="HIIT"/>
    <n v="28.7"/>
    <n v="2.6"/>
    <n v="2"/>
    <x v="2"/>
    <n v="16.5"/>
    <s v="Underweight"/>
    <n v="755.78231292517012"/>
    <x v="2"/>
  </r>
  <r>
    <n v="585"/>
    <s v="Pune"/>
    <n v="25"/>
    <s v="Female"/>
    <n v="55.3"/>
    <n v="1.76"/>
    <n v="176"/>
    <n v="152"/>
    <n v="67"/>
    <n v="1.56"/>
    <n v="1186"/>
    <s v="Yoga"/>
    <n v="15.5"/>
    <n v="2.7"/>
    <n v="4"/>
    <x v="0"/>
    <n v="17.850000000000001"/>
    <s v="Underweight"/>
    <n v="760.25641025641028"/>
    <x v="2"/>
  </r>
  <r>
    <n v="586"/>
    <s v="Chennai"/>
    <n v="58"/>
    <s v="Female"/>
    <n v="49.7"/>
    <n v="1.67"/>
    <n v="191"/>
    <n v="125"/>
    <n v="72"/>
    <n v="1.38"/>
    <n v="776"/>
    <s v="Strength"/>
    <n v="31.9"/>
    <n v="2.2999999999999998"/>
    <n v="4"/>
    <x v="1"/>
    <n v="17.82"/>
    <s v="Underweight"/>
    <n v="562.31884057971024"/>
    <x v="1"/>
  </r>
  <r>
    <n v="587"/>
    <s v="Noida"/>
    <n v="56"/>
    <s v="Male"/>
    <n v="48.3"/>
    <n v="1.87"/>
    <n v="165"/>
    <n v="156"/>
    <n v="51"/>
    <n v="0.68"/>
    <n v="525"/>
    <s v="HIIT"/>
    <n v="29.8"/>
    <n v="3.3"/>
    <n v="3"/>
    <x v="2"/>
    <n v="13.81"/>
    <s v="Underweight"/>
    <n v="772.05882352941171"/>
    <x v="0"/>
  </r>
  <r>
    <n v="588"/>
    <s v="Pune"/>
    <n v="18"/>
    <s v="Male"/>
    <n v="83.2"/>
    <n v="1.96"/>
    <n v="183"/>
    <n v="150"/>
    <n v="67"/>
    <n v="1.83"/>
    <n v="1510"/>
    <s v="HIIT"/>
    <n v="13.6"/>
    <n v="3.5"/>
    <n v="4"/>
    <x v="0"/>
    <n v="21.66"/>
    <s v="Normal Weight"/>
    <n v="825.1366120218579"/>
    <x v="0"/>
  </r>
  <r>
    <n v="589"/>
    <s v="Chennai"/>
    <n v="20"/>
    <s v="Male"/>
    <n v="120.5"/>
    <n v="1.73"/>
    <n v="186"/>
    <n v="153"/>
    <n v="67"/>
    <n v="1.01"/>
    <n v="850"/>
    <s v="Cardio"/>
    <n v="29.3"/>
    <n v="3.4"/>
    <n v="3"/>
    <x v="1"/>
    <n v="40.26"/>
    <s v="Obesity"/>
    <n v="841.58415841584156"/>
    <x v="0"/>
  </r>
  <r>
    <n v="590"/>
    <s v="Pune"/>
    <n v="30"/>
    <s v="Male"/>
    <n v="121.6"/>
    <n v="2"/>
    <n v="179"/>
    <n v="160"/>
    <n v="60"/>
    <n v="1.24"/>
    <n v="1091"/>
    <s v="Cardio"/>
    <n v="28"/>
    <n v="3.3"/>
    <n v="4"/>
    <x v="1"/>
    <n v="30.4"/>
    <s v="Obesity"/>
    <n v="879.83870967741939"/>
    <x v="0"/>
  </r>
  <r>
    <n v="591"/>
    <s v="Pune"/>
    <n v="45"/>
    <s v="Female"/>
    <n v="73"/>
    <n v="1.75"/>
    <n v="184"/>
    <n v="148"/>
    <n v="50"/>
    <n v="1.1399999999999999"/>
    <n v="759"/>
    <s v="Yoga"/>
    <n v="26.6"/>
    <n v="2"/>
    <n v="4"/>
    <x v="1"/>
    <n v="23.84"/>
    <s v="Normal Weight"/>
    <n v="665.78947368421063"/>
    <x v="1"/>
  </r>
  <r>
    <n v="592"/>
    <s v="Hyderabad"/>
    <n v="42"/>
    <s v="Female"/>
    <n v="57.5"/>
    <n v="1.67"/>
    <n v="161"/>
    <n v="133"/>
    <n v="63"/>
    <n v="1.76"/>
    <n v="1053"/>
    <s v="Cardio"/>
    <n v="16.2"/>
    <n v="2.7"/>
    <n v="5"/>
    <x v="0"/>
    <n v="20.62"/>
    <s v="Normal Weight"/>
    <n v="598.2954545454545"/>
    <x v="2"/>
  </r>
  <r>
    <n v="593"/>
    <s v="Bengaluru"/>
    <n v="50"/>
    <s v="Female"/>
    <n v="42.7"/>
    <n v="1.53"/>
    <n v="168"/>
    <n v="155"/>
    <n v="65"/>
    <n v="1.41"/>
    <n v="983"/>
    <s v="Strength"/>
    <n v="28.4"/>
    <n v="2.4"/>
    <n v="4"/>
    <x v="1"/>
    <n v="18.239999999999998"/>
    <s v="Underweight"/>
    <n v="697.16312056737593"/>
    <x v="1"/>
  </r>
  <r>
    <n v="594"/>
    <s v="Bengaluru"/>
    <n v="55"/>
    <s v="Male"/>
    <n v="129.9"/>
    <n v="1.73"/>
    <n v="187"/>
    <n v="155"/>
    <n v="60"/>
    <n v="0.69"/>
    <n v="529"/>
    <s v="Yoga"/>
    <n v="21.7"/>
    <n v="3.1"/>
    <n v="3"/>
    <x v="2"/>
    <n v="43.4"/>
    <s v="Obesity"/>
    <n v="766.66666666666674"/>
    <x v="0"/>
  </r>
  <r>
    <n v="595"/>
    <s v="Hyderabad"/>
    <n v="23"/>
    <s v="Male"/>
    <n v="108.6"/>
    <n v="1.92"/>
    <n v="197"/>
    <n v="134"/>
    <n v="50"/>
    <n v="0.89"/>
    <n v="656"/>
    <s v="Yoga"/>
    <n v="25.8"/>
    <n v="3.5"/>
    <n v="2"/>
    <x v="2"/>
    <n v="29.46"/>
    <s v="Overweight"/>
    <n v="737.0786516853932"/>
    <x v="0"/>
  </r>
  <r>
    <n v="596"/>
    <s v="Gurgaon"/>
    <n v="49"/>
    <s v="Male"/>
    <n v="88.6"/>
    <n v="2"/>
    <n v="162"/>
    <n v="127"/>
    <n v="56"/>
    <n v="1.83"/>
    <n v="1150"/>
    <s v="Cardio"/>
    <n v="14.9"/>
    <n v="3.5"/>
    <n v="4"/>
    <x v="0"/>
    <n v="22.15"/>
    <s v="Normal Weight"/>
    <n v="628.41530054644807"/>
    <x v="0"/>
  </r>
  <r>
    <n v="597"/>
    <s v="Delhi"/>
    <n v="38"/>
    <s v="Female"/>
    <n v="49.7"/>
    <n v="1.51"/>
    <n v="179"/>
    <n v="145"/>
    <n v="65"/>
    <n v="1.25"/>
    <n v="906"/>
    <s v="HIIT"/>
    <n v="32.6"/>
    <n v="2.5"/>
    <n v="3"/>
    <x v="2"/>
    <n v="21.8"/>
    <s v="Normal Weight"/>
    <n v="724.8"/>
    <x v="1"/>
  </r>
  <r>
    <n v="598"/>
    <s v="Gurgaon"/>
    <n v="33"/>
    <s v="Female"/>
    <n v="56.4"/>
    <n v="1.54"/>
    <n v="165"/>
    <n v="155"/>
    <n v="63"/>
    <n v="1.06"/>
    <n v="822"/>
    <s v="Strength"/>
    <n v="29.2"/>
    <n v="1.5"/>
    <n v="3"/>
    <x v="2"/>
    <n v="23.78"/>
    <s v="Normal Weight"/>
    <n v="775.47169811320748"/>
    <x v="1"/>
  </r>
  <r>
    <n v="599"/>
    <s v="Mumbai"/>
    <n v="38"/>
    <s v="Male"/>
    <n v="46.9"/>
    <n v="1.74"/>
    <n v="198"/>
    <n v="167"/>
    <n v="64"/>
    <n v="1.03"/>
    <n v="946"/>
    <s v="Strength"/>
    <n v="20"/>
    <n v="2.6"/>
    <n v="4"/>
    <x v="1"/>
    <n v="15.49"/>
    <s v="Underweight"/>
    <n v="918.44660194174753"/>
    <x v="2"/>
  </r>
  <r>
    <n v="600"/>
    <s v="Mumbai"/>
    <n v="28"/>
    <s v="Female"/>
    <n v="71.3"/>
    <n v="1.67"/>
    <n v="192"/>
    <n v="140"/>
    <n v="63"/>
    <n v="1.46"/>
    <n v="1022"/>
    <s v="Strength"/>
    <n v="28.1"/>
    <n v="1.5"/>
    <n v="4"/>
    <x v="1"/>
    <n v="25.57"/>
    <s v="Overweight"/>
    <n v="700"/>
    <x v="1"/>
  </r>
  <r>
    <n v="601"/>
    <s v="Pune"/>
    <n v="54"/>
    <s v="Male"/>
    <n v="71.599999999999994"/>
    <n v="1.86"/>
    <n v="160"/>
    <n v="147"/>
    <n v="70"/>
    <n v="1.1399999999999999"/>
    <n v="830"/>
    <s v="Yoga"/>
    <n v="25.3"/>
    <n v="2.2000000000000002"/>
    <n v="3"/>
    <x v="1"/>
    <n v="20.7"/>
    <s v="Normal Weight"/>
    <n v="728.07017543859661"/>
    <x v="1"/>
  </r>
  <r>
    <n v="602"/>
    <s v="Chennai"/>
    <n v="53"/>
    <s v="Male"/>
    <n v="82.3"/>
    <n v="1.61"/>
    <n v="196"/>
    <n v="123"/>
    <n v="60"/>
    <n v="1.87"/>
    <n v="1139"/>
    <s v="Strength"/>
    <n v="11.6"/>
    <n v="3.5"/>
    <n v="5"/>
    <x v="0"/>
    <n v="31.75"/>
    <s v="Obesity"/>
    <n v="609.09090909090901"/>
    <x v="0"/>
  </r>
  <r>
    <n v="603"/>
    <s v="Chennai"/>
    <n v="52"/>
    <s v="Female"/>
    <n v="70.599999999999994"/>
    <n v="1.69"/>
    <n v="165"/>
    <n v="135"/>
    <n v="65"/>
    <n v="1.36"/>
    <n v="826"/>
    <s v="HIIT"/>
    <n v="26.1"/>
    <n v="2.2000000000000002"/>
    <n v="3"/>
    <x v="2"/>
    <n v="24.72"/>
    <s v="Normal Weight"/>
    <n v="607.35294117647049"/>
    <x v="1"/>
  </r>
  <r>
    <n v="604"/>
    <s v="Bengaluru"/>
    <n v="36"/>
    <s v="Male"/>
    <n v="109.8"/>
    <n v="1.62"/>
    <n v="193"/>
    <n v="141"/>
    <n v="68"/>
    <n v="0.84"/>
    <n v="651"/>
    <s v="HIIT"/>
    <n v="24.4"/>
    <n v="3.5"/>
    <n v="3"/>
    <x v="2"/>
    <n v="41.84"/>
    <s v="Obesity"/>
    <n v="775"/>
    <x v="0"/>
  </r>
  <r>
    <n v="605"/>
    <s v="Kolkata"/>
    <n v="37"/>
    <s v="Female"/>
    <n v="73.5"/>
    <n v="1.69"/>
    <n v="174"/>
    <n v="131"/>
    <n v="66"/>
    <n v="0.54"/>
    <n v="354"/>
    <s v="Cardio"/>
    <n v="27.5"/>
    <n v="1.6"/>
    <n v="2"/>
    <x v="2"/>
    <n v="25.73"/>
    <s v="Overweight"/>
    <n v="655.55555555555554"/>
    <x v="1"/>
  </r>
  <r>
    <n v="606"/>
    <s v="Gurgaon"/>
    <n v="35"/>
    <s v="Male"/>
    <n v="85.6"/>
    <n v="1.85"/>
    <n v="185"/>
    <n v="135"/>
    <n v="55"/>
    <n v="1.78"/>
    <n v="1322"/>
    <s v="Strength"/>
    <n v="14.5"/>
    <n v="3.5"/>
    <n v="5"/>
    <x v="0"/>
    <n v="25.01"/>
    <s v="Overweight"/>
    <n v="742.69662921348311"/>
    <x v="0"/>
  </r>
  <r>
    <n v="607"/>
    <s v="Noida"/>
    <n v="58"/>
    <s v="Female"/>
    <n v="74.599999999999994"/>
    <n v="1.68"/>
    <n v="173"/>
    <n v="159"/>
    <n v="60"/>
    <n v="1.03"/>
    <n v="737"/>
    <s v="Yoga"/>
    <n v="26"/>
    <n v="2"/>
    <n v="4"/>
    <x v="1"/>
    <n v="26.43"/>
    <s v="Overweight"/>
    <n v="715.53398058252424"/>
    <x v="1"/>
  </r>
  <r>
    <n v="608"/>
    <s v="Ahmedabad"/>
    <n v="31"/>
    <s v="Female"/>
    <n v="63.2"/>
    <n v="1.8"/>
    <n v="166"/>
    <n v="157"/>
    <n v="66"/>
    <n v="0.59"/>
    <n v="463"/>
    <s v="Cardio"/>
    <n v="25.5"/>
    <n v="2.6"/>
    <n v="2"/>
    <x v="2"/>
    <n v="19.510000000000002"/>
    <s v="Normal Weight"/>
    <n v="784.74576271186447"/>
    <x v="2"/>
  </r>
  <r>
    <n v="609"/>
    <s v="Chennai"/>
    <n v="32"/>
    <s v="Female"/>
    <n v="62.6"/>
    <n v="1.63"/>
    <n v="190"/>
    <n v="161"/>
    <n v="58"/>
    <n v="1.67"/>
    <n v="1344"/>
    <s v="HIIT"/>
    <n v="15"/>
    <n v="2.7"/>
    <n v="5"/>
    <x v="0"/>
    <n v="23.56"/>
    <s v="Normal Weight"/>
    <n v="804.79041916167671"/>
    <x v="2"/>
  </r>
  <r>
    <n v="610"/>
    <s v="Ahmedabad"/>
    <n v="48"/>
    <s v="Male"/>
    <n v="87.1"/>
    <n v="1.76"/>
    <n v="183"/>
    <n v="156"/>
    <n v="67"/>
    <n v="1.81"/>
    <n v="1398"/>
    <s v="Strength"/>
    <n v="11.6"/>
    <n v="3.5"/>
    <n v="5"/>
    <x v="0"/>
    <n v="28.12"/>
    <s v="Overweight"/>
    <n v="772.37569060773478"/>
    <x v="0"/>
  </r>
  <r>
    <n v="611"/>
    <s v="Pune"/>
    <n v="18"/>
    <s v="Male"/>
    <n v="82.3"/>
    <n v="1.84"/>
    <n v="190"/>
    <n v="148"/>
    <n v="66"/>
    <n v="1.73"/>
    <n v="1408"/>
    <s v="HIIT"/>
    <n v="13.3"/>
    <n v="3.5"/>
    <n v="5"/>
    <x v="0"/>
    <n v="24.31"/>
    <s v="Normal Weight"/>
    <n v="813.87283236994222"/>
    <x v="0"/>
  </r>
  <r>
    <n v="612"/>
    <s v="Ahmedabad"/>
    <n v="20"/>
    <s v="Female"/>
    <n v="64.3"/>
    <n v="1.78"/>
    <n v="188"/>
    <n v="137"/>
    <n v="61"/>
    <n v="1.71"/>
    <n v="1171"/>
    <s v="Cardio"/>
    <n v="18.7"/>
    <n v="2.7"/>
    <n v="4"/>
    <x v="0"/>
    <n v="20.29"/>
    <s v="Normal Weight"/>
    <n v="684.79532163742692"/>
    <x v="2"/>
  </r>
  <r>
    <n v="613"/>
    <s v="Noida"/>
    <n v="33"/>
    <s v="Female"/>
    <n v="53.7"/>
    <n v="1.66"/>
    <n v="191"/>
    <n v="129"/>
    <n v="72"/>
    <n v="1.25"/>
    <n v="806"/>
    <s v="HIIT"/>
    <n v="29.5"/>
    <n v="2.5"/>
    <n v="3"/>
    <x v="2"/>
    <n v="19.489999999999998"/>
    <s v="Normal Weight"/>
    <n v="644.79999999999995"/>
    <x v="1"/>
  </r>
  <r>
    <n v="614"/>
    <s v="Hyderabad"/>
    <n v="40"/>
    <s v="Male"/>
    <n v="63"/>
    <n v="2"/>
    <n v="176"/>
    <n v="161"/>
    <n v="71"/>
    <n v="1.42"/>
    <n v="1257"/>
    <s v="Strength"/>
    <n v="26.8"/>
    <n v="2.9"/>
    <n v="4"/>
    <x v="1"/>
    <n v="15.75"/>
    <s v="Underweight"/>
    <n v="885.21126760563379"/>
    <x v="2"/>
  </r>
  <r>
    <n v="615"/>
    <s v="Noida"/>
    <n v="28"/>
    <s v="Male"/>
    <n v="128.4"/>
    <n v="1.86"/>
    <n v="173"/>
    <n v="158"/>
    <n v="71"/>
    <n v="1.06"/>
    <n v="921"/>
    <s v="Strength"/>
    <n v="23.6"/>
    <n v="3.3"/>
    <n v="4"/>
    <x v="1"/>
    <n v="37.11"/>
    <s v="Obesity"/>
    <n v="868.86792452830184"/>
    <x v="0"/>
  </r>
  <r>
    <n v="616"/>
    <s v="Ahmedabad"/>
    <n v="29"/>
    <s v="Male"/>
    <n v="88"/>
    <n v="1.89"/>
    <n v="199"/>
    <n v="137"/>
    <n v="54"/>
    <n v="1.75"/>
    <n v="1319"/>
    <s v="Cardio"/>
    <n v="13.3"/>
    <n v="3.5"/>
    <n v="5"/>
    <x v="0"/>
    <n v="24.64"/>
    <s v="Normal Weight"/>
    <n v="753.71428571428567"/>
    <x v="0"/>
  </r>
  <r>
    <n v="617"/>
    <s v="Noida"/>
    <n v="27"/>
    <s v="Female"/>
    <n v="63.7"/>
    <n v="1.52"/>
    <n v="195"/>
    <n v="120"/>
    <n v="60"/>
    <n v="1.19"/>
    <n v="714"/>
    <s v="Strength"/>
    <n v="25.4"/>
    <n v="2.1"/>
    <n v="4"/>
    <x v="1"/>
    <n v="27.57"/>
    <s v="Overweight"/>
    <n v="600"/>
    <x v="1"/>
  </r>
  <r>
    <n v="618"/>
    <s v="Delhi"/>
    <n v="49"/>
    <s v="Male"/>
    <n v="83.7"/>
    <n v="1.87"/>
    <n v="183"/>
    <n v="158"/>
    <n v="53"/>
    <n v="1.29"/>
    <n v="1009"/>
    <s v="HIIT"/>
    <n v="23.9"/>
    <n v="2.2999999999999998"/>
    <n v="4"/>
    <x v="1"/>
    <n v="23.94"/>
    <s v="Normal Weight"/>
    <n v="782.17054263565888"/>
    <x v="1"/>
  </r>
  <r>
    <n v="619"/>
    <s v="Pune"/>
    <n v="33"/>
    <s v="Male"/>
    <n v="102.6"/>
    <n v="1.75"/>
    <n v="186"/>
    <n v="140"/>
    <n v="53"/>
    <n v="1.4"/>
    <n v="1078"/>
    <s v="HIIT"/>
    <n v="27.9"/>
    <n v="2.2000000000000002"/>
    <n v="3"/>
    <x v="1"/>
    <n v="33.5"/>
    <s v="Obesity"/>
    <n v="770"/>
    <x v="1"/>
  </r>
  <r>
    <n v="620"/>
    <s v="Gurgaon"/>
    <n v="25"/>
    <s v="Female"/>
    <n v="77.7"/>
    <n v="1.55"/>
    <n v="184"/>
    <n v="120"/>
    <n v="52"/>
    <n v="0.55000000000000004"/>
    <n v="330"/>
    <s v="Yoga"/>
    <n v="33"/>
    <n v="1.7"/>
    <n v="2"/>
    <x v="2"/>
    <n v="32.340000000000003"/>
    <s v="Obesity"/>
    <n v="600"/>
    <x v="1"/>
  </r>
  <r>
    <n v="621"/>
    <s v="Hyderabad"/>
    <n v="55"/>
    <s v="Male"/>
    <n v="87.5"/>
    <n v="1.88"/>
    <n v="191"/>
    <n v="134"/>
    <n v="73"/>
    <n v="1.19"/>
    <n v="789"/>
    <s v="Yoga"/>
    <n v="27.2"/>
    <n v="2.6"/>
    <n v="4"/>
    <x v="1"/>
    <n v="24.76"/>
    <s v="Normal Weight"/>
    <n v="663.02521008403369"/>
    <x v="2"/>
  </r>
  <r>
    <n v="622"/>
    <s v="Chennai"/>
    <n v="29"/>
    <s v="Male"/>
    <n v="87"/>
    <n v="1.86"/>
    <n v="177"/>
    <n v="123"/>
    <n v="72"/>
    <n v="1.52"/>
    <n v="1028"/>
    <s v="Yoga"/>
    <n v="11"/>
    <n v="3.5"/>
    <n v="4"/>
    <x v="0"/>
    <n v="25.15"/>
    <s v="Overweight"/>
    <n v="676.31578947368416"/>
    <x v="0"/>
  </r>
  <r>
    <n v="623"/>
    <s v="Mumbai"/>
    <n v="41"/>
    <s v="Male"/>
    <n v="82.8"/>
    <n v="1.66"/>
    <n v="177"/>
    <n v="139"/>
    <n v="74"/>
    <n v="1.97"/>
    <n v="1355"/>
    <s v="HIIT"/>
    <n v="11.2"/>
    <n v="3.5"/>
    <n v="5"/>
    <x v="0"/>
    <n v="30.05"/>
    <s v="Obesity"/>
    <n v="687.81725888324877"/>
    <x v="0"/>
  </r>
  <r>
    <n v="624"/>
    <s v="Gurgaon"/>
    <n v="45"/>
    <s v="Female"/>
    <n v="65.400000000000006"/>
    <n v="1.68"/>
    <n v="196"/>
    <n v="129"/>
    <n v="66"/>
    <n v="0.76"/>
    <n v="441"/>
    <s v="HIIT"/>
    <n v="35"/>
    <n v="2.6"/>
    <n v="3"/>
    <x v="2"/>
    <n v="23.17"/>
    <s v="Normal Weight"/>
    <n v="580.26315789473688"/>
    <x v="2"/>
  </r>
  <r>
    <n v="625"/>
    <s v="Mumbai"/>
    <n v="25"/>
    <s v="Female"/>
    <n v="47.2"/>
    <n v="1.71"/>
    <n v="185"/>
    <n v="142"/>
    <n v="56"/>
    <n v="0.89"/>
    <n v="632"/>
    <s v="Cardio"/>
    <n v="26"/>
    <n v="2.5"/>
    <n v="2"/>
    <x v="2"/>
    <n v="16.14"/>
    <s v="Underweight"/>
    <n v="710.11235955056179"/>
    <x v="1"/>
  </r>
  <r>
    <n v="626"/>
    <s v="Pune"/>
    <n v="45"/>
    <s v="Female"/>
    <n v="58.2"/>
    <n v="1.7"/>
    <n v="168"/>
    <n v="160"/>
    <n v="53"/>
    <n v="0.95"/>
    <n v="684"/>
    <s v="Yoga"/>
    <n v="26.8"/>
    <n v="2"/>
    <n v="3"/>
    <x v="2"/>
    <n v="20.14"/>
    <s v="Normal Weight"/>
    <n v="720"/>
    <x v="1"/>
  </r>
  <r>
    <n v="627"/>
    <s v="Hyderabad"/>
    <n v="53"/>
    <s v="Female"/>
    <n v="73.5"/>
    <n v="1.55"/>
    <n v="194"/>
    <n v="153"/>
    <n v="72"/>
    <n v="1.17"/>
    <n v="806"/>
    <s v="HIIT"/>
    <n v="26.3"/>
    <n v="2.1"/>
    <n v="4"/>
    <x v="1"/>
    <n v="30.59"/>
    <s v="Obesity"/>
    <n v="688.88888888888891"/>
    <x v="1"/>
  </r>
  <r>
    <n v="628"/>
    <s v="Bengaluru"/>
    <n v="43"/>
    <s v="Female"/>
    <n v="55.2"/>
    <n v="1.73"/>
    <n v="167"/>
    <n v="165"/>
    <n v="62"/>
    <n v="1.67"/>
    <n v="1240"/>
    <s v="Cardio"/>
    <n v="16.600000000000001"/>
    <n v="2.7"/>
    <n v="5"/>
    <x v="0"/>
    <n v="18.440000000000001"/>
    <s v="Underweight"/>
    <n v="742.51497005988028"/>
    <x v="2"/>
  </r>
  <r>
    <n v="629"/>
    <s v="Chennai"/>
    <n v="25"/>
    <s v="Female"/>
    <n v="64.400000000000006"/>
    <n v="1.71"/>
    <n v="179"/>
    <n v="167"/>
    <n v="61"/>
    <n v="1.1200000000000001"/>
    <n v="935"/>
    <s v="HIIT"/>
    <n v="27.1"/>
    <n v="1.8"/>
    <n v="3"/>
    <x v="2"/>
    <n v="22.02"/>
    <s v="Normal Weight"/>
    <n v="834.82142857142844"/>
    <x v="1"/>
  </r>
  <r>
    <n v="630"/>
    <s v="Delhi"/>
    <n v="45"/>
    <s v="Female"/>
    <n v="73.5"/>
    <n v="1.74"/>
    <n v="181"/>
    <n v="152"/>
    <n v="50"/>
    <n v="1.18"/>
    <n v="807"/>
    <s v="Cardio"/>
    <n v="30"/>
    <n v="2.2999999999999998"/>
    <n v="4"/>
    <x v="1"/>
    <n v="24.28"/>
    <s v="Normal Weight"/>
    <n v="683.89830508474574"/>
    <x v="1"/>
  </r>
  <r>
    <n v="631"/>
    <s v="Bengaluru"/>
    <n v="45"/>
    <s v="Male"/>
    <n v="89.6"/>
    <n v="1.81"/>
    <n v="178"/>
    <n v="153"/>
    <n v="70"/>
    <n v="1.7"/>
    <n v="1287"/>
    <s v="Yoga"/>
    <n v="12.4"/>
    <n v="3.5"/>
    <n v="5"/>
    <x v="0"/>
    <n v="27.35"/>
    <s v="Overweight"/>
    <n v="757.05882352941182"/>
    <x v="0"/>
  </r>
  <r>
    <n v="632"/>
    <s v="Pune"/>
    <n v="54"/>
    <s v="Male"/>
    <n v="86.5"/>
    <n v="1.76"/>
    <n v="189"/>
    <n v="158"/>
    <n v="68"/>
    <n v="1.48"/>
    <n v="1158"/>
    <s v="Yoga"/>
    <n v="29"/>
    <n v="3.4"/>
    <n v="3"/>
    <x v="1"/>
    <n v="27.92"/>
    <s v="Overweight"/>
    <n v="782.43243243243239"/>
    <x v="0"/>
  </r>
  <r>
    <n v="633"/>
    <s v="Gurgaon"/>
    <n v="58"/>
    <s v="Female"/>
    <n v="46.1"/>
    <n v="1.67"/>
    <n v="187"/>
    <n v="129"/>
    <n v="70"/>
    <n v="1.28"/>
    <n v="743"/>
    <s v="Yoga"/>
    <n v="25.3"/>
    <n v="1.8"/>
    <n v="4"/>
    <x v="1"/>
    <n v="16.53"/>
    <s v="Underweight"/>
    <n v="580.46875"/>
    <x v="1"/>
  </r>
  <r>
    <n v="634"/>
    <s v="Delhi"/>
    <n v="53"/>
    <s v="Male"/>
    <n v="68.5"/>
    <n v="1.97"/>
    <n v="194"/>
    <n v="139"/>
    <n v="69"/>
    <n v="1.3"/>
    <n v="894"/>
    <s v="HIIT"/>
    <n v="23.2"/>
    <n v="2.1"/>
    <n v="3"/>
    <x v="1"/>
    <n v="17.649999999999999"/>
    <s v="Underweight"/>
    <n v="687.69230769230762"/>
    <x v="1"/>
  </r>
  <r>
    <n v="635"/>
    <s v="Noida"/>
    <n v="44"/>
    <s v="Male"/>
    <n v="94.6"/>
    <n v="1.84"/>
    <n v="170"/>
    <n v="120"/>
    <n v="67"/>
    <n v="1.26"/>
    <n v="748"/>
    <s v="HIIT"/>
    <n v="26"/>
    <n v="3.1"/>
    <n v="4"/>
    <x v="1"/>
    <n v="27.94"/>
    <s v="Overweight"/>
    <n v="593.65079365079362"/>
    <x v="0"/>
  </r>
  <r>
    <n v="636"/>
    <s v="Ahmedabad"/>
    <n v="34"/>
    <s v="Female"/>
    <n v="54.2"/>
    <n v="1.52"/>
    <n v="190"/>
    <n v="132"/>
    <n v="60"/>
    <n v="1.1299999999999999"/>
    <n v="746"/>
    <s v="Cardio"/>
    <n v="31"/>
    <n v="2.2000000000000002"/>
    <n v="3"/>
    <x v="2"/>
    <n v="23.46"/>
    <s v="Normal Weight"/>
    <n v="660.17699115044252"/>
    <x v="1"/>
  </r>
  <r>
    <n v="637"/>
    <s v="Delhi"/>
    <n v="26"/>
    <s v="Male"/>
    <n v="47.7"/>
    <n v="1.77"/>
    <n v="198"/>
    <n v="120"/>
    <n v="69"/>
    <n v="1.1499999999999999"/>
    <n v="759"/>
    <s v="Strength"/>
    <n v="24.8"/>
    <n v="2.7"/>
    <n v="3"/>
    <x v="1"/>
    <n v="15.23"/>
    <s v="Underweight"/>
    <n v="660"/>
    <x v="2"/>
  </r>
  <r>
    <n v="638"/>
    <s v="Pune"/>
    <n v="50"/>
    <s v="Male"/>
    <n v="52.2"/>
    <n v="1.84"/>
    <n v="195"/>
    <n v="124"/>
    <n v="52"/>
    <n v="1.38"/>
    <n v="847"/>
    <s v="Strength"/>
    <n v="28.2"/>
    <n v="3.1"/>
    <n v="4"/>
    <x v="1"/>
    <n v="15.42"/>
    <s v="Underweight"/>
    <n v="613.768115942029"/>
    <x v="0"/>
  </r>
  <r>
    <n v="639"/>
    <s v="Kolkata"/>
    <n v="37"/>
    <s v="Male"/>
    <n v="88.8"/>
    <n v="1.95"/>
    <n v="189"/>
    <n v="135"/>
    <n v="66"/>
    <n v="1.58"/>
    <n v="1173"/>
    <s v="Yoga"/>
    <n v="10.3"/>
    <n v="3.5"/>
    <n v="5"/>
    <x v="0"/>
    <n v="23.35"/>
    <s v="Normal Weight"/>
    <n v="742.40506329113919"/>
    <x v="0"/>
  </r>
  <r>
    <n v="640"/>
    <s v="Ahmedabad"/>
    <n v="30"/>
    <s v="Male"/>
    <n v="101"/>
    <n v="1.68"/>
    <n v="182"/>
    <n v="134"/>
    <n v="61"/>
    <n v="1.46"/>
    <n v="1076"/>
    <s v="Strength"/>
    <n v="28.2"/>
    <n v="2.9"/>
    <n v="4"/>
    <x v="1"/>
    <n v="35.79"/>
    <s v="Obesity"/>
    <n v="736.98630136986299"/>
    <x v="2"/>
  </r>
  <r>
    <n v="641"/>
    <s v="Mumbai"/>
    <n v="45"/>
    <s v="Male"/>
    <n v="118.4"/>
    <n v="1.95"/>
    <n v="178"/>
    <n v="168"/>
    <n v="59"/>
    <n v="1.06"/>
    <n v="881"/>
    <s v="Yoga"/>
    <n v="24.9"/>
    <n v="2.4"/>
    <n v="3"/>
    <x v="1"/>
    <n v="31.14"/>
    <s v="Obesity"/>
    <n v="831.13207547169804"/>
    <x v="1"/>
  </r>
  <r>
    <n v="642"/>
    <s v="Chennai"/>
    <n v="46"/>
    <s v="Female"/>
    <n v="47.9"/>
    <n v="1.72"/>
    <n v="171"/>
    <n v="147"/>
    <n v="57"/>
    <n v="1.41"/>
    <n v="933"/>
    <s v="Cardio"/>
    <n v="26.3"/>
    <n v="2"/>
    <n v="3"/>
    <x v="2"/>
    <n v="16.190000000000001"/>
    <s v="Underweight"/>
    <n v="661.70212765957456"/>
    <x v="1"/>
  </r>
  <r>
    <n v="643"/>
    <s v="Mumbai"/>
    <n v="30"/>
    <s v="Female"/>
    <n v="51.5"/>
    <n v="1.74"/>
    <n v="174"/>
    <n v="150"/>
    <n v="64"/>
    <n v="1.08"/>
    <n v="810"/>
    <s v="Strength"/>
    <n v="33.9"/>
    <n v="2"/>
    <n v="3"/>
    <x v="1"/>
    <n v="17.010000000000002"/>
    <s v="Underweight"/>
    <n v="750"/>
    <x v="1"/>
  </r>
  <r>
    <n v="644"/>
    <s v="Delhi"/>
    <n v="52"/>
    <s v="Female"/>
    <n v="79.900000000000006"/>
    <n v="1.51"/>
    <n v="190"/>
    <n v="142"/>
    <n v="54"/>
    <n v="0.75"/>
    <n v="479"/>
    <s v="Strength"/>
    <n v="31.5"/>
    <n v="2.6"/>
    <n v="3"/>
    <x v="2"/>
    <n v="35.04"/>
    <s v="Obesity"/>
    <n v="638.66666666666663"/>
    <x v="2"/>
  </r>
  <r>
    <n v="645"/>
    <s v="Mumbai"/>
    <n v="23"/>
    <s v="Male"/>
    <n v="121.3"/>
    <n v="1.85"/>
    <n v="196"/>
    <n v="167"/>
    <n v="53"/>
    <n v="0.72"/>
    <n v="661"/>
    <s v="Yoga"/>
    <n v="21.6"/>
    <n v="3.6"/>
    <n v="2"/>
    <x v="2"/>
    <n v="35.44"/>
    <s v="Obesity"/>
    <n v="918.05555555555554"/>
    <x v="0"/>
  </r>
  <r>
    <n v="646"/>
    <s v="Pune"/>
    <n v="35"/>
    <s v="Female"/>
    <n v="78.900000000000006"/>
    <n v="1.64"/>
    <n v="196"/>
    <n v="164"/>
    <n v="70"/>
    <n v="1.28"/>
    <n v="1050"/>
    <s v="Cardio"/>
    <n v="25.3"/>
    <n v="2.6"/>
    <n v="4"/>
    <x v="1"/>
    <n v="29.34"/>
    <s v="Overweight"/>
    <n v="820.3125"/>
    <x v="2"/>
  </r>
  <r>
    <n v="647"/>
    <s v="Noida"/>
    <n v="22"/>
    <s v="Male"/>
    <n v="88.5"/>
    <n v="1.62"/>
    <n v="174"/>
    <n v="162"/>
    <n v="69"/>
    <n v="1.88"/>
    <n v="1675"/>
    <s v="Strength"/>
    <n v="10.7"/>
    <n v="3.5"/>
    <n v="5"/>
    <x v="0"/>
    <n v="33.72"/>
    <s v="Obesity"/>
    <n v="890.95744680851067"/>
    <x v="0"/>
  </r>
  <r>
    <n v="648"/>
    <s v="Gurgaon"/>
    <n v="42"/>
    <s v="Male"/>
    <n v="73.5"/>
    <n v="1.63"/>
    <n v="188"/>
    <n v="136"/>
    <n v="68"/>
    <n v="0.52"/>
    <n v="350"/>
    <s v="Strength"/>
    <n v="26.1"/>
    <n v="3.2"/>
    <n v="3"/>
    <x v="2"/>
    <n v="27.66"/>
    <s v="Overweight"/>
    <n v="673.07692307692309"/>
    <x v="0"/>
  </r>
  <r>
    <n v="649"/>
    <s v="Chennai"/>
    <n v="19"/>
    <s v="Male"/>
    <n v="127.9"/>
    <n v="1.93"/>
    <n v="185"/>
    <n v="168"/>
    <n v="70"/>
    <n v="1.27"/>
    <n v="1173"/>
    <s v="Strength"/>
    <n v="21.8"/>
    <n v="3"/>
    <n v="4"/>
    <x v="1"/>
    <n v="34.340000000000003"/>
    <s v="Obesity"/>
    <n v="923.62204724409446"/>
    <x v="2"/>
  </r>
  <r>
    <n v="650"/>
    <s v="Mumbai"/>
    <n v="27"/>
    <s v="Male"/>
    <n v="88.5"/>
    <n v="1.98"/>
    <n v="161"/>
    <n v="153"/>
    <n v="53"/>
    <n v="1.8"/>
    <n v="1515"/>
    <s v="Cardio"/>
    <n v="11.1"/>
    <n v="3.5"/>
    <n v="4"/>
    <x v="0"/>
    <n v="22.57"/>
    <s v="Normal Weight"/>
    <n v="841.66666666666663"/>
    <x v="0"/>
  </r>
  <r>
    <n v="651"/>
    <s v="Mumbai"/>
    <n v="47"/>
    <s v="Female"/>
    <n v="43.4"/>
    <n v="1.62"/>
    <n v="179"/>
    <n v="132"/>
    <n v="64"/>
    <n v="0.51"/>
    <n v="303"/>
    <s v="Cardio"/>
    <n v="25.3"/>
    <n v="2.2999999999999998"/>
    <n v="3"/>
    <x v="2"/>
    <n v="16.54"/>
    <s v="Underweight"/>
    <n v="594.11764705882354"/>
    <x v="1"/>
  </r>
  <r>
    <n v="652"/>
    <s v="Delhi"/>
    <n v="22"/>
    <s v="Female"/>
    <n v="42.8"/>
    <n v="1.56"/>
    <n v="174"/>
    <n v="133"/>
    <n v="66"/>
    <n v="1.47"/>
    <n v="978"/>
    <s v="Strength"/>
    <n v="32.200000000000003"/>
    <n v="2.6"/>
    <n v="3"/>
    <x v="1"/>
    <n v="17.59"/>
    <s v="Underweight"/>
    <n v="665.30612244897964"/>
    <x v="2"/>
  </r>
  <r>
    <n v="653"/>
    <s v="Gurgaon"/>
    <n v="50"/>
    <s v="Male"/>
    <n v="64.5"/>
    <n v="1.79"/>
    <n v="163"/>
    <n v="130"/>
    <n v="61"/>
    <n v="1.17"/>
    <n v="753"/>
    <s v="Yoga"/>
    <n v="28.1"/>
    <n v="2.4"/>
    <n v="4"/>
    <x v="1"/>
    <n v="20.13"/>
    <s v="Normal Weight"/>
    <n v="643.58974358974365"/>
    <x v="1"/>
  </r>
  <r>
    <n v="654"/>
    <s v="Bengaluru"/>
    <n v="18"/>
    <s v="Female"/>
    <n v="50.7"/>
    <n v="1.53"/>
    <n v="181"/>
    <n v="147"/>
    <n v="52"/>
    <n v="1.29"/>
    <n v="948"/>
    <s v="Yoga"/>
    <n v="33"/>
    <n v="2.1"/>
    <n v="3"/>
    <x v="1"/>
    <n v="21.66"/>
    <s v="Normal Weight"/>
    <n v="734.88372093023258"/>
    <x v="1"/>
  </r>
  <r>
    <n v="655"/>
    <s v="Mumbai"/>
    <n v="35"/>
    <s v="Male"/>
    <n v="59.2"/>
    <n v="1.66"/>
    <n v="197"/>
    <n v="161"/>
    <n v="59"/>
    <n v="1.3"/>
    <n v="1151"/>
    <s v="Strength"/>
    <n v="21.3"/>
    <n v="3.2"/>
    <n v="3"/>
    <x v="2"/>
    <n v="21.48"/>
    <s v="Normal Weight"/>
    <n v="885.38461538461536"/>
    <x v="0"/>
  </r>
  <r>
    <n v="656"/>
    <s v="Pune"/>
    <n v="49"/>
    <s v="Female"/>
    <n v="78.900000000000006"/>
    <n v="1.73"/>
    <n v="182"/>
    <n v="151"/>
    <n v="64"/>
    <n v="1.38"/>
    <n v="938"/>
    <s v="Cardio"/>
    <n v="34"/>
    <n v="2.2999999999999998"/>
    <n v="2"/>
    <x v="2"/>
    <n v="26.36"/>
    <s v="Overweight"/>
    <n v="679.71014492753625"/>
    <x v="1"/>
  </r>
  <r>
    <n v="657"/>
    <s v="Kolkata"/>
    <n v="28"/>
    <s v="Female"/>
    <n v="78.7"/>
    <n v="1.63"/>
    <n v="185"/>
    <n v="154"/>
    <n v="59"/>
    <n v="1.1000000000000001"/>
    <n v="847"/>
    <s v="Strength"/>
    <n v="31.7"/>
    <n v="1.8"/>
    <n v="3"/>
    <x v="1"/>
    <n v="29.62"/>
    <s v="Overweight"/>
    <n v="769.99999999999989"/>
    <x v="1"/>
  </r>
  <r>
    <n v="658"/>
    <s v="Chennai"/>
    <n v="38"/>
    <s v="Male"/>
    <n v="68.7"/>
    <n v="1.92"/>
    <n v="170"/>
    <n v="150"/>
    <n v="73"/>
    <n v="1.31"/>
    <n v="1081"/>
    <s v="Cardio"/>
    <n v="29"/>
    <n v="3"/>
    <n v="4"/>
    <x v="1"/>
    <n v="18.64"/>
    <s v="Normal Weight"/>
    <n v="825.19083969465646"/>
    <x v="2"/>
  </r>
  <r>
    <n v="659"/>
    <s v="Mumbai"/>
    <n v="43"/>
    <s v="Female"/>
    <n v="53.1"/>
    <n v="1.59"/>
    <n v="187"/>
    <n v="136"/>
    <n v="72"/>
    <n v="0.82"/>
    <n v="502"/>
    <s v="Strength"/>
    <n v="29.5"/>
    <n v="2.5"/>
    <n v="2"/>
    <x v="2"/>
    <n v="21"/>
    <s v="Normal Weight"/>
    <n v="612.19512195121956"/>
    <x v="1"/>
  </r>
  <r>
    <n v="660"/>
    <s v="Pune"/>
    <n v="42"/>
    <s v="Male"/>
    <n v="64.8"/>
    <n v="1.65"/>
    <n v="161"/>
    <n v="166"/>
    <n v="67"/>
    <n v="1.1000000000000001"/>
    <n v="904"/>
    <s v="Cardio"/>
    <n v="24.4"/>
    <n v="2.8"/>
    <n v="3"/>
    <x v="1"/>
    <n v="23.8"/>
    <s v="Normal Weight"/>
    <n v="821.81818181818176"/>
    <x v="2"/>
  </r>
  <r>
    <n v="661"/>
    <s v="Pune"/>
    <n v="39"/>
    <s v="Female"/>
    <n v="50.3"/>
    <n v="1.61"/>
    <n v="167"/>
    <n v="128"/>
    <n v="50"/>
    <n v="1.17"/>
    <n v="749"/>
    <s v="HIIT"/>
    <n v="32.799999999999997"/>
    <n v="2.5"/>
    <n v="2"/>
    <x v="2"/>
    <n v="19.41"/>
    <s v="Normal Weight"/>
    <n v="640.17094017094018"/>
    <x v="1"/>
  </r>
  <r>
    <n v="662"/>
    <s v="Chennai"/>
    <n v="44"/>
    <s v="Male"/>
    <n v="102.3"/>
    <n v="1.63"/>
    <n v="188"/>
    <n v="129"/>
    <n v="52"/>
    <n v="1.34"/>
    <n v="856"/>
    <s v="Yoga"/>
    <n v="20.9"/>
    <n v="2.6"/>
    <n v="4"/>
    <x v="1"/>
    <n v="38.5"/>
    <s v="Obesity"/>
    <n v="638.80597014925365"/>
    <x v="2"/>
  </r>
  <r>
    <n v="663"/>
    <s v="Bengaluru"/>
    <n v="30"/>
    <s v="Male"/>
    <n v="62.9"/>
    <n v="1.92"/>
    <n v="170"/>
    <n v="127"/>
    <n v="70"/>
    <n v="1.1299999999999999"/>
    <n v="789"/>
    <s v="HIIT"/>
    <n v="25.2"/>
    <n v="3.6"/>
    <n v="2"/>
    <x v="2"/>
    <n v="17.059999999999999"/>
    <s v="Underweight"/>
    <n v="698.23008849557527"/>
    <x v="0"/>
  </r>
  <r>
    <n v="664"/>
    <s v="Pune"/>
    <n v="50"/>
    <s v="Female"/>
    <n v="56.5"/>
    <n v="1.6"/>
    <n v="196"/>
    <n v="140"/>
    <n v="61"/>
    <n v="1.88"/>
    <n v="1184"/>
    <s v="Yoga"/>
    <n v="19.2"/>
    <n v="2.7"/>
    <n v="5"/>
    <x v="0"/>
    <n v="22.07"/>
    <s v="Normal Weight"/>
    <n v="629.78723404255322"/>
    <x v="2"/>
  </r>
  <r>
    <n v="665"/>
    <s v="Kolkata"/>
    <n v="51"/>
    <s v="Female"/>
    <n v="74.599999999999994"/>
    <n v="1.55"/>
    <n v="177"/>
    <n v="132"/>
    <n v="50"/>
    <n v="0.71"/>
    <n v="422"/>
    <s v="Cardio"/>
    <n v="33.299999999999997"/>
    <n v="2.1"/>
    <n v="2"/>
    <x v="2"/>
    <n v="31.05"/>
    <s v="Obesity"/>
    <n v="594.36619718309862"/>
    <x v="1"/>
  </r>
  <r>
    <n v="666"/>
    <s v="Pune"/>
    <n v="58"/>
    <s v="Male"/>
    <n v="52"/>
    <n v="1.79"/>
    <n v="173"/>
    <n v="169"/>
    <n v="52"/>
    <n v="1.1200000000000001"/>
    <n v="937"/>
    <s v="HIIT"/>
    <n v="29.6"/>
    <n v="3"/>
    <n v="3"/>
    <x v="2"/>
    <n v="16.23"/>
    <s v="Underweight"/>
    <n v="836.60714285714278"/>
    <x v="2"/>
  </r>
  <r>
    <n v="667"/>
    <s v="Pune"/>
    <n v="52"/>
    <s v="Female"/>
    <n v="52.1"/>
    <n v="1.67"/>
    <n v="169"/>
    <n v="124"/>
    <n v="52"/>
    <n v="1.5"/>
    <n v="837"/>
    <s v="Yoga"/>
    <n v="32"/>
    <n v="1.5"/>
    <n v="2"/>
    <x v="2"/>
    <n v="18.68"/>
    <s v="Normal Weight"/>
    <n v="558"/>
    <x v="1"/>
  </r>
  <r>
    <n v="668"/>
    <s v="Pune"/>
    <n v="18"/>
    <s v="Female"/>
    <n v="72.2"/>
    <n v="1.54"/>
    <n v="194"/>
    <n v="125"/>
    <n v="54"/>
    <n v="0.97"/>
    <n v="606"/>
    <s v="Strength"/>
    <n v="27.1"/>
    <n v="1.7"/>
    <n v="2"/>
    <x v="2"/>
    <n v="30.44"/>
    <s v="Obesity"/>
    <n v="624.74226804123714"/>
    <x v="1"/>
  </r>
  <r>
    <n v="669"/>
    <s v="Noida"/>
    <n v="38"/>
    <s v="Male"/>
    <n v="85.8"/>
    <n v="1.8"/>
    <n v="168"/>
    <n v="149"/>
    <n v="68"/>
    <n v="1.72"/>
    <n v="1410"/>
    <s v="Cardio"/>
    <n v="10.1"/>
    <n v="3.5"/>
    <n v="4"/>
    <x v="0"/>
    <n v="26.48"/>
    <s v="Overweight"/>
    <n v="819.76744186046517"/>
    <x v="0"/>
  </r>
  <r>
    <n v="670"/>
    <s v="Noida"/>
    <n v="23"/>
    <s v="Male"/>
    <n v="81.400000000000006"/>
    <n v="1.85"/>
    <n v="194"/>
    <n v="150"/>
    <n v="74"/>
    <n v="1.6"/>
    <n v="1320"/>
    <s v="Cardio"/>
    <n v="12.4"/>
    <n v="3.5"/>
    <n v="4"/>
    <x v="0"/>
    <n v="23.78"/>
    <s v="Normal Weight"/>
    <n v="825"/>
    <x v="0"/>
  </r>
  <r>
    <n v="671"/>
    <s v="Bengaluru"/>
    <n v="45"/>
    <s v="Female"/>
    <n v="50.9"/>
    <n v="1.65"/>
    <n v="170"/>
    <n v="136"/>
    <n v="50"/>
    <n v="1.45"/>
    <n v="887"/>
    <s v="Strength"/>
    <n v="30.1"/>
    <n v="2.2999999999999998"/>
    <n v="2"/>
    <x v="2"/>
    <n v="18.7"/>
    <s v="Normal Weight"/>
    <n v="611.72413793103453"/>
    <x v="1"/>
  </r>
  <r>
    <n v="672"/>
    <s v="Mumbai"/>
    <n v="34"/>
    <s v="Male"/>
    <n v="52"/>
    <n v="1.78"/>
    <n v="171"/>
    <n v="130"/>
    <n v="53"/>
    <n v="1.38"/>
    <n v="987"/>
    <s v="Strength"/>
    <n v="22.4"/>
    <n v="2.7"/>
    <n v="4"/>
    <x v="1"/>
    <n v="16.41"/>
    <s v="Underweight"/>
    <n v="715.21739130434787"/>
    <x v="2"/>
  </r>
  <r>
    <n v="673"/>
    <s v="Pune"/>
    <n v="22"/>
    <s v="Male"/>
    <n v="71"/>
    <n v="1.93"/>
    <n v="162"/>
    <n v="139"/>
    <n v="53"/>
    <n v="1.42"/>
    <n v="1086"/>
    <s v="Yoga"/>
    <n v="21.2"/>
    <n v="2.9"/>
    <n v="4"/>
    <x v="1"/>
    <n v="19.059999999999999"/>
    <s v="Normal Weight"/>
    <n v="764.78873239436621"/>
    <x v="2"/>
  </r>
  <r>
    <n v="674"/>
    <s v="Gurgaon"/>
    <n v="48"/>
    <s v="Male"/>
    <n v="80.599999999999994"/>
    <n v="1.77"/>
    <n v="198"/>
    <n v="167"/>
    <n v="66"/>
    <n v="1.51"/>
    <n v="1248"/>
    <s v="Cardio"/>
    <n v="12.9"/>
    <n v="3.5"/>
    <n v="4"/>
    <x v="0"/>
    <n v="25.73"/>
    <s v="Overweight"/>
    <n v="826.49006622516561"/>
    <x v="0"/>
  </r>
  <r>
    <n v="675"/>
    <s v="Mumbai"/>
    <n v="22"/>
    <s v="Female"/>
    <n v="58.3"/>
    <n v="1.72"/>
    <n v="173"/>
    <n v="128"/>
    <n v="63"/>
    <n v="1"/>
    <n v="640"/>
    <s v="Yoga"/>
    <n v="32.6"/>
    <n v="1.6"/>
    <n v="3"/>
    <x v="1"/>
    <n v="19.71"/>
    <s v="Normal Weight"/>
    <n v="640"/>
    <x v="1"/>
  </r>
  <r>
    <n v="676"/>
    <s v="Bengaluru"/>
    <n v="55"/>
    <s v="Female"/>
    <n v="63"/>
    <n v="1.7"/>
    <n v="187"/>
    <n v="121"/>
    <n v="67"/>
    <n v="1.32"/>
    <n v="719"/>
    <s v="Strength"/>
    <n v="34.9"/>
    <n v="2.5"/>
    <n v="3"/>
    <x v="2"/>
    <n v="21.8"/>
    <s v="Normal Weight"/>
    <n v="544.69696969696963"/>
    <x v="1"/>
  </r>
  <r>
    <n v="677"/>
    <s v="Hyderabad"/>
    <n v="20"/>
    <s v="Male"/>
    <n v="111"/>
    <n v="1.94"/>
    <n v="170"/>
    <n v="156"/>
    <n v="50"/>
    <n v="1.02"/>
    <n v="875"/>
    <s v="Cardio"/>
    <n v="27.6"/>
    <n v="3.3"/>
    <n v="4"/>
    <x v="1"/>
    <n v="29.49"/>
    <s v="Overweight"/>
    <n v="857.84313725490199"/>
    <x v="0"/>
  </r>
  <r>
    <n v="678"/>
    <s v="Mumbai"/>
    <n v="40"/>
    <s v="Female"/>
    <n v="52.6"/>
    <n v="1.66"/>
    <n v="198"/>
    <n v="120"/>
    <n v="71"/>
    <n v="1.27"/>
    <n v="762"/>
    <s v="Strength"/>
    <n v="32.9"/>
    <n v="1.7"/>
    <n v="3"/>
    <x v="1"/>
    <n v="19.09"/>
    <s v="Normal Weight"/>
    <n v="600"/>
    <x v="1"/>
  </r>
  <r>
    <n v="679"/>
    <s v="Mumbai"/>
    <n v="54"/>
    <s v="Male"/>
    <n v="116.4"/>
    <n v="2"/>
    <n v="184"/>
    <n v="123"/>
    <n v="65"/>
    <n v="1.1299999999999999"/>
    <n v="688"/>
    <s v="Yoga"/>
    <n v="26.2"/>
    <n v="3.1"/>
    <n v="3"/>
    <x v="2"/>
    <n v="29.1"/>
    <s v="Overweight"/>
    <n v="608.84955752212397"/>
    <x v="0"/>
  </r>
  <r>
    <n v="680"/>
    <s v="Ahmedabad"/>
    <n v="54"/>
    <s v="Female"/>
    <n v="75.599999999999994"/>
    <n v="1.61"/>
    <n v="180"/>
    <n v="155"/>
    <n v="52"/>
    <n v="1.41"/>
    <n v="983"/>
    <s v="Yoga"/>
    <n v="34.9"/>
    <n v="2.5"/>
    <n v="4"/>
    <x v="1"/>
    <n v="29.17"/>
    <s v="Overweight"/>
    <n v="697.16312056737593"/>
    <x v="1"/>
  </r>
  <r>
    <n v="681"/>
    <s v="Delhi"/>
    <n v="27"/>
    <s v="Male"/>
    <n v="61.6"/>
    <n v="1.8"/>
    <n v="169"/>
    <n v="144"/>
    <n v="72"/>
    <n v="1.48"/>
    <n v="1172"/>
    <s v="Yoga"/>
    <n v="26.4"/>
    <n v="3.1"/>
    <n v="2"/>
    <x v="2"/>
    <n v="19.010000000000002"/>
    <s v="Normal Weight"/>
    <n v="791.89189189189187"/>
    <x v="0"/>
  </r>
  <r>
    <n v="682"/>
    <s v="Ahmedabad"/>
    <n v="27"/>
    <s v="Male"/>
    <n v="108"/>
    <n v="1.8"/>
    <n v="174"/>
    <n v="122"/>
    <n v="70"/>
    <n v="1.38"/>
    <n v="926"/>
    <s v="Cardio"/>
    <n v="28.6"/>
    <n v="2.5"/>
    <n v="4"/>
    <x v="1"/>
    <n v="33.33"/>
    <s v="Obesity"/>
    <n v="671.01449275362324"/>
    <x v="1"/>
  </r>
  <r>
    <n v="683"/>
    <s v="Kolkata"/>
    <n v="36"/>
    <s v="Female"/>
    <n v="59.3"/>
    <n v="1.75"/>
    <n v="178"/>
    <n v="128"/>
    <n v="58"/>
    <n v="0.99"/>
    <n v="634"/>
    <s v="Strength"/>
    <n v="34.5"/>
    <n v="2.2999999999999998"/>
    <n v="3"/>
    <x v="2"/>
    <n v="19.36"/>
    <s v="Normal Weight"/>
    <n v="640.40404040404042"/>
    <x v="1"/>
  </r>
  <r>
    <n v="684"/>
    <s v="Noida"/>
    <n v="34"/>
    <s v="Male"/>
    <n v="75.7"/>
    <n v="1.94"/>
    <n v="181"/>
    <n v="141"/>
    <n v="72"/>
    <n v="1.18"/>
    <n v="915"/>
    <s v="Strength"/>
    <n v="29.3"/>
    <n v="2.4"/>
    <n v="4"/>
    <x v="1"/>
    <n v="20.11"/>
    <s v="Normal Weight"/>
    <n v="775.42372881355936"/>
    <x v="1"/>
  </r>
  <r>
    <n v="685"/>
    <s v="Noida"/>
    <n v="38"/>
    <s v="Female"/>
    <n v="56.3"/>
    <n v="1.6"/>
    <n v="180"/>
    <n v="142"/>
    <n v="53"/>
    <n v="1.21"/>
    <n v="859"/>
    <s v="Yoga"/>
    <n v="28.8"/>
    <n v="1.9"/>
    <n v="4"/>
    <x v="1"/>
    <n v="21.99"/>
    <s v="Normal Weight"/>
    <n v="709.91735537190084"/>
    <x v="1"/>
  </r>
  <r>
    <n v="686"/>
    <s v="Delhi"/>
    <n v="31"/>
    <s v="Female"/>
    <n v="58.2"/>
    <n v="1.73"/>
    <n v="191"/>
    <n v="131"/>
    <n v="70"/>
    <n v="1.17"/>
    <n v="766"/>
    <s v="Yoga"/>
    <n v="25.8"/>
    <n v="1.8"/>
    <n v="3"/>
    <x v="1"/>
    <n v="19.45"/>
    <s v="Normal Weight"/>
    <n v="654.70085470085473"/>
    <x v="1"/>
  </r>
  <r>
    <n v="687"/>
    <s v="Chennai"/>
    <n v="26"/>
    <s v="Male"/>
    <n v="55.7"/>
    <n v="1.68"/>
    <n v="182"/>
    <n v="129"/>
    <n v="54"/>
    <n v="1.1299999999999999"/>
    <n v="802"/>
    <s v="Yoga"/>
    <n v="21.7"/>
    <n v="2.9"/>
    <n v="3"/>
    <x v="2"/>
    <n v="19.73"/>
    <s v="Normal Weight"/>
    <n v="709.73451327433634"/>
    <x v="2"/>
  </r>
  <r>
    <n v="688"/>
    <s v="Chennai"/>
    <n v="18"/>
    <s v="Male"/>
    <n v="125.9"/>
    <n v="1.67"/>
    <n v="172"/>
    <n v="153"/>
    <n v="60"/>
    <n v="1.46"/>
    <n v="1229"/>
    <s v="Yoga"/>
    <n v="20.6"/>
    <n v="2.2000000000000002"/>
    <n v="3"/>
    <x v="1"/>
    <n v="45.14"/>
    <s v="Obesity"/>
    <n v="841.78082191780823"/>
    <x v="1"/>
  </r>
  <r>
    <n v="689"/>
    <s v="Bengaluru"/>
    <n v="30"/>
    <s v="Female"/>
    <n v="62.7"/>
    <n v="1.67"/>
    <n v="164"/>
    <n v="162"/>
    <n v="70"/>
    <n v="1.02"/>
    <n v="826"/>
    <s v="HIIT"/>
    <n v="26.1"/>
    <n v="2.6"/>
    <n v="4"/>
    <x v="1"/>
    <n v="22.48"/>
    <s v="Normal Weight"/>
    <n v="809.8039215686274"/>
    <x v="2"/>
  </r>
  <r>
    <n v="690"/>
    <s v="Delhi"/>
    <n v="21"/>
    <s v="Male"/>
    <n v="86.6"/>
    <n v="1.86"/>
    <n v="163"/>
    <n v="129"/>
    <n v="58"/>
    <n v="1.37"/>
    <n v="972"/>
    <s v="HIIT"/>
    <n v="21.8"/>
    <n v="2.6"/>
    <n v="3"/>
    <x v="1"/>
    <n v="25.03"/>
    <s v="Overweight"/>
    <n v="709.48905109489044"/>
    <x v="2"/>
  </r>
  <r>
    <n v="691"/>
    <s v="Mumbai"/>
    <n v="18"/>
    <s v="Male"/>
    <n v="64.5"/>
    <n v="1.82"/>
    <n v="187"/>
    <n v="149"/>
    <n v="52"/>
    <n v="1.2"/>
    <n v="983"/>
    <s v="HIIT"/>
    <n v="23.4"/>
    <n v="2.4"/>
    <n v="3"/>
    <x v="1"/>
    <n v="19.47"/>
    <s v="Normal Weight"/>
    <n v="819.16666666666674"/>
    <x v="1"/>
  </r>
  <r>
    <n v="692"/>
    <s v="Chennai"/>
    <n v="57"/>
    <s v="Male"/>
    <n v="76.599999999999994"/>
    <n v="1.86"/>
    <n v="173"/>
    <n v="141"/>
    <n v="55"/>
    <n v="1.1399999999999999"/>
    <n v="796"/>
    <s v="Yoga"/>
    <n v="25.4"/>
    <n v="2.8"/>
    <n v="4"/>
    <x v="1"/>
    <n v="22.14"/>
    <s v="Normal Weight"/>
    <n v="698.24561403508778"/>
    <x v="2"/>
  </r>
  <r>
    <n v="693"/>
    <s v="Pune"/>
    <n v="49"/>
    <s v="Male"/>
    <n v="81.400000000000006"/>
    <n v="1.83"/>
    <n v="167"/>
    <n v="125"/>
    <n v="73"/>
    <n v="1.98"/>
    <n v="1225"/>
    <s v="Yoga"/>
    <n v="13.6"/>
    <n v="3.5"/>
    <n v="5"/>
    <x v="0"/>
    <n v="24.31"/>
    <s v="Normal Weight"/>
    <n v="618.68686868686871"/>
    <x v="0"/>
  </r>
  <r>
    <n v="694"/>
    <s v="Gurgaon"/>
    <n v="51"/>
    <s v="Male"/>
    <n v="60.7"/>
    <n v="1.71"/>
    <n v="168"/>
    <n v="169"/>
    <n v="60"/>
    <n v="1.1399999999999999"/>
    <n v="954"/>
    <s v="Strength"/>
    <n v="22.1"/>
    <n v="2.5"/>
    <n v="2"/>
    <x v="2"/>
    <n v="20.76"/>
    <s v="Normal Weight"/>
    <n v="836.84210526315792"/>
    <x v="1"/>
  </r>
  <r>
    <n v="695"/>
    <s v="Mumbai"/>
    <n v="45"/>
    <s v="Female"/>
    <n v="57.2"/>
    <n v="1.55"/>
    <n v="194"/>
    <n v="121"/>
    <n v="58"/>
    <n v="1.67"/>
    <n v="909"/>
    <s v="Cardio"/>
    <n v="18.399999999999999"/>
    <n v="2.7"/>
    <n v="5"/>
    <x v="0"/>
    <n v="23.81"/>
    <s v="Normal Weight"/>
    <n v="544.31137724550899"/>
    <x v="2"/>
  </r>
  <r>
    <n v="696"/>
    <s v="Kolkata"/>
    <n v="48"/>
    <s v="Female"/>
    <n v="73"/>
    <n v="1.59"/>
    <n v="196"/>
    <n v="149"/>
    <n v="64"/>
    <n v="1.19"/>
    <n v="798"/>
    <s v="Strength"/>
    <n v="32"/>
    <n v="2.1"/>
    <n v="3"/>
    <x v="1"/>
    <n v="28.88"/>
    <s v="Overweight"/>
    <n v="670.58823529411768"/>
    <x v="1"/>
  </r>
  <r>
    <n v="697"/>
    <s v="Pune"/>
    <n v="25"/>
    <s v="Male"/>
    <n v="123.8"/>
    <n v="1.99"/>
    <n v="180"/>
    <n v="121"/>
    <n v="72"/>
    <n v="1.1299999999999999"/>
    <n v="752"/>
    <s v="HIIT"/>
    <n v="25.6"/>
    <n v="2.6"/>
    <n v="3"/>
    <x v="2"/>
    <n v="31.26"/>
    <s v="Obesity"/>
    <n v="665.48672566371692"/>
    <x v="2"/>
  </r>
  <r>
    <n v="698"/>
    <s v="Pune"/>
    <n v="56"/>
    <s v="Male"/>
    <n v="93.6"/>
    <n v="1.66"/>
    <n v="177"/>
    <n v="151"/>
    <n v="52"/>
    <n v="1.37"/>
    <n v="1024"/>
    <s v="Strength"/>
    <n v="29"/>
    <n v="2.2000000000000002"/>
    <n v="2"/>
    <x v="2"/>
    <n v="33.97"/>
    <s v="Obesity"/>
    <n v="747.44525547445255"/>
    <x v="1"/>
  </r>
  <r>
    <n v="699"/>
    <s v="Delhi"/>
    <n v="43"/>
    <s v="Male"/>
    <n v="76.8"/>
    <n v="1.92"/>
    <n v="192"/>
    <n v="161"/>
    <n v="50"/>
    <n v="1.24"/>
    <n v="988"/>
    <s v="Yoga"/>
    <n v="21.1"/>
    <n v="2.5"/>
    <n v="3"/>
    <x v="2"/>
    <n v="20.83"/>
    <s v="Normal Weight"/>
    <n v="796.77419354838707"/>
    <x v="1"/>
  </r>
  <r>
    <n v="700"/>
    <s v="Bengaluru"/>
    <n v="51"/>
    <s v="Female"/>
    <n v="54.7"/>
    <n v="1.53"/>
    <n v="167"/>
    <n v="135"/>
    <n v="69"/>
    <n v="1.1100000000000001"/>
    <n v="674"/>
    <s v="HIIT"/>
    <n v="26.8"/>
    <n v="2"/>
    <n v="4"/>
    <x v="1"/>
    <n v="23.37"/>
    <s v="Normal Weight"/>
    <n v="607.20720720720715"/>
    <x v="1"/>
  </r>
  <r>
    <n v="701"/>
    <s v="Kolkata"/>
    <n v="20"/>
    <s v="Male"/>
    <n v="92.3"/>
    <n v="1.94"/>
    <n v="176"/>
    <n v="131"/>
    <n v="71"/>
    <n v="1.1399999999999999"/>
    <n v="821"/>
    <s v="HIIT"/>
    <n v="24.3"/>
    <n v="2.1"/>
    <n v="3"/>
    <x v="1"/>
    <n v="24.52"/>
    <s v="Normal Weight"/>
    <n v="720.17543859649129"/>
    <x v="1"/>
  </r>
  <r>
    <n v="702"/>
    <s v="Chennai"/>
    <n v="29"/>
    <s v="Female"/>
    <n v="71.8"/>
    <n v="1.55"/>
    <n v="190"/>
    <n v="120"/>
    <n v="68"/>
    <n v="1.2"/>
    <n v="720"/>
    <s v="Cardio"/>
    <n v="26.3"/>
    <n v="2.4"/>
    <n v="4"/>
    <x v="1"/>
    <n v="29.89"/>
    <s v="Overweight"/>
    <n v="600"/>
    <x v="1"/>
  </r>
  <r>
    <n v="703"/>
    <s v="Delhi"/>
    <n v="18"/>
    <s v="Female"/>
    <n v="66.900000000000006"/>
    <n v="1.57"/>
    <n v="193"/>
    <n v="127"/>
    <n v="63"/>
    <n v="1.07"/>
    <n v="679"/>
    <s v="Cardio"/>
    <n v="30.7"/>
    <n v="2.2000000000000002"/>
    <n v="3"/>
    <x v="1"/>
    <n v="27.14"/>
    <s v="Overweight"/>
    <n v="634.57943925233644"/>
    <x v="1"/>
  </r>
  <r>
    <n v="704"/>
    <s v="Chennai"/>
    <n v="22"/>
    <s v="Female"/>
    <n v="48.7"/>
    <n v="1.76"/>
    <n v="165"/>
    <n v="167"/>
    <n v="66"/>
    <n v="1.37"/>
    <n v="1144"/>
    <s v="HIIT"/>
    <n v="29"/>
    <n v="2.2000000000000002"/>
    <n v="4"/>
    <x v="1"/>
    <n v="15.72"/>
    <s v="Underweight"/>
    <n v="835.03649635036493"/>
    <x v="1"/>
  </r>
  <r>
    <n v="705"/>
    <s v="Delhi"/>
    <n v="47"/>
    <s v="Male"/>
    <n v="66.2"/>
    <n v="1.71"/>
    <n v="181"/>
    <n v="169"/>
    <n v="71"/>
    <n v="1.42"/>
    <n v="1188"/>
    <s v="HIIT"/>
    <n v="22.8"/>
    <n v="2.9"/>
    <n v="3"/>
    <x v="2"/>
    <n v="22.64"/>
    <s v="Normal Weight"/>
    <n v="836.61971830985919"/>
    <x v="2"/>
  </r>
  <r>
    <n v="706"/>
    <s v="Delhi"/>
    <n v="47"/>
    <s v="Female"/>
    <n v="40"/>
    <n v="1.76"/>
    <n v="173"/>
    <n v="132"/>
    <n v="63"/>
    <n v="0.8"/>
    <n v="475"/>
    <s v="Strength"/>
    <n v="26.7"/>
    <n v="2.2000000000000002"/>
    <n v="3"/>
    <x v="2"/>
    <n v="12.91"/>
    <s v="Underweight"/>
    <n v="593.75"/>
    <x v="1"/>
  </r>
  <r>
    <n v="707"/>
    <s v="Delhi"/>
    <n v="34"/>
    <s v="Male"/>
    <n v="112.4"/>
    <n v="1.85"/>
    <n v="162"/>
    <n v="134"/>
    <n v="66"/>
    <n v="1.18"/>
    <n v="870"/>
    <s v="HIIT"/>
    <n v="23.4"/>
    <n v="3.6"/>
    <n v="4"/>
    <x v="1"/>
    <n v="32.840000000000003"/>
    <s v="Obesity"/>
    <n v="737.28813559322043"/>
    <x v="0"/>
  </r>
  <r>
    <n v="708"/>
    <s v="Bengaluru"/>
    <n v="40"/>
    <s v="Female"/>
    <n v="70"/>
    <n v="1.55"/>
    <n v="171"/>
    <n v="163"/>
    <n v="74"/>
    <n v="0.85"/>
    <n v="693"/>
    <s v="Yoga"/>
    <n v="31.1"/>
    <n v="1.5"/>
    <n v="3"/>
    <x v="2"/>
    <n v="29.14"/>
    <s v="Overweight"/>
    <n v="815.2941176470589"/>
    <x v="1"/>
  </r>
  <r>
    <n v="709"/>
    <s v="Delhi"/>
    <n v="32"/>
    <s v="Male"/>
    <n v="84"/>
    <n v="1.74"/>
    <n v="195"/>
    <n v="127"/>
    <n v="63"/>
    <n v="1.45"/>
    <n v="1013"/>
    <s v="Strength"/>
    <n v="25.8"/>
    <n v="2.1"/>
    <n v="3"/>
    <x v="2"/>
    <n v="27.74"/>
    <s v="Overweight"/>
    <n v="698.62068965517244"/>
    <x v="1"/>
  </r>
  <r>
    <n v="710"/>
    <s v="Hyderabad"/>
    <n v="54"/>
    <s v="Female"/>
    <n v="43.8"/>
    <n v="1.65"/>
    <n v="171"/>
    <n v="129"/>
    <n v="61"/>
    <n v="1.29"/>
    <n v="749"/>
    <s v="Yoga"/>
    <n v="26.6"/>
    <n v="1.7"/>
    <n v="4"/>
    <x v="1"/>
    <n v="16.09"/>
    <s v="Underweight"/>
    <n v="580.62015503875966"/>
    <x v="1"/>
  </r>
  <r>
    <n v="711"/>
    <s v="Gurgaon"/>
    <n v="38"/>
    <s v="Male"/>
    <n v="123.3"/>
    <n v="1.62"/>
    <n v="161"/>
    <n v="165"/>
    <n v="65"/>
    <n v="1.34"/>
    <n v="1216"/>
    <s v="Yoga"/>
    <n v="21.2"/>
    <n v="2.2999999999999998"/>
    <n v="4"/>
    <x v="1"/>
    <n v="46.98"/>
    <s v="Obesity"/>
    <n v="907.46268656716416"/>
    <x v="1"/>
  </r>
  <r>
    <n v="712"/>
    <s v="Chennai"/>
    <n v="31"/>
    <s v="Female"/>
    <n v="57.9"/>
    <n v="1.56"/>
    <n v="161"/>
    <n v="124"/>
    <n v="50"/>
    <n v="1.8"/>
    <n v="1116"/>
    <s v="Yoga"/>
    <n v="15.1"/>
    <n v="2.7"/>
    <n v="5"/>
    <x v="0"/>
    <n v="23.79"/>
    <s v="Normal Weight"/>
    <n v="620"/>
    <x v="2"/>
  </r>
  <r>
    <n v="713"/>
    <s v="Mumbai"/>
    <n v="19"/>
    <s v="Male"/>
    <n v="82.4"/>
    <n v="1.96"/>
    <n v="174"/>
    <n v="169"/>
    <n v="62"/>
    <n v="1.9"/>
    <n v="1766"/>
    <s v="HIIT"/>
    <n v="10.1"/>
    <n v="3.5"/>
    <n v="5"/>
    <x v="0"/>
    <n v="21.45"/>
    <s v="Normal Weight"/>
    <n v="929.47368421052636"/>
    <x v="0"/>
  </r>
  <r>
    <n v="714"/>
    <s v="Ahmedabad"/>
    <n v="28"/>
    <s v="Male"/>
    <n v="84.8"/>
    <n v="1.79"/>
    <n v="182"/>
    <n v="138"/>
    <n v="55"/>
    <n v="1.35"/>
    <n v="1025"/>
    <s v="Cardio"/>
    <n v="28.8"/>
    <n v="2.2999999999999998"/>
    <n v="4"/>
    <x v="1"/>
    <n v="26.47"/>
    <s v="Overweight"/>
    <n v="759.25925925925924"/>
    <x v="1"/>
  </r>
  <r>
    <n v="715"/>
    <s v="Kolkata"/>
    <n v="56"/>
    <s v="Male"/>
    <n v="109.6"/>
    <n v="1.66"/>
    <n v="188"/>
    <n v="166"/>
    <n v="66"/>
    <n v="1.29"/>
    <n v="1060"/>
    <s v="Cardio"/>
    <n v="20.5"/>
    <n v="3.1"/>
    <n v="3"/>
    <x v="1"/>
    <n v="39.770000000000003"/>
    <s v="Obesity"/>
    <n v="821.7054263565891"/>
    <x v="0"/>
  </r>
  <r>
    <n v="716"/>
    <s v="Noida"/>
    <n v="55"/>
    <s v="Male"/>
    <n v="86.4"/>
    <n v="1.77"/>
    <n v="176"/>
    <n v="157"/>
    <n v="61"/>
    <n v="1"/>
    <n v="777"/>
    <s v="Yoga"/>
    <n v="27.3"/>
    <n v="2.8"/>
    <n v="3"/>
    <x v="1"/>
    <n v="27.58"/>
    <s v="Overweight"/>
    <n v="777"/>
    <x v="2"/>
  </r>
  <r>
    <n v="717"/>
    <s v="Bengaluru"/>
    <n v="51"/>
    <s v="Female"/>
    <n v="63.9"/>
    <n v="1.8"/>
    <n v="191"/>
    <n v="130"/>
    <n v="72"/>
    <n v="1.07"/>
    <n v="626"/>
    <s v="HIIT"/>
    <n v="33.700000000000003"/>
    <n v="2.7"/>
    <n v="4"/>
    <x v="1"/>
    <n v="19.72"/>
    <s v="Normal Weight"/>
    <n v="585.04672897196258"/>
    <x v="2"/>
  </r>
  <r>
    <n v="718"/>
    <s v="Mumbai"/>
    <n v="55"/>
    <s v="Female"/>
    <n v="70.8"/>
    <n v="1.62"/>
    <n v="166"/>
    <n v="162"/>
    <n v="68"/>
    <n v="0.54"/>
    <n v="394"/>
    <s v="Strength"/>
    <n v="26"/>
    <n v="1.8"/>
    <n v="3"/>
    <x v="2"/>
    <n v="26.98"/>
    <s v="Overweight"/>
    <n v="729.62962962962956"/>
    <x v="1"/>
  </r>
  <r>
    <n v="719"/>
    <s v="Pune"/>
    <n v="51"/>
    <s v="Male"/>
    <n v="115.3"/>
    <n v="1.67"/>
    <n v="189"/>
    <n v="139"/>
    <n v="55"/>
    <n v="1.38"/>
    <n v="950"/>
    <s v="Yoga"/>
    <n v="24.4"/>
    <n v="2.5"/>
    <n v="3"/>
    <x v="1"/>
    <n v="41.34"/>
    <s v="Obesity"/>
    <n v="688.40579710144937"/>
    <x v="1"/>
  </r>
  <r>
    <n v="720"/>
    <s v="Hyderabad"/>
    <n v="35"/>
    <s v="Female"/>
    <n v="55.3"/>
    <n v="1.56"/>
    <n v="187"/>
    <n v="139"/>
    <n v="56"/>
    <n v="1.71"/>
    <n v="1188"/>
    <s v="Strength"/>
    <n v="19.8"/>
    <n v="2.7"/>
    <n v="5"/>
    <x v="0"/>
    <n v="22.72"/>
    <s v="Normal Weight"/>
    <n v="694.73684210526312"/>
    <x v="2"/>
  </r>
  <r>
    <n v="721"/>
    <s v="Noida"/>
    <n v="47"/>
    <s v="Male"/>
    <n v="73.900000000000006"/>
    <n v="1.8"/>
    <n v="173"/>
    <n v="140"/>
    <n v="50"/>
    <n v="1.36"/>
    <n v="942"/>
    <s v="Strength"/>
    <n v="28.3"/>
    <n v="3.7"/>
    <n v="3"/>
    <x v="2"/>
    <n v="22.81"/>
    <s v="Normal Weight"/>
    <n v="692.64705882352939"/>
    <x v="0"/>
  </r>
  <r>
    <n v="722"/>
    <s v="Ahmedabad"/>
    <n v="32"/>
    <s v="Male"/>
    <n v="97.3"/>
    <n v="1.96"/>
    <n v="189"/>
    <n v="137"/>
    <n v="50"/>
    <n v="1.36"/>
    <n v="1025"/>
    <s v="HIIT"/>
    <n v="24.9"/>
    <n v="3.4"/>
    <n v="3"/>
    <x v="1"/>
    <n v="25.33"/>
    <s v="Overweight"/>
    <n v="753.67647058823525"/>
    <x v="0"/>
  </r>
  <r>
    <n v="723"/>
    <s v="Mumbai"/>
    <n v="44"/>
    <s v="Female"/>
    <n v="60.4"/>
    <n v="1.65"/>
    <n v="176"/>
    <n v="169"/>
    <n v="54"/>
    <n v="1.27"/>
    <n v="966"/>
    <s v="HIIT"/>
    <n v="32.6"/>
    <n v="2.1"/>
    <n v="4"/>
    <x v="1"/>
    <n v="22.19"/>
    <s v="Normal Weight"/>
    <n v="760.62992125984249"/>
    <x v="1"/>
  </r>
  <r>
    <n v="724"/>
    <s v="Noida"/>
    <n v="51"/>
    <s v="Male"/>
    <n v="49.3"/>
    <n v="1.61"/>
    <n v="191"/>
    <n v="129"/>
    <n v="55"/>
    <n v="1.36"/>
    <n v="868"/>
    <s v="Cardio"/>
    <n v="28.3"/>
    <n v="2.9"/>
    <n v="2"/>
    <x v="2"/>
    <n v="19.02"/>
    <s v="Normal Weight"/>
    <n v="638.23529411764696"/>
    <x v="2"/>
  </r>
  <r>
    <n v="725"/>
    <s v="Mumbai"/>
    <n v="55"/>
    <s v="Male"/>
    <n v="91.8"/>
    <n v="1.78"/>
    <n v="165"/>
    <n v="153"/>
    <n v="65"/>
    <n v="1.44"/>
    <n v="1091"/>
    <s v="Cardio"/>
    <n v="23.5"/>
    <n v="3.4"/>
    <n v="3"/>
    <x v="2"/>
    <n v="28.97"/>
    <s v="Overweight"/>
    <n v="757.63888888888891"/>
    <x v="0"/>
  </r>
  <r>
    <n v="726"/>
    <s v="Hyderabad"/>
    <n v="50"/>
    <s v="Female"/>
    <n v="73.599999999999994"/>
    <n v="1.55"/>
    <n v="183"/>
    <n v="145"/>
    <n v="74"/>
    <n v="0.89"/>
    <n v="581"/>
    <s v="HIIT"/>
    <n v="33.9"/>
    <n v="2.1"/>
    <n v="3"/>
    <x v="2"/>
    <n v="30.63"/>
    <s v="Obesity"/>
    <n v="652.8089887640449"/>
    <x v="1"/>
  </r>
  <r>
    <n v="727"/>
    <s v="Ahmedabad"/>
    <n v="41"/>
    <s v="Male"/>
    <n v="47.1"/>
    <n v="1.78"/>
    <n v="165"/>
    <n v="149"/>
    <n v="65"/>
    <n v="1.26"/>
    <n v="929"/>
    <s v="Yoga"/>
    <n v="24.7"/>
    <n v="2.4"/>
    <n v="3"/>
    <x v="2"/>
    <n v="14.87"/>
    <s v="Underweight"/>
    <n v="737.30158730158735"/>
    <x v="1"/>
  </r>
  <r>
    <n v="728"/>
    <s v="Pune"/>
    <n v="32"/>
    <s v="Male"/>
    <n v="65.2"/>
    <n v="1.62"/>
    <n v="186"/>
    <n v="128"/>
    <n v="63"/>
    <n v="0.57999999999999996"/>
    <n v="408"/>
    <s v="Cardio"/>
    <n v="25.3"/>
    <n v="3.4"/>
    <n v="2"/>
    <x v="2"/>
    <n v="24.84"/>
    <s v="Normal Weight"/>
    <n v="703.44827586206907"/>
    <x v="0"/>
  </r>
  <r>
    <n v="729"/>
    <s v="Delhi"/>
    <n v="47"/>
    <s v="Male"/>
    <n v="87.2"/>
    <n v="1.64"/>
    <n v="177"/>
    <n v="165"/>
    <n v="50"/>
    <n v="2"/>
    <n v="1634"/>
    <s v="Strength"/>
    <n v="15"/>
    <n v="3.5"/>
    <n v="4"/>
    <x v="0"/>
    <n v="32.42"/>
    <s v="Obesity"/>
    <n v="817"/>
    <x v="0"/>
  </r>
  <r>
    <n v="730"/>
    <s v="Chennai"/>
    <n v="59"/>
    <s v="Male"/>
    <n v="96.7"/>
    <n v="1.71"/>
    <n v="183"/>
    <n v="150"/>
    <n v="62"/>
    <n v="0.56999999999999995"/>
    <n v="423"/>
    <s v="Yoga"/>
    <n v="28.4"/>
    <n v="2.9"/>
    <n v="3"/>
    <x v="2"/>
    <n v="33.07"/>
    <s v="Obesity"/>
    <n v="742.1052631578948"/>
    <x v="2"/>
  </r>
  <r>
    <n v="731"/>
    <s v="Pune"/>
    <n v="34"/>
    <s v="Female"/>
    <n v="46.9"/>
    <n v="1.61"/>
    <n v="196"/>
    <n v="161"/>
    <n v="69"/>
    <n v="1.02"/>
    <n v="821"/>
    <s v="Strength"/>
    <n v="28.6"/>
    <n v="1.7"/>
    <n v="3"/>
    <x v="1"/>
    <n v="18.09"/>
    <s v="Underweight"/>
    <n v="804.9019607843137"/>
    <x v="1"/>
  </r>
  <r>
    <n v="732"/>
    <s v="Delhi"/>
    <n v="22"/>
    <s v="Female"/>
    <n v="72.099999999999994"/>
    <n v="1.62"/>
    <n v="183"/>
    <n v="123"/>
    <n v="59"/>
    <n v="1.38"/>
    <n v="849"/>
    <s v="HIIT"/>
    <n v="25.1"/>
    <n v="2.1"/>
    <n v="3"/>
    <x v="2"/>
    <n v="27.47"/>
    <s v="Overweight"/>
    <n v="615.21739130434787"/>
    <x v="1"/>
  </r>
  <r>
    <n v="733"/>
    <s v="Bengaluru"/>
    <n v="46"/>
    <s v="Female"/>
    <n v="62.5"/>
    <n v="1.54"/>
    <n v="197"/>
    <n v="125"/>
    <n v="73"/>
    <n v="1.61"/>
    <n v="906"/>
    <s v="Strength"/>
    <n v="18.100000000000001"/>
    <n v="2.7"/>
    <n v="4"/>
    <x v="0"/>
    <n v="26.35"/>
    <s v="Overweight"/>
    <n v="562.73291925465833"/>
    <x v="2"/>
  </r>
  <r>
    <n v="734"/>
    <s v="Gurgaon"/>
    <n v="21"/>
    <s v="Male"/>
    <n v="110.7"/>
    <n v="1.69"/>
    <n v="193"/>
    <n v="133"/>
    <n v="59"/>
    <n v="1.06"/>
    <n v="775"/>
    <s v="Yoga"/>
    <n v="27"/>
    <n v="2.7"/>
    <n v="3"/>
    <x v="2"/>
    <n v="38.76"/>
    <s v="Obesity"/>
    <n v="731.13207547169804"/>
    <x v="2"/>
  </r>
  <r>
    <n v="735"/>
    <s v="Kolkata"/>
    <n v="27"/>
    <s v="Male"/>
    <n v="102.6"/>
    <n v="1.83"/>
    <n v="199"/>
    <n v="123"/>
    <n v="58"/>
    <n v="1.41"/>
    <n v="954"/>
    <s v="HIIT"/>
    <n v="26.5"/>
    <n v="3.5"/>
    <n v="3"/>
    <x v="1"/>
    <n v="30.64"/>
    <s v="Obesity"/>
    <n v="676.59574468085111"/>
    <x v="0"/>
  </r>
  <r>
    <n v="736"/>
    <s v="Kolkata"/>
    <n v="34"/>
    <s v="Female"/>
    <n v="64.3"/>
    <n v="1.62"/>
    <n v="174"/>
    <n v="145"/>
    <n v="62"/>
    <n v="1.76"/>
    <n v="1276"/>
    <s v="Yoga"/>
    <n v="19.8"/>
    <n v="2.7"/>
    <n v="5"/>
    <x v="0"/>
    <n v="24.5"/>
    <s v="Normal Weight"/>
    <n v="725"/>
    <x v="2"/>
  </r>
  <r>
    <n v="737"/>
    <s v="Chennai"/>
    <n v="27"/>
    <s v="Male"/>
    <n v="80.7"/>
    <n v="1.61"/>
    <n v="170"/>
    <n v="166"/>
    <n v="52"/>
    <n v="1.75"/>
    <n v="1598"/>
    <s v="Strength"/>
    <n v="14.3"/>
    <n v="3.5"/>
    <n v="4"/>
    <x v="0"/>
    <n v="31.13"/>
    <s v="Obesity"/>
    <n v="913.14285714285711"/>
    <x v="0"/>
  </r>
  <r>
    <n v="738"/>
    <s v="Ahmedabad"/>
    <n v="34"/>
    <s v="Male"/>
    <n v="115.3"/>
    <n v="1.81"/>
    <n v="181"/>
    <n v="167"/>
    <n v="67"/>
    <n v="1.36"/>
    <n v="1249"/>
    <s v="Yoga"/>
    <n v="24.5"/>
    <n v="2.2000000000000002"/>
    <n v="2"/>
    <x v="2"/>
    <n v="35.19"/>
    <s v="Obesity"/>
    <n v="918.38235294117635"/>
    <x v="1"/>
  </r>
  <r>
    <n v="739"/>
    <s v="Hyderabad"/>
    <n v="37"/>
    <s v="Male"/>
    <n v="87.8"/>
    <n v="1.69"/>
    <n v="183"/>
    <n v="158"/>
    <n v="69"/>
    <n v="1.81"/>
    <n v="1573"/>
    <s v="HIIT"/>
    <n v="10.3"/>
    <n v="3.5"/>
    <n v="5"/>
    <x v="0"/>
    <n v="30.74"/>
    <s v="Obesity"/>
    <n v="869.06077348066299"/>
    <x v="0"/>
  </r>
  <r>
    <n v="740"/>
    <s v="Ahmedabad"/>
    <n v="41"/>
    <s v="Male"/>
    <n v="74.3"/>
    <n v="1.61"/>
    <n v="160"/>
    <n v="136"/>
    <n v="51"/>
    <n v="1.06"/>
    <n v="714"/>
    <s v="Strength"/>
    <n v="24.8"/>
    <n v="3.5"/>
    <n v="4"/>
    <x v="1"/>
    <n v="28.66"/>
    <s v="Overweight"/>
    <n v="673.58490566037733"/>
    <x v="0"/>
  </r>
  <r>
    <n v="741"/>
    <s v="Hyderabad"/>
    <n v="22"/>
    <s v="Female"/>
    <n v="78.5"/>
    <n v="1.7"/>
    <n v="177"/>
    <n v="138"/>
    <n v="66"/>
    <n v="1.36"/>
    <n v="938"/>
    <s v="Strength"/>
    <n v="31.9"/>
    <n v="2.1"/>
    <n v="4"/>
    <x v="1"/>
    <n v="27.16"/>
    <s v="Overweight"/>
    <n v="689.7058823529411"/>
    <x v="1"/>
  </r>
  <r>
    <n v="742"/>
    <s v="Ahmedabad"/>
    <n v="51"/>
    <s v="Female"/>
    <n v="77.3"/>
    <n v="1.58"/>
    <n v="171"/>
    <n v="168"/>
    <n v="68"/>
    <n v="0.97"/>
    <n v="733"/>
    <s v="Cardio"/>
    <n v="31.1"/>
    <n v="2"/>
    <n v="2"/>
    <x v="2"/>
    <n v="30.96"/>
    <s v="Obesity"/>
    <n v="755.67010309278351"/>
    <x v="1"/>
  </r>
  <r>
    <n v="743"/>
    <s v="Gurgaon"/>
    <n v="23"/>
    <s v="Female"/>
    <n v="64.5"/>
    <n v="1.7"/>
    <n v="187"/>
    <n v="125"/>
    <n v="72"/>
    <n v="0.51"/>
    <n v="319"/>
    <s v="Cardio"/>
    <n v="30.4"/>
    <n v="1.7"/>
    <n v="2"/>
    <x v="2"/>
    <n v="22.32"/>
    <s v="Normal Weight"/>
    <n v="625.49019607843138"/>
    <x v="1"/>
  </r>
  <r>
    <n v="744"/>
    <s v="Bengaluru"/>
    <n v="19"/>
    <s v="Male"/>
    <n v="72"/>
    <n v="1.94"/>
    <n v="199"/>
    <n v="148"/>
    <n v="62"/>
    <n v="1.17"/>
    <n v="952"/>
    <s v="Yoga"/>
    <n v="24.7"/>
    <n v="3.2"/>
    <n v="3"/>
    <x v="1"/>
    <n v="19.13"/>
    <s v="Normal Weight"/>
    <n v="813.67521367521374"/>
    <x v="0"/>
  </r>
  <r>
    <n v="745"/>
    <s v="Bengaluru"/>
    <n v="30"/>
    <s v="Female"/>
    <n v="77.900000000000006"/>
    <n v="1.77"/>
    <n v="166"/>
    <n v="130"/>
    <n v="62"/>
    <n v="1.41"/>
    <n v="916"/>
    <s v="Cardio"/>
    <n v="27.9"/>
    <n v="2.6"/>
    <n v="4"/>
    <x v="1"/>
    <n v="24.87"/>
    <s v="Normal Weight"/>
    <n v="649.64539007092208"/>
    <x v="2"/>
  </r>
  <r>
    <n v="746"/>
    <s v="Delhi"/>
    <n v="28"/>
    <s v="Female"/>
    <n v="69.599999999999994"/>
    <n v="1.58"/>
    <n v="182"/>
    <n v="135"/>
    <n v="50"/>
    <n v="1.49"/>
    <n v="1006"/>
    <s v="Cardio"/>
    <n v="27.8"/>
    <n v="2"/>
    <n v="3"/>
    <x v="1"/>
    <n v="27.88"/>
    <s v="Overweight"/>
    <n v="675.16778523489938"/>
    <x v="1"/>
  </r>
  <r>
    <n v="747"/>
    <s v="Noida"/>
    <n v="40"/>
    <s v="Male"/>
    <n v="68.900000000000006"/>
    <n v="1.99"/>
    <n v="180"/>
    <n v="149"/>
    <n v="51"/>
    <n v="1.1599999999999999"/>
    <n v="951"/>
    <s v="Cardio"/>
    <n v="25"/>
    <n v="2.4"/>
    <n v="4"/>
    <x v="1"/>
    <n v="17.399999999999999"/>
    <s v="Underweight"/>
    <n v="819.82758620689663"/>
    <x v="1"/>
  </r>
  <r>
    <n v="748"/>
    <s v="Bengaluru"/>
    <n v="33"/>
    <s v="Male"/>
    <n v="45.9"/>
    <n v="1.89"/>
    <n v="193"/>
    <n v="144"/>
    <n v="50"/>
    <n v="1.45"/>
    <n v="1148"/>
    <s v="Cardio"/>
    <n v="21.6"/>
    <n v="2.9"/>
    <n v="3"/>
    <x v="1"/>
    <n v="12.85"/>
    <s v="Underweight"/>
    <n v="791.72413793103453"/>
    <x v="2"/>
  </r>
  <r>
    <n v="749"/>
    <s v="Bengaluru"/>
    <n v="48"/>
    <s v="Female"/>
    <n v="68.2"/>
    <n v="1.69"/>
    <n v="170"/>
    <n v="159"/>
    <n v="73"/>
    <n v="0.75"/>
    <n v="537"/>
    <s v="HIIT"/>
    <n v="28.4"/>
    <n v="2.5"/>
    <n v="3"/>
    <x v="2"/>
    <n v="23.88"/>
    <s v="Normal Weight"/>
    <n v="716"/>
    <x v="1"/>
  </r>
  <r>
    <n v="750"/>
    <s v="Pune"/>
    <n v="28"/>
    <s v="Female"/>
    <n v="79.599999999999994"/>
    <n v="1.59"/>
    <n v="181"/>
    <n v="130"/>
    <n v="54"/>
    <n v="1.49"/>
    <n v="968"/>
    <s v="HIIT"/>
    <n v="28.2"/>
    <n v="1.5"/>
    <n v="3"/>
    <x v="1"/>
    <n v="31.49"/>
    <s v="Obesity"/>
    <n v="649.66442953020135"/>
    <x v="1"/>
  </r>
  <r>
    <n v="751"/>
    <s v="Pune"/>
    <n v="33"/>
    <s v="Female"/>
    <n v="53.6"/>
    <n v="1.52"/>
    <n v="194"/>
    <n v="126"/>
    <n v="73"/>
    <n v="1.02"/>
    <n v="643"/>
    <s v="Cardio"/>
    <n v="30.9"/>
    <n v="2.2999999999999998"/>
    <n v="2"/>
    <x v="2"/>
    <n v="23.2"/>
    <s v="Normal Weight"/>
    <n v="630.39215686274508"/>
    <x v="1"/>
  </r>
  <r>
    <n v="752"/>
    <s v="Delhi"/>
    <n v="25"/>
    <s v="Female"/>
    <n v="57.7"/>
    <n v="1.58"/>
    <n v="188"/>
    <n v="145"/>
    <n v="52"/>
    <n v="1.36"/>
    <n v="986"/>
    <s v="Yoga"/>
    <n v="25.7"/>
    <n v="2.2000000000000002"/>
    <n v="3"/>
    <x v="1"/>
    <n v="23.11"/>
    <s v="Normal Weight"/>
    <n v="725"/>
    <x v="1"/>
  </r>
  <r>
    <n v="753"/>
    <s v="Noida"/>
    <n v="21"/>
    <s v="Male"/>
    <n v="74.2"/>
    <n v="1.93"/>
    <n v="187"/>
    <n v="141"/>
    <n v="56"/>
    <n v="1.32"/>
    <n v="1024"/>
    <s v="HIIT"/>
    <n v="28.3"/>
    <n v="2.5"/>
    <n v="3"/>
    <x v="1"/>
    <n v="19.920000000000002"/>
    <s v="Normal Weight"/>
    <n v="775.75757575757575"/>
    <x v="1"/>
  </r>
  <r>
    <n v="754"/>
    <s v="Chennai"/>
    <n v="57"/>
    <s v="Female"/>
    <n v="64.400000000000006"/>
    <n v="1.56"/>
    <n v="177"/>
    <n v="144"/>
    <n v="73"/>
    <n v="1.52"/>
    <n v="985"/>
    <s v="Cardio"/>
    <n v="17.8"/>
    <n v="2.7"/>
    <n v="5"/>
    <x v="0"/>
    <n v="26.46"/>
    <s v="Overweight"/>
    <n v="648.02631578947364"/>
    <x v="2"/>
  </r>
  <r>
    <n v="755"/>
    <s v="Pune"/>
    <n v="21"/>
    <s v="Female"/>
    <n v="54.9"/>
    <n v="1.78"/>
    <n v="173"/>
    <n v="138"/>
    <n v="71"/>
    <n v="0.55000000000000004"/>
    <n v="380"/>
    <s v="HIIT"/>
    <n v="31.7"/>
    <n v="2"/>
    <n v="2"/>
    <x v="2"/>
    <n v="17.329999999999998"/>
    <s v="Underweight"/>
    <n v="690.90909090909088"/>
    <x v="1"/>
  </r>
  <r>
    <n v="756"/>
    <s v="Chennai"/>
    <n v="42"/>
    <s v="Male"/>
    <n v="50.3"/>
    <n v="1.64"/>
    <n v="177"/>
    <n v="150"/>
    <n v="62"/>
    <n v="0.63"/>
    <n v="468"/>
    <s v="Strength"/>
    <n v="27"/>
    <n v="2.4"/>
    <n v="3"/>
    <x v="2"/>
    <n v="18.7"/>
    <s v="Normal Weight"/>
    <n v="742.85714285714289"/>
    <x v="1"/>
  </r>
  <r>
    <n v="757"/>
    <s v="Mumbai"/>
    <n v="20"/>
    <s v="Female"/>
    <n v="46.5"/>
    <n v="1.68"/>
    <n v="187"/>
    <n v="145"/>
    <n v="72"/>
    <n v="0.91"/>
    <n v="660"/>
    <s v="HIIT"/>
    <n v="27.9"/>
    <n v="2.4"/>
    <n v="2"/>
    <x v="2"/>
    <n v="16.48"/>
    <s v="Underweight"/>
    <n v="725.27472527472526"/>
    <x v="1"/>
  </r>
  <r>
    <n v="758"/>
    <s v="Pune"/>
    <n v="49"/>
    <s v="Male"/>
    <n v="57.8"/>
    <n v="1.99"/>
    <n v="183"/>
    <n v="161"/>
    <n v="67"/>
    <n v="0.93"/>
    <n v="741"/>
    <s v="HIIT"/>
    <n v="24.7"/>
    <n v="3.1"/>
    <n v="3"/>
    <x v="2"/>
    <n v="14.6"/>
    <s v="Underweight"/>
    <n v="796.77419354838707"/>
    <x v="0"/>
  </r>
  <r>
    <n v="759"/>
    <s v="Gurgaon"/>
    <n v="20"/>
    <s v="Male"/>
    <n v="83"/>
    <n v="1.8"/>
    <n v="167"/>
    <n v="160"/>
    <n v="73"/>
    <n v="0.79"/>
    <n v="695"/>
    <s v="Yoga"/>
    <n v="29.6"/>
    <n v="2.9"/>
    <n v="2"/>
    <x v="2"/>
    <n v="25.62"/>
    <s v="Overweight"/>
    <n v="879.74683544303798"/>
    <x v="2"/>
  </r>
  <r>
    <n v="760"/>
    <s v="Noida"/>
    <n v="44"/>
    <s v="Male"/>
    <n v="82.5"/>
    <n v="1.79"/>
    <n v="167"/>
    <n v="155"/>
    <n v="70"/>
    <n v="1.51"/>
    <n v="1159"/>
    <s v="HIIT"/>
    <n v="13.8"/>
    <n v="3.5"/>
    <n v="5"/>
    <x v="0"/>
    <n v="25.75"/>
    <s v="Overweight"/>
    <n v="767.5496688741722"/>
    <x v="0"/>
  </r>
  <r>
    <n v="761"/>
    <s v="Delhi"/>
    <n v="46"/>
    <s v="Female"/>
    <n v="66.5"/>
    <n v="1.73"/>
    <n v="163"/>
    <n v="142"/>
    <n v="56"/>
    <n v="1.1100000000000001"/>
    <n v="709"/>
    <s v="Yoga"/>
    <n v="34.700000000000003"/>
    <n v="2"/>
    <n v="3"/>
    <x v="2"/>
    <n v="22.22"/>
    <s v="Normal Weight"/>
    <n v="638.73873873873868"/>
    <x v="1"/>
  </r>
  <r>
    <n v="762"/>
    <s v="Mumbai"/>
    <n v="49"/>
    <s v="Female"/>
    <n v="70.2"/>
    <n v="1.67"/>
    <n v="186"/>
    <n v="166"/>
    <n v="50"/>
    <n v="0.93"/>
    <n v="695"/>
    <s v="Strength"/>
    <n v="32.5"/>
    <n v="1.8"/>
    <n v="3"/>
    <x v="2"/>
    <n v="25.17"/>
    <s v="Overweight"/>
    <n v="747.31182795698919"/>
    <x v="1"/>
  </r>
  <r>
    <n v="763"/>
    <s v="Noida"/>
    <n v="36"/>
    <s v="Male"/>
    <n v="121.9"/>
    <n v="1.93"/>
    <n v="195"/>
    <n v="132"/>
    <n v="54"/>
    <n v="1.49"/>
    <n v="1082"/>
    <s v="Cardio"/>
    <n v="21.8"/>
    <n v="3.4"/>
    <n v="3"/>
    <x v="1"/>
    <n v="32.729999999999997"/>
    <s v="Obesity"/>
    <n v="726.17449664429535"/>
    <x v="0"/>
  </r>
  <r>
    <n v="764"/>
    <s v="Gurgaon"/>
    <n v="38"/>
    <s v="Female"/>
    <n v="70.3"/>
    <n v="1.52"/>
    <n v="164"/>
    <n v="144"/>
    <n v="66"/>
    <n v="1.19"/>
    <n v="857"/>
    <s v="Yoga"/>
    <n v="25.6"/>
    <n v="2"/>
    <n v="4"/>
    <x v="1"/>
    <n v="30.43"/>
    <s v="Obesity"/>
    <n v="720.1680672268908"/>
    <x v="1"/>
  </r>
  <r>
    <n v="765"/>
    <s v="Noida"/>
    <n v="22"/>
    <s v="Female"/>
    <n v="40.299999999999997"/>
    <n v="1.56"/>
    <n v="192"/>
    <n v="121"/>
    <n v="57"/>
    <n v="1.45"/>
    <n v="877"/>
    <s v="HIIT"/>
    <n v="30.8"/>
    <n v="2.1"/>
    <n v="4"/>
    <x v="1"/>
    <n v="16.559999999999999"/>
    <s v="Underweight"/>
    <n v="604.82758620689663"/>
    <x v="1"/>
  </r>
  <r>
    <n v="766"/>
    <s v="Gurgaon"/>
    <n v="35"/>
    <s v="Male"/>
    <n v="101.4"/>
    <n v="1.76"/>
    <n v="193"/>
    <n v="121"/>
    <n v="64"/>
    <n v="0.84"/>
    <n v="559"/>
    <s v="HIIT"/>
    <n v="23.6"/>
    <n v="2.9"/>
    <n v="2"/>
    <x v="2"/>
    <n v="32.74"/>
    <s v="Obesity"/>
    <n v="665.47619047619048"/>
    <x v="2"/>
  </r>
  <r>
    <n v="767"/>
    <s v="Gurgaon"/>
    <n v="45"/>
    <s v="Male"/>
    <n v="79.2"/>
    <n v="1.95"/>
    <n v="189"/>
    <n v="135"/>
    <n v="69"/>
    <n v="1.47"/>
    <n v="982"/>
    <s v="Yoga"/>
    <n v="22.8"/>
    <n v="2.8"/>
    <n v="3"/>
    <x v="1"/>
    <n v="20.83"/>
    <s v="Normal Weight"/>
    <n v="668.02721088435374"/>
    <x v="2"/>
  </r>
  <r>
    <n v="768"/>
    <s v="Chennai"/>
    <n v="59"/>
    <s v="Female"/>
    <n v="75.8"/>
    <n v="1.77"/>
    <n v="167"/>
    <n v="128"/>
    <n v="53"/>
    <n v="1.46"/>
    <n v="841"/>
    <s v="Strength"/>
    <n v="33.1"/>
    <n v="1.8"/>
    <n v="3"/>
    <x v="2"/>
    <n v="24.19"/>
    <s v="Normal Weight"/>
    <n v="576.02739726027403"/>
    <x v="1"/>
  </r>
  <r>
    <n v="769"/>
    <s v="Ahmedabad"/>
    <n v="39"/>
    <s v="Male"/>
    <n v="71.7"/>
    <n v="1.88"/>
    <n v="198"/>
    <n v="147"/>
    <n v="51"/>
    <n v="0.55000000000000004"/>
    <n v="445"/>
    <s v="Cardio"/>
    <n v="23.7"/>
    <n v="2.2000000000000002"/>
    <n v="2"/>
    <x v="2"/>
    <n v="20.29"/>
    <s v="Normal Weight"/>
    <n v="809.09090909090901"/>
    <x v="1"/>
  </r>
  <r>
    <n v="770"/>
    <s v="Mumbai"/>
    <n v="38"/>
    <s v="Female"/>
    <n v="57.7"/>
    <n v="1.56"/>
    <n v="185"/>
    <n v="132"/>
    <n v="54"/>
    <n v="1.64"/>
    <n v="1082"/>
    <s v="HIIT"/>
    <n v="16.600000000000001"/>
    <n v="2.7"/>
    <n v="5"/>
    <x v="0"/>
    <n v="23.71"/>
    <s v="Normal Weight"/>
    <n v="659.7560975609756"/>
    <x v="2"/>
  </r>
  <r>
    <n v="771"/>
    <s v="Noida"/>
    <n v="23"/>
    <s v="Female"/>
    <n v="47.4"/>
    <n v="1.6"/>
    <n v="196"/>
    <n v="154"/>
    <n v="50"/>
    <n v="0.76"/>
    <n v="585"/>
    <s v="Strength"/>
    <n v="33.5"/>
    <n v="1.6"/>
    <n v="3"/>
    <x v="2"/>
    <n v="18.52"/>
    <s v="Normal Weight"/>
    <n v="769.73684210526312"/>
    <x v="1"/>
  </r>
  <r>
    <n v="772"/>
    <s v="Hyderabad"/>
    <n v="18"/>
    <s v="Female"/>
    <n v="57.2"/>
    <n v="1.75"/>
    <n v="193"/>
    <n v="160"/>
    <n v="74"/>
    <n v="1.29"/>
    <n v="1032"/>
    <s v="Cardio"/>
    <n v="33.5"/>
    <n v="2.4"/>
    <n v="3"/>
    <x v="1"/>
    <n v="18.68"/>
    <s v="Normal Weight"/>
    <n v="800"/>
    <x v="1"/>
  </r>
  <r>
    <n v="773"/>
    <s v="Mumbai"/>
    <n v="22"/>
    <s v="Female"/>
    <n v="44.8"/>
    <n v="1.72"/>
    <n v="166"/>
    <n v="132"/>
    <n v="54"/>
    <n v="1.48"/>
    <n v="977"/>
    <s v="Cardio"/>
    <n v="28.6"/>
    <n v="1.8"/>
    <n v="4"/>
    <x v="1"/>
    <n v="15.14"/>
    <s v="Underweight"/>
    <n v="660.1351351351351"/>
    <x v="1"/>
  </r>
  <r>
    <n v="774"/>
    <s v="Ahmedabad"/>
    <n v="58"/>
    <s v="Male"/>
    <n v="90.2"/>
    <n v="1.72"/>
    <n v="199"/>
    <n v="150"/>
    <n v="55"/>
    <n v="0.9"/>
    <n v="668"/>
    <s v="HIIT"/>
    <n v="28.3"/>
    <n v="2.1"/>
    <n v="2"/>
    <x v="2"/>
    <n v="30.49"/>
    <s v="Obesity"/>
    <n v="742.22222222222217"/>
    <x v="1"/>
  </r>
  <r>
    <n v="775"/>
    <s v="Mumbai"/>
    <n v="29"/>
    <s v="Male"/>
    <n v="84.9"/>
    <n v="1.72"/>
    <n v="187"/>
    <n v="140"/>
    <n v="51"/>
    <n v="1.79"/>
    <n v="1378"/>
    <s v="Yoga"/>
    <n v="14.3"/>
    <n v="3.5"/>
    <n v="4"/>
    <x v="0"/>
    <n v="28.7"/>
    <s v="Overweight"/>
    <n v="769.8324022346369"/>
    <x v="0"/>
  </r>
  <r>
    <n v="776"/>
    <s v="Bengaluru"/>
    <n v="43"/>
    <s v="Male"/>
    <n v="95.7"/>
    <n v="1.77"/>
    <n v="198"/>
    <n v="151"/>
    <n v="50"/>
    <n v="1.08"/>
    <n v="807"/>
    <s v="HIIT"/>
    <n v="24.2"/>
    <n v="3.4"/>
    <n v="3"/>
    <x v="2"/>
    <n v="30.55"/>
    <s v="Obesity"/>
    <n v="747.22222222222217"/>
    <x v="0"/>
  </r>
  <r>
    <n v="777"/>
    <s v="Hyderabad"/>
    <n v="51"/>
    <s v="Male"/>
    <n v="59"/>
    <n v="1.65"/>
    <n v="198"/>
    <n v="153"/>
    <n v="53"/>
    <n v="1.22"/>
    <n v="924"/>
    <s v="HIIT"/>
    <n v="20.7"/>
    <n v="2.2999999999999998"/>
    <n v="3"/>
    <x v="1"/>
    <n v="21.67"/>
    <s v="Normal Weight"/>
    <n v="757.37704918032784"/>
    <x v="1"/>
  </r>
  <r>
    <n v="778"/>
    <s v="Ahmedabad"/>
    <n v="31"/>
    <s v="Female"/>
    <n v="60.5"/>
    <n v="1.77"/>
    <n v="187"/>
    <n v="127"/>
    <n v="56"/>
    <n v="1.72"/>
    <n v="1092"/>
    <s v="HIIT"/>
    <n v="15"/>
    <n v="2.7"/>
    <n v="4"/>
    <x v="0"/>
    <n v="19.309999999999999"/>
    <s v="Normal Weight"/>
    <n v="634.88372093023258"/>
    <x v="2"/>
  </r>
  <r>
    <n v="779"/>
    <s v="Chennai"/>
    <n v="43"/>
    <s v="Female"/>
    <n v="53.8"/>
    <n v="1.72"/>
    <n v="173"/>
    <n v="160"/>
    <n v="71"/>
    <n v="1.03"/>
    <n v="742"/>
    <s v="Strength"/>
    <n v="30.2"/>
    <n v="2.2999999999999998"/>
    <n v="4"/>
    <x v="1"/>
    <n v="18.190000000000001"/>
    <s v="Underweight"/>
    <n v="720.38834951456306"/>
    <x v="1"/>
  </r>
  <r>
    <n v="780"/>
    <s v="Noida"/>
    <n v="44"/>
    <s v="Male"/>
    <n v="86.6"/>
    <n v="1.97"/>
    <n v="197"/>
    <n v="167"/>
    <n v="50"/>
    <n v="1.66"/>
    <n v="1372"/>
    <s v="Yoga"/>
    <n v="11.7"/>
    <n v="3.5"/>
    <n v="5"/>
    <x v="0"/>
    <n v="22.31"/>
    <s v="Normal Weight"/>
    <n v="826.50602409638554"/>
    <x v="0"/>
  </r>
  <r>
    <n v="781"/>
    <s v="Kolkata"/>
    <n v="26"/>
    <s v="Female"/>
    <n v="72.8"/>
    <n v="1.67"/>
    <n v="163"/>
    <n v="121"/>
    <n v="50"/>
    <n v="1.37"/>
    <n v="829"/>
    <s v="Strength"/>
    <n v="35"/>
    <n v="1.9"/>
    <n v="2"/>
    <x v="2"/>
    <n v="26.1"/>
    <s v="Overweight"/>
    <n v="605.1094890510949"/>
    <x v="1"/>
  </r>
  <r>
    <n v="782"/>
    <s v="Ahmedabad"/>
    <n v="43"/>
    <s v="Female"/>
    <n v="66.3"/>
    <n v="1.77"/>
    <n v="177"/>
    <n v="157"/>
    <n v="57"/>
    <n v="1.48"/>
    <n v="1046"/>
    <s v="HIIT"/>
    <n v="32.700000000000003"/>
    <n v="1.7"/>
    <n v="4"/>
    <x v="1"/>
    <n v="21.16"/>
    <s v="Normal Weight"/>
    <n v="706.75675675675677"/>
    <x v="1"/>
  </r>
  <r>
    <n v="783"/>
    <s v="Delhi"/>
    <n v="39"/>
    <s v="Female"/>
    <n v="56"/>
    <n v="1.6"/>
    <n v="184"/>
    <n v="151"/>
    <n v="69"/>
    <n v="0.89"/>
    <n v="672"/>
    <s v="Yoga"/>
    <n v="32.6"/>
    <n v="2"/>
    <n v="2"/>
    <x v="2"/>
    <n v="21.87"/>
    <s v="Normal Weight"/>
    <n v="755.05617977528084"/>
    <x v="1"/>
  </r>
  <r>
    <n v="784"/>
    <s v="Noida"/>
    <n v="47"/>
    <s v="Male"/>
    <n v="45.9"/>
    <n v="1.93"/>
    <n v="166"/>
    <n v="159"/>
    <n v="65"/>
    <n v="1.29"/>
    <n v="1015"/>
    <s v="Cardio"/>
    <n v="29.6"/>
    <n v="2"/>
    <n v="3"/>
    <x v="1"/>
    <n v="12.32"/>
    <s v="Underweight"/>
    <n v="786.82170542635652"/>
    <x v="1"/>
  </r>
  <r>
    <n v="785"/>
    <s v="Ahmedabad"/>
    <n v="34"/>
    <s v="Male"/>
    <n v="88"/>
    <n v="1.64"/>
    <n v="197"/>
    <n v="147"/>
    <n v="70"/>
    <n v="1.9"/>
    <n v="1536"/>
    <s v="Yoga"/>
    <n v="14.4"/>
    <n v="3.5"/>
    <n v="4"/>
    <x v="0"/>
    <n v="32.72"/>
    <s v="Obesity"/>
    <n v="808.42105263157896"/>
    <x v="0"/>
  </r>
  <r>
    <n v="786"/>
    <s v="Bengaluru"/>
    <n v="43"/>
    <s v="Male"/>
    <n v="94"/>
    <n v="1.79"/>
    <n v="187"/>
    <n v="156"/>
    <n v="62"/>
    <n v="1.31"/>
    <n v="1012"/>
    <s v="HIIT"/>
    <n v="23.2"/>
    <n v="3.4"/>
    <n v="2"/>
    <x v="2"/>
    <n v="29.34"/>
    <s v="Overweight"/>
    <n v="772.51908396946567"/>
    <x v="0"/>
  </r>
  <r>
    <n v="787"/>
    <s v="Kolkata"/>
    <n v="53"/>
    <s v="Female"/>
    <n v="44.7"/>
    <n v="1.79"/>
    <n v="164"/>
    <n v="160"/>
    <n v="72"/>
    <n v="1.34"/>
    <n v="965"/>
    <s v="Yoga"/>
    <n v="26.7"/>
    <n v="2.1"/>
    <n v="3"/>
    <x v="1"/>
    <n v="13.95"/>
    <s v="Underweight"/>
    <n v="720.14925373134326"/>
    <x v="1"/>
  </r>
  <r>
    <n v="788"/>
    <s v="Bengaluru"/>
    <n v="18"/>
    <s v="Male"/>
    <n v="63.2"/>
    <n v="1.63"/>
    <n v="162"/>
    <n v="120"/>
    <n v="73"/>
    <n v="0.66"/>
    <n v="436"/>
    <s v="Cardio"/>
    <n v="27.5"/>
    <n v="2.2000000000000002"/>
    <n v="3"/>
    <x v="2"/>
    <n v="23.79"/>
    <s v="Normal Weight"/>
    <n v="660.60606060606062"/>
    <x v="1"/>
  </r>
  <r>
    <n v="789"/>
    <s v="Kolkata"/>
    <n v="25"/>
    <s v="Male"/>
    <n v="95.6"/>
    <n v="1.9"/>
    <n v="190"/>
    <n v="160"/>
    <n v="72"/>
    <n v="1.47"/>
    <n v="1294"/>
    <s v="Cardio"/>
    <n v="23.8"/>
    <n v="2.4"/>
    <n v="4"/>
    <x v="1"/>
    <n v="26.48"/>
    <s v="Overweight"/>
    <n v="880.27210884353747"/>
    <x v="1"/>
  </r>
  <r>
    <n v="790"/>
    <s v="Delhi"/>
    <n v="52"/>
    <s v="Male"/>
    <n v="47.8"/>
    <n v="1.86"/>
    <n v="179"/>
    <n v="129"/>
    <n v="67"/>
    <n v="1.01"/>
    <n v="645"/>
    <s v="Yoga"/>
    <n v="24.7"/>
    <n v="2.8"/>
    <n v="3"/>
    <x v="1"/>
    <n v="13.82"/>
    <s v="Underweight"/>
    <n v="638.61386138613864"/>
    <x v="2"/>
  </r>
  <r>
    <n v="791"/>
    <s v="Noida"/>
    <n v="32"/>
    <s v="Male"/>
    <n v="85.3"/>
    <n v="1.64"/>
    <n v="178"/>
    <n v="123"/>
    <n v="69"/>
    <n v="1.77"/>
    <n v="1197"/>
    <s v="Cardio"/>
    <n v="13.2"/>
    <n v="3.5"/>
    <n v="4"/>
    <x v="0"/>
    <n v="31.71"/>
    <s v="Obesity"/>
    <n v="676.27118644067798"/>
    <x v="0"/>
  </r>
  <r>
    <n v="792"/>
    <s v="Chennai"/>
    <n v="39"/>
    <s v="Male"/>
    <n v="59.7"/>
    <n v="1.83"/>
    <n v="170"/>
    <n v="154"/>
    <n v="59"/>
    <n v="1.35"/>
    <n v="1143"/>
    <s v="Strength"/>
    <n v="29.1"/>
    <n v="2.2999999999999998"/>
    <n v="4"/>
    <x v="1"/>
    <n v="17.829999999999998"/>
    <s v="Underweight"/>
    <n v="846.66666666666663"/>
    <x v="1"/>
  </r>
  <r>
    <n v="793"/>
    <s v="Bengaluru"/>
    <n v="31"/>
    <s v="Male"/>
    <n v="70.2"/>
    <n v="1.98"/>
    <n v="199"/>
    <n v="129"/>
    <n v="61"/>
    <n v="0.71"/>
    <n v="504"/>
    <s v="Yoga"/>
    <n v="24.2"/>
    <n v="2.5"/>
    <n v="2"/>
    <x v="2"/>
    <n v="17.91"/>
    <s v="Underweight"/>
    <n v="709.85915492957747"/>
    <x v="1"/>
  </r>
  <r>
    <n v="794"/>
    <s v="Bengaluru"/>
    <n v="43"/>
    <s v="Female"/>
    <n v="72.7"/>
    <n v="1.8"/>
    <n v="162"/>
    <n v="166"/>
    <n v="50"/>
    <n v="0.79"/>
    <n v="590"/>
    <s v="Cardio"/>
    <n v="32.799999999999997"/>
    <n v="2.1"/>
    <n v="3"/>
    <x v="2"/>
    <n v="22.44"/>
    <s v="Normal Weight"/>
    <n v="746.83544303797464"/>
    <x v="1"/>
  </r>
  <r>
    <n v="795"/>
    <s v="Gurgaon"/>
    <n v="45"/>
    <s v="Female"/>
    <n v="50.4"/>
    <n v="1.79"/>
    <n v="182"/>
    <n v="130"/>
    <n v="59"/>
    <n v="0.74"/>
    <n v="433"/>
    <s v="Cardio"/>
    <n v="27.7"/>
    <n v="2.5"/>
    <n v="2"/>
    <x v="2"/>
    <n v="15.73"/>
    <s v="Underweight"/>
    <n v="585.1351351351351"/>
    <x v="1"/>
  </r>
  <r>
    <n v="796"/>
    <s v="Kolkata"/>
    <n v="40"/>
    <s v="Male"/>
    <n v="81.7"/>
    <n v="1.74"/>
    <n v="166"/>
    <n v="133"/>
    <n v="58"/>
    <n v="0.91"/>
    <n v="666"/>
    <s v="Yoga"/>
    <n v="27"/>
    <n v="2.7"/>
    <n v="2"/>
    <x v="2"/>
    <n v="26.99"/>
    <s v="Overweight"/>
    <n v="731.86813186813185"/>
    <x v="2"/>
  </r>
  <r>
    <n v="797"/>
    <s v="Pune"/>
    <n v="31"/>
    <s v="Male"/>
    <n v="49.3"/>
    <n v="1.62"/>
    <n v="182"/>
    <n v="157"/>
    <n v="52"/>
    <n v="0.56000000000000005"/>
    <n v="484"/>
    <s v="Strength"/>
    <n v="20"/>
    <n v="3.2"/>
    <n v="2"/>
    <x v="2"/>
    <n v="18.79"/>
    <s v="Normal Weight"/>
    <n v="864.28571428571422"/>
    <x v="0"/>
  </r>
  <r>
    <n v="798"/>
    <s v="Noida"/>
    <n v="41"/>
    <s v="Female"/>
    <n v="61.9"/>
    <n v="1.64"/>
    <n v="166"/>
    <n v="131"/>
    <n v="68"/>
    <n v="1.93"/>
    <n v="1138"/>
    <s v="Yoga"/>
    <n v="19.399999999999999"/>
    <n v="2.7"/>
    <n v="4"/>
    <x v="0"/>
    <n v="23.01"/>
    <s v="Normal Weight"/>
    <n v="589.63730569948189"/>
    <x v="2"/>
  </r>
  <r>
    <n v="799"/>
    <s v="Kolkata"/>
    <n v="19"/>
    <s v="Female"/>
    <n v="49.1"/>
    <n v="1.68"/>
    <n v="193"/>
    <n v="164"/>
    <n v="58"/>
    <n v="1.42"/>
    <n v="1164"/>
    <s v="Cardio"/>
    <n v="25.3"/>
    <n v="2.6"/>
    <n v="4"/>
    <x v="1"/>
    <n v="17.399999999999999"/>
    <s v="Underweight"/>
    <n v="819.71830985915494"/>
    <x v="2"/>
  </r>
  <r>
    <n v="800"/>
    <s v="Gurgaon"/>
    <n v="43"/>
    <s v="Male"/>
    <n v="66.5"/>
    <n v="1.83"/>
    <n v="178"/>
    <n v="136"/>
    <n v="59"/>
    <n v="1.1100000000000001"/>
    <n v="747"/>
    <s v="Yoga"/>
    <n v="27.1"/>
    <n v="2.4"/>
    <n v="3"/>
    <x v="1"/>
    <n v="19.86"/>
    <s v="Normal Weight"/>
    <n v="672.97297297297291"/>
    <x v="1"/>
  </r>
  <r>
    <n v="801"/>
    <s v="Mumbai"/>
    <n v="31"/>
    <s v="Male"/>
    <n v="75.5"/>
    <n v="1.93"/>
    <n v="168"/>
    <n v="135"/>
    <n v="68"/>
    <n v="0.6"/>
    <n v="446"/>
    <s v="Cardio"/>
    <n v="20.5"/>
    <n v="3.4"/>
    <n v="2"/>
    <x v="2"/>
    <n v="20.27"/>
    <s v="Normal Weight"/>
    <n v="743.33333333333337"/>
    <x v="0"/>
  </r>
  <r>
    <n v="802"/>
    <s v="Kolkata"/>
    <n v="24"/>
    <s v="Male"/>
    <n v="88.2"/>
    <n v="1.79"/>
    <n v="177"/>
    <n v="154"/>
    <n v="65"/>
    <n v="1.76"/>
    <n v="1491"/>
    <s v="HIIT"/>
    <n v="11.3"/>
    <n v="3.5"/>
    <n v="4"/>
    <x v="0"/>
    <n v="27.53"/>
    <s v="Overweight"/>
    <n v="847.15909090909088"/>
    <x v="0"/>
  </r>
  <r>
    <n v="803"/>
    <s v="Chennai"/>
    <n v="20"/>
    <s v="Male"/>
    <n v="74.8"/>
    <n v="1.75"/>
    <n v="184"/>
    <n v="121"/>
    <n v="73"/>
    <n v="1.33"/>
    <n v="885"/>
    <s v="Yoga"/>
    <n v="25"/>
    <n v="3.3"/>
    <n v="3"/>
    <x v="1"/>
    <n v="24.42"/>
    <s v="Normal Weight"/>
    <n v="665.41353383458647"/>
    <x v="0"/>
  </r>
  <r>
    <n v="804"/>
    <s v="Noida"/>
    <n v="40"/>
    <s v="Female"/>
    <n v="72.2"/>
    <n v="1.6"/>
    <n v="173"/>
    <n v="130"/>
    <n v="67"/>
    <n v="0.87"/>
    <n v="566"/>
    <s v="Yoga"/>
    <n v="29.2"/>
    <n v="1.9"/>
    <n v="3"/>
    <x v="2"/>
    <n v="28.2"/>
    <s v="Overweight"/>
    <n v="650.57471264367814"/>
    <x v="1"/>
  </r>
  <r>
    <n v="805"/>
    <s v="Gurgaon"/>
    <n v="35"/>
    <s v="Male"/>
    <n v="62.8"/>
    <n v="1.63"/>
    <n v="184"/>
    <n v="160"/>
    <n v="63"/>
    <n v="1.41"/>
    <n v="1241"/>
    <s v="Cardio"/>
    <n v="21.9"/>
    <n v="3.7"/>
    <n v="4"/>
    <x v="1"/>
    <n v="23.64"/>
    <s v="Normal Weight"/>
    <n v="880.14184397163126"/>
    <x v="0"/>
  </r>
  <r>
    <n v="806"/>
    <s v="Mumbai"/>
    <n v="55"/>
    <s v="Male"/>
    <n v="84.7"/>
    <n v="1.79"/>
    <n v="178"/>
    <n v="122"/>
    <n v="52"/>
    <n v="1.19"/>
    <n v="719"/>
    <s v="Cardio"/>
    <n v="23.3"/>
    <n v="2.4"/>
    <n v="3"/>
    <x v="1"/>
    <n v="26.43"/>
    <s v="Overweight"/>
    <n v="604.20168067226894"/>
    <x v="1"/>
  </r>
  <r>
    <n v="807"/>
    <s v="Hyderabad"/>
    <n v="52"/>
    <s v="Male"/>
    <n v="116.5"/>
    <n v="1.69"/>
    <n v="198"/>
    <n v="148"/>
    <n v="51"/>
    <n v="0.53"/>
    <n v="388"/>
    <s v="Cardio"/>
    <n v="27.3"/>
    <n v="2.4"/>
    <n v="2"/>
    <x v="2"/>
    <n v="40.79"/>
    <s v="Obesity"/>
    <n v="732.07547169811312"/>
    <x v="1"/>
  </r>
  <r>
    <n v="808"/>
    <s v="Gurgaon"/>
    <n v="32"/>
    <s v="Male"/>
    <n v="77.400000000000006"/>
    <n v="1.92"/>
    <n v="174"/>
    <n v="137"/>
    <n v="50"/>
    <n v="1.39"/>
    <n v="1047"/>
    <s v="Cardio"/>
    <n v="26.7"/>
    <n v="3.3"/>
    <n v="3"/>
    <x v="1"/>
    <n v="21"/>
    <s v="Normal Weight"/>
    <n v="753.23741007194246"/>
    <x v="0"/>
  </r>
  <r>
    <n v="809"/>
    <s v="Hyderabad"/>
    <n v="42"/>
    <s v="Female"/>
    <n v="72.900000000000006"/>
    <n v="1.62"/>
    <n v="175"/>
    <n v="139"/>
    <n v="67"/>
    <n v="1.17"/>
    <n v="732"/>
    <s v="Yoga"/>
    <n v="25.7"/>
    <n v="2"/>
    <n v="4"/>
    <x v="1"/>
    <n v="27.78"/>
    <s v="Overweight"/>
    <n v="625.64102564102564"/>
    <x v="1"/>
  </r>
  <r>
    <n v="810"/>
    <s v="Noida"/>
    <n v="54"/>
    <s v="Female"/>
    <n v="58.4"/>
    <n v="1.59"/>
    <n v="186"/>
    <n v="166"/>
    <n v="73"/>
    <n v="1.08"/>
    <n v="807"/>
    <s v="Cardio"/>
    <n v="32.5"/>
    <n v="1.9"/>
    <n v="2"/>
    <x v="2"/>
    <n v="23.1"/>
    <s v="Normal Weight"/>
    <n v="747.22222222222217"/>
    <x v="1"/>
  </r>
  <r>
    <n v="811"/>
    <s v="Bengaluru"/>
    <n v="45"/>
    <s v="Female"/>
    <n v="64.3"/>
    <n v="1.54"/>
    <n v="199"/>
    <n v="133"/>
    <n v="58"/>
    <n v="1.67"/>
    <n v="999"/>
    <s v="Yoga"/>
    <n v="15.3"/>
    <n v="2.7"/>
    <n v="4"/>
    <x v="0"/>
    <n v="27.11"/>
    <s v="Overweight"/>
    <n v="598.20359281437129"/>
    <x v="2"/>
  </r>
  <r>
    <n v="812"/>
    <s v="Gurgaon"/>
    <n v="27"/>
    <s v="Male"/>
    <n v="89.3"/>
    <n v="1.87"/>
    <n v="169"/>
    <n v="153"/>
    <n v="62"/>
    <n v="1.62"/>
    <n v="1363"/>
    <s v="Strength"/>
    <n v="12.7"/>
    <n v="3.5"/>
    <n v="5"/>
    <x v="0"/>
    <n v="25.54"/>
    <s v="Overweight"/>
    <n v="841.35802469135797"/>
    <x v="0"/>
  </r>
  <r>
    <n v="813"/>
    <s v="Delhi"/>
    <n v="56"/>
    <s v="Male"/>
    <n v="90.2"/>
    <n v="1.61"/>
    <n v="163"/>
    <n v="168"/>
    <n v="51"/>
    <n v="1.38"/>
    <n v="1148"/>
    <s v="Yoga"/>
    <n v="22.6"/>
    <n v="2.2999999999999998"/>
    <n v="3"/>
    <x v="1"/>
    <n v="34.799999999999997"/>
    <s v="Obesity"/>
    <n v="831.88405797101461"/>
    <x v="1"/>
  </r>
  <r>
    <n v="814"/>
    <s v="Hyderabad"/>
    <n v="34"/>
    <s v="Female"/>
    <n v="59"/>
    <n v="1.62"/>
    <n v="178"/>
    <n v="150"/>
    <n v="56"/>
    <n v="1.1299999999999999"/>
    <n v="847"/>
    <s v="Cardio"/>
    <n v="30.9"/>
    <n v="2.4"/>
    <n v="4"/>
    <x v="1"/>
    <n v="22.48"/>
    <s v="Normal Weight"/>
    <n v="749.55752212389393"/>
    <x v="1"/>
  </r>
  <r>
    <n v="815"/>
    <s v="Chennai"/>
    <n v="56"/>
    <s v="Male"/>
    <n v="58.7"/>
    <n v="1.86"/>
    <n v="187"/>
    <n v="159"/>
    <n v="65"/>
    <n v="1.0900000000000001"/>
    <n v="858"/>
    <s v="Cardio"/>
    <n v="22.6"/>
    <n v="3.3"/>
    <n v="3"/>
    <x v="1"/>
    <n v="16.97"/>
    <s v="Underweight"/>
    <n v="787.15596330275218"/>
    <x v="0"/>
  </r>
  <r>
    <n v="816"/>
    <s v="Delhi"/>
    <n v="39"/>
    <s v="Male"/>
    <n v="127.5"/>
    <n v="1.82"/>
    <n v="180"/>
    <n v="161"/>
    <n v="70"/>
    <n v="1.26"/>
    <n v="1116"/>
    <s v="Strength"/>
    <n v="29.8"/>
    <n v="3"/>
    <n v="3"/>
    <x v="1"/>
    <n v="38.49"/>
    <s v="Obesity"/>
    <n v="885.71428571428567"/>
    <x v="2"/>
  </r>
  <r>
    <n v="817"/>
    <s v="Ahmedabad"/>
    <n v="43"/>
    <s v="Female"/>
    <n v="68.599999999999994"/>
    <n v="1.52"/>
    <n v="173"/>
    <n v="137"/>
    <n v="68"/>
    <n v="1.42"/>
    <n v="875"/>
    <s v="Yoga"/>
    <n v="28.1"/>
    <n v="2.6"/>
    <n v="4"/>
    <x v="1"/>
    <n v="29.69"/>
    <s v="Overweight"/>
    <n v="616.19718309859161"/>
    <x v="2"/>
  </r>
  <r>
    <n v="818"/>
    <s v="Ahmedabad"/>
    <n v="42"/>
    <s v="Female"/>
    <n v="56.7"/>
    <n v="1.53"/>
    <n v="192"/>
    <n v="149"/>
    <n v="74"/>
    <n v="1.07"/>
    <n v="717"/>
    <s v="Strength"/>
    <n v="27.4"/>
    <n v="1.9"/>
    <n v="3"/>
    <x v="2"/>
    <n v="24.22"/>
    <s v="Normal Weight"/>
    <n v="670.09345794392516"/>
    <x v="1"/>
  </r>
  <r>
    <n v="819"/>
    <s v="Mumbai"/>
    <n v="34"/>
    <s v="Female"/>
    <n v="64.5"/>
    <n v="1.78"/>
    <n v="169"/>
    <n v="144"/>
    <n v="64"/>
    <n v="1.33"/>
    <n v="958"/>
    <s v="Yoga"/>
    <n v="27.8"/>
    <n v="1.8"/>
    <n v="4"/>
    <x v="1"/>
    <n v="20.36"/>
    <s v="Normal Weight"/>
    <n v="720.30075187969919"/>
    <x v="1"/>
  </r>
  <r>
    <n v="820"/>
    <s v="Bengaluru"/>
    <n v="30"/>
    <s v="Female"/>
    <n v="61.6"/>
    <n v="1.52"/>
    <n v="178"/>
    <n v="138"/>
    <n v="71"/>
    <n v="1.78"/>
    <n v="1228"/>
    <s v="Cardio"/>
    <n v="19.5"/>
    <n v="2.7"/>
    <n v="4"/>
    <x v="0"/>
    <n v="26.66"/>
    <s v="Overweight"/>
    <n v="689.88764044943821"/>
    <x v="2"/>
  </r>
  <r>
    <n v="821"/>
    <s v="Noida"/>
    <n v="37"/>
    <s v="Male"/>
    <n v="75.099999999999994"/>
    <n v="1.82"/>
    <n v="189"/>
    <n v="127"/>
    <n v="60"/>
    <n v="1.23"/>
    <n v="859"/>
    <s v="Yoga"/>
    <n v="26.4"/>
    <n v="3.2"/>
    <n v="4"/>
    <x v="1"/>
    <n v="22.67"/>
    <s v="Normal Weight"/>
    <n v="698.3739837398374"/>
    <x v="0"/>
  </r>
  <r>
    <n v="822"/>
    <s v="Gurgaon"/>
    <n v="42"/>
    <s v="Male"/>
    <n v="79.3"/>
    <n v="1.93"/>
    <n v="181"/>
    <n v="147"/>
    <n v="50"/>
    <n v="1.22"/>
    <n v="888"/>
    <s v="Cardio"/>
    <n v="27.3"/>
    <n v="3.3"/>
    <n v="2"/>
    <x v="2"/>
    <n v="21.29"/>
    <s v="Normal Weight"/>
    <n v="727.86885245901647"/>
    <x v="0"/>
  </r>
  <r>
    <n v="823"/>
    <s v="Pune"/>
    <n v="21"/>
    <s v="Female"/>
    <n v="72.599999999999994"/>
    <n v="1.68"/>
    <n v="162"/>
    <n v="127"/>
    <n v="70"/>
    <n v="1.19"/>
    <n v="756"/>
    <s v="Cardio"/>
    <n v="34.200000000000003"/>
    <n v="1.8"/>
    <n v="3"/>
    <x v="1"/>
    <n v="25.72"/>
    <s v="Overweight"/>
    <n v="635.2941176470589"/>
    <x v="1"/>
  </r>
  <r>
    <n v="824"/>
    <s v="Chennai"/>
    <n v="27"/>
    <s v="Male"/>
    <n v="76.7"/>
    <n v="1.7"/>
    <n v="196"/>
    <n v="150"/>
    <n v="56"/>
    <n v="0.96"/>
    <n v="792"/>
    <s v="HIIT"/>
    <n v="29.1"/>
    <n v="2.1"/>
    <n v="3"/>
    <x v="2"/>
    <n v="26.54"/>
    <s v="Overweight"/>
    <n v="825"/>
    <x v="1"/>
  </r>
  <r>
    <n v="825"/>
    <s v="Hyderabad"/>
    <n v="20"/>
    <s v="Female"/>
    <n v="44.2"/>
    <n v="1.61"/>
    <n v="177"/>
    <n v="122"/>
    <n v="69"/>
    <n v="1.08"/>
    <n v="659"/>
    <s v="HIIT"/>
    <n v="32.4"/>
    <n v="2.5"/>
    <n v="2"/>
    <x v="2"/>
    <n v="17.05"/>
    <s v="Underweight"/>
    <n v="610.18518518518511"/>
    <x v="1"/>
  </r>
  <r>
    <n v="826"/>
    <s v="Noida"/>
    <n v="58"/>
    <s v="Female"/>
    <n v="56.5"/>
    <n v="1.7"/>
    <n v="170"/>
    <n v="122"/>
    <n v="57"/>
    <n v="0.74"/>
    <n v="406"/>
    <s v="Yoga"/>
    <n v="27"/>
    <n v="2.7"/>
    <n v="2"/>
    <x v="2"/>
    <n v="19.55"/>
    <s v="Normal Weight"/>
    <n v="548.64864864864865"/>
    <x v="2"/>
  </r>
  <r>
    <n v="827"/>
    <s v="Delhi"/>
    <n v="35"/>
    <s v="Male"/>
    <n v="100.9"/>
    <n v="1.63"/>
    <n v="161"/>
    <n v="163"/>
    <n v="59"/>
    <n v="1.1000000000000001"/>
    <n v="986"/>
    <s v="Cardio"/>
    <n v="28.4"/>
    <n v="3.1"/>
    <n v="2"/>
    <x v="2"/>
    <n v="37.979999999999997"/>
    <s v="Obesity"/>
    <n v="896.36363636363626"/>
    <x v="0"/>
  </r>
  <r>
    <n v="828"/>
    <s v="Ahmedabad"/>
    <n v="53"/>
    <s v="Female"/>
    <n v="55.8"/>
    <n v="1.55"/>
    <n v="171"/>
    <n v="141"/>
    <n v="54"/>
    <n v="1.1200000000000001"/>
    <n v="711"/>
    <s v="Strength"/>
    <n v="27"/>
    <n v="1.8"/>
    <n v="4"/>
    <x v="1"/>
    <n v="23.23"/>
    <s v="Normal Weight"/>
    <n v="634.82142857142856"/>
    <x v="1"/>
  </r>
  <r>
    <n v="829"/>
    <s v="Chennai"/>
    <n v="39"/>
    <s v="Male"/>
    <n v="58.3"/>
    <n v="1.93"/>
    <n v="165"/>
    <n v="136"/>
    <n v="58"/>
    <n v="1.35"/>
    <n v="1010"/>
    <s v="Cardio"/>
    <n v="27.4"/>
    <n v="3.7"/>
    <n v="4"/>
    <x v="1"/>
    <n v="15.65"/>
    <s v="Underweight"/>
    <n v="748.14814814814815"/>
    <x v="0"/>
  </r>
  <r>
    <n v="830"/>
    <s v="Pune"/>
    <n v="51"/>
    <s v="Male"/>
    <n v="48.6"/>
    <n v="1.77"/>
    <n v="199"/>
    <n v="155"/>
    <n v="74"/>
    <n v="1.47"/>
    <n v="1128"/>
    <s v="Strength"/>
    <n v="26.9"/>
    <n v="3.5"/>
    <n v="2"/>
    <x v="2"/>
    <n v="15.51"/>
    <s v="Underweight"/>
    <n v="767.34693877551024"/>
    <x v="0"/>
  </r>
  <r>
    <n v="831"/>
    <s v="Gurgaon"/>
    <n v="25"/>
    <s v="Male"/>
    <n v="81.7"/>
    <n v="1.95"/>
    <n v="188"/>
    <n v="136"/>
    <n v="74"/>
    <n v="1.94"/>
    <n v="1451"/>
    <s v="Yoga"/>
    <n v="13.8"/>
    <n v="3.5"/>
    <n v="4"/>
    <x v="0"/>
    <n v="21.49"/>
    <s v="Normal Weight"/>
    <n v="747.93814432989689"/>
    <x v="0"/>
  </r>
  <r>
    <n v="832"/>
    <s v="Mumbai"/>
    <n v="57"/>
    <s v="Male"/>
    <n v="85.6"/>
    <n v="1.69"/>
    <n v="189"/>
    <n v="133"/>
    <n v="50"/>
    <n v="1.76"/>
    <n v="1159"/>
    <s v="Yoga"/>
    <n v="12.7"/>
    <n v="3.5"/>
    <n v="5"/>
    <x v="0"/>
    <n v="29.97"/>
    <s v="Overweight"/>
    <n v="658.52272727272725"/>
    <x v="0"/>
  </r>
  <r>
    <n v="833"/>
    <s v="Pune"/>
    <n v="36"/>
    <s v="Female"/>
    <n v="60"/>
    <n v="1.72"/>
    <n v="161"/>
    <n v="128"/>
    <n v="51"/>
    <n v="1.63"/>
    <n v="1043"/>
    <s v="Strength"/>
    <n v="18.2"/>
    <n v="2.7"/>
    <n v="5"/>
    <x v="0"/>
    <n v="20.28"/>
    <s v="Normal Weight"/>
    <n v="639.87730061349703"/>
    <x v="2"/>
  </r>
  <r>
    <n v="834"/>
    <s v="Chennai"/>
    <n v="59"/>
    <s v="Male"/>
    <n v="126.4"/>
    <n v="1.69"/>
    <n v="168"/>
    <n v="149"/>
    <n v="68"/>
    <n v="1.24"/>
    <n v="915"/>
    <s v="Strength"/>
    <n v="29.5"/>
    <n v="2.9"/>
    <n v="3"/>
    <x v="2"/>
    <n v="44.26"/>
    <s v="Obesity"/>
    <n v="737.90322580645159"/>
    <x v="2"/>
  </r>
  <r>
    <n v="835"/>
    <s v="Pune"/>
    <n v="58"/>
    <s v="Female"/>
    <n v="75.400000000000006"/>
    <n v="1.78"/>
    <n v="161"/>
    <n v="140"/>
    <n v="63"/>
    <n v="1.05"/>
    <n v="662"/>
    <s v="Cardio"/>
    <n v="26"/>
    <n v="2.5"/>
    <n v="4"/>
    <x v="1"/>
    <n v="23.8"/>
    <s v="Normal Weight"/>
    <n v="630.47619047619048"/>
    <x v="1"/>
  </r>
  <r>
    <n v="836"/>
    <s v="Chennai"/>
    <n v="54"/>
    <s v="Female"/>
    <n v="64.2"/>
    <n v="1.69"/>
    <n v="188"/>
    <n v="131"/>
    <n v="69"/>
    <n v="1.69"/>
    <n v="996"/>
    <s v="Yoga"/>
    <n v="16.5"/>
    <n v="2.7"/>
    <n v="4"/>
    <x v="0"/>
    <n v="22.48"/>
    <s v="Normal Weight"/>
    <n v="589.3491124260355"/>
    <x v="2"/>
  </r>
  <r>
    <n v="837"/>
    <s v="Chennai"/>
    <n v="23"/>
    <s v="Female"/>
    <n v="65.2"/>
    <n v="1.62"/>
    <n v="192"/>
    <n v="156"/>
    <n v="59"/>
    <n v="1.37"/>
    <n v="1069"/>
    <s v="Cardio"/>
    <n v="31.1"/>
    <n v="2.5"/>
    <n v="3"/>
    <x v="1"/>
    <n v="24.84"/>
    <s v="Normal Weight"/>
    <n v="780.29197080291965"/>
    <x v="1"/>
  </r>
  <r>
    <n v="838"/>
    <s v="Kolkata"/>
    <n v="43"/>
    <s v="Female"/>
    <n v="70.099999999999994"/>
    <n v="1.66"/>
    <n v="169"/>
    <n v="151"/>
    <n v="58"/>
    <n v="0.99"/>
    <n v="673"/>
    <s v="Strength"/>
    <n v="34.6"/>
    <n v="2.6"/>
    <n v="2"/>
    <x v="2"/>
    <n v="25.44"/>
    <s v="Overweight"/>
    <n v="679.79797979797979"/>
    <x v="2"/>
  </r>
  <r>
    <n v="839"/>
    <s v="Hyderabad"/>
    <n v="51"/>
    <s v="Male"/>
    <n v="102.6"/>
    <n v="1.77"/>
    <n v="193"/>
    <n v="130"/>
    <n v="59"/>
    <n v="1.21"/>
    <n v="779"/>
    <s v="HIIT"/>
    <n v="21"/>
    <n v="3.4"/>
    <n v="2"/>
    <x v="2"/>
    <n v="32.75"/>
    <s v="Obesity"/>
    <n v="643.80165289256195"/>
    <x v="0"/>
  </r>
  <r>
    <n v="840"/>
    <s v="Ahmedabad"/>
    <n v="23"/>
    <s v="Male"/>
    <n v="107.2"/>
    <n v="1.93"/>
    <n v="167"/>
    <n v="139"/>
    <n v="55"/>
    <n v="1.1499999999999999"/>
    <n v="879"/>
    <s v="HIIT"/>
    <n v="20.2"/>
    <n v="3.1"/>
    <n v="4"/>
    <x v="1"/>
    <n v="28.78"/>
    <s v="Overweight"/>
    <n v="764.34782608695662"/>
    <x v="0"/>
  </r>
  <r>
    <n v="841"/>
    <s v="Kolkata"/>
    <n v="54"/>
    <s v="Female"/>
    <n v="56.5"/>
    <n v="1.75"/>
    <n v="196"/>
    <n v="154"/>
    <n v="66"/>
    <n v="1.76"/>
    <n v="1220"/>
    <s v="HIIT"/>
    <n v="15.3"/>
    <n v="2.7"/>
    <n v="5"/>
    <x v="0"/>
    <n v="18.45"/>
    <s v="Underweight"/>
    <n v="693.18181818181813"/>
    <x v="2"/>
  </r>
  <r>
    <n v="842"/>
    <s v="Gurgaon"/>
    <n v="50"/>
    <s v="Female"/>
    <n v="61.6"/>
    <n v="1.75"/>
    <n v="192"/>
    <n v="166"/>
    <n v="74"/>
    <n v="1.22"/>
    <n v="911"/>
    <s v="Strength"/>
    <n v="25.5"/>
    <n v="2.2000000000000002"/>
    <n v="4"/>
    <x v="1"/>
    <n v="20.11"/>
    <s v="Normal Weight"/>
    <n v="746.72131147540983"/>
    <x v="1"/>
  </r>
  <r>
    <n v="843"/>
    <s v="Kolkata"/>
    <n v="39"/>
    <s v="Male"/>
    <n v="81.7"/>
    <n v="1.75"/>
    <n v="165"/>
    <n v="165"/>
    <n v="55"/>
    <n v="1.32"/>
    <n v="1198"/>
    <s v="Cardio"/>
    <n v="29.1"/>
    <n v="2.8"/>
    <n v="4"/>
    <x v="1"/>
    <n v="26.68"/>
    <s v="Overweight"/>
    <n v="907.57575757575751"/>
    <x v="2"/>
  </r>
  <r>
    <n v="844"/>
    <s v="Bengaluru"/>
    <n v="38"/>
    <s v="Female"/>
    <n v="76.599999999999994"/>
    <n v="1.58"/>
    <n v="199"/>
    <n v="130"/>
    <n v="53"/>
    <n v="0.74"/>
    <n v="481"/>
    <s v="Yoga"/>
    <n v="32.200000000000003"/>
    <n v="2.2999999999999998"/>
    <n v="2"/>
    <x v="2"/>
    <n v="30.68"/>
    <s v="Obesity"/>
    <n v="650"/>
    <x v="1"/>
  </r>
  <r>
    <n v="845"/>
    <s v="Bengaluru"/>
    <n v="23"/>
    <s v="Male"/>
    <n v="116.8"/>
    <n v="1.79"/>
    <n v="178"/>
    <n v="127"/>
    <n v="69"/>
    <n v="1"/>
    <n v="698"/>
    <s v="Strength"/>
    <n v="26.8"/>
    <n v="3.4"/>
    <n v="4"/>
    <x v="1"/>
    <n v="36.450000000000003"/>
    <s v="Obesity"/>
    <n v="698"/>
    <x v="0"/>
  </r>
  <r>
    <n v="846"/>
    <s v="Ahmedabad"/>
    <n v="23"/>
    <s v="Female"/>
    <n v="60.1"/>
    <n v="1.59"/>
    <n v="191"/>
    <n v="123"/>
    <n v="52"/>
    <n v="1.8"/>
    <n v="1107"/>
    <s v="HIIT"/>
    <n v="17.600000000000001"/>
    <n v="2.7"/>
    <n v="4"/>
    <x v="0"/>
    <n v="23.77"/>
    <s v="Normal Weight"/>
    <n v="615"/>
    <x v="2"/>
  </r>
  <r>
    <n v="847"/>
    <s v="Pune"/>
    <n v="21"/>
    <s v="Male"/>
    <n v="93.7"/>
    <n v="1.73"/>
    <n v="186"/>
    <n v="146"/>
    <n v="72"/>
    <n v="1"/>
    <n v="803"/>
    <s v="Cardio"/>
    <n v="27.8"/>
    <n v="3.6"/>
    <n v="2"/>
    <x v="2"/>
    <n v="31.31"/>
    <s v="Obesity"/>
    <n v="803"/>
    <x v="0"/>
  </r>
  <r>
    <n v="848"/>
    <s v="Hyderabad"/>
    <n v="47"/>
    <s v="Female"/>
    <n v="41.6"/>
    <n v="1.58"/>
    <n v="160"/>
    <n v="163"/>
    <n v="68"/>
    <n v="1.03"/>
    <n v="756"/>
    <s v="Yoga"/>
    <n v="26.6"/>
    <n v="2.1"/>
    <n v="4"/>
    <x v="1"/>
    <n v="16.66"/>
    <s v="Underweight"/>
    <n v="733.98058252427188"/>
    <x v="1"/>
  </r>
  <r>
    <n v="849"/>
    <s v="Ahmedabad"/>
    <n v="28"/>
    <s v="Female"/>
    <n v="55.1"/>
    <n v="1.79"/>
    <n v="192"/>
    <n v="159"/>
    <n v="67"/>
    <n v="1.99"/>
    <n v="1582"/>
    <s v="Yoga"/>
    <n v="17"/>
    <n v="2.7"/>
    <n v="5"/>
    <x v="0"/>
    <n v="17.2"/>
    <s v="Underweight"/>
    <n v="794.9748743718593"/>
    <x v="2"/>
  </r>
  <r>
    <n v="850"/>
    <s v="Chennai"/>
    <n v="47"/>
    <s v="Male"/>
    <n v="127.1"/>
    <n v="1.76"/>
    <n v="199"/>
    <n v="157"/>
    <n v="73"/>
    <n v="0.71"/>
    <n v="552"/>
    <s v="Strength"/>
    <n v="24.9"/>
    <n v="3"/>
    <n v="2"/>
    <x v="2"/>
    <n v="41.03"/>
    <s v="Obesity"/>
    <n v="777.46478873239437"/>
    <x v="2"/>
  </r>
  <r>
    <n v="851"/>
    <s v="Delhi"/>
    <n v="48"/>
    <s v="Female"/>
    <n v="69.099999999999994"/>
    <n v="1.6"/>
    <n v="191"/>
    <n v="166"/>
    <n v="53"/>
    <n v="1.34"/>
    <n v="1001"/>
    <s v="Strength"/>
    <n v="26.1"/>
    <n v="2"/>
    <n v="4"/>
    <x v="1"/>
    <n v="26.99"/>
    <s v="Overweight"/>
    <n v="747.01492537313425"/>
    <x v="1"/>
  </r>
  <r>
    <n v="852"/>
    <s v="Hyderabad"/>
    <n v="41"/>
    <s v="Female"/>
    <n v="66.8"/>
    <n v="1.74"/>
    <n v="164"/>
    <n v="149"/>
    <n v="57"/>
    <n v="1.34"/>
    <n v="898"/>
    <s v="Yoga"/>
    <n v="29.2"/>
    <n v="2.2999999999999998"/>
    <n v="3"/>
    <x v="2"/>
    <n v="22.06"/>
    <s v="Normal Weight"/>
    <n v="670.14925373134326"/>
    <x v="1"/>
  </r>
  <r>
    <n v="853"/>
    <s v="Hyderabad"/>
    <n v="26"/>
    <s v="Male"/>
    <n v="125.5"/>
    <n v="1.76"/>
    <n v="176"/>
    <n v="163"/>
    <n v="66"/>
    <n v="1.1499999999999999"/>
    <n v="1031"/>
    <s v="Yoga"/>
    <n v="23.2"/>
    <n v="3.1"/>
    <n v="4"/>
    <x v="1"/>
    <n v="40.520000000000003"/>
    <s v="Obesity"/>
    <n v="896.52173913043487"/>
    <x v="0"/>
  </r>
  <r>
    <n v="854"/>
    <s v="Chennai"/>
    <n v="20"/>
    <s v="Female"/>
    <n v="71.3"/>
    <n v="1.58"/>
    <n v="167"/>
    <n v="167"/>
    <n v="54"/>
    <n v="1.07"/>
    <n v="893"/>
    <s v="HIIT"/>
    <n v="25.4"/>
    <n v="1.5"/>
    <n v="3"/>
    <x v="1"/>
    <n v="28.56"/>
    <s v="Overweight"/>
    <n v="834.57943925233644"/>
    <x v="1"/>
  </r>
  <r>
    <n v="855"/>
    <s v="Chennai"/>
    <n v="48"/>
    <s v="Male"/>
    <n v="129.19999999999999"/>
    <n v="1.61"/>
    <n v="193"/>
    <n v="167"/>
    <n v="62"/>
    <n v="1.06"/>
    <n v="876"/>
    <s v="Yoga"/>
    <n v="21.4"/>
    <n v="2.9"/>
    <n v="4"/>
    <x v="1"/>
    <n v="49.84"/>
    <s v="Obesity"/>
    <n v="826.41509433962256"/>
    <x v="2"/>
  </r>
  <r>
    <n v="856"/>
    <s v="Mumbai"/>
    <n v="57"/>
    <s v="Male"/>
    <n v="96.3"/>
    <n v="1.86"/>
    <n v="168"/>
    <n v="146"/>
    <n v="74"/>
    <n v="1.1000000000000001"/>
    <n v="795"/>
    <s v="Strength"/>
    <n v="27.6"/>
    <n v="2.2000000000000002"/>
    <n v="3"/>
    <x v="1"/>
    <n v="27.84"/>
    <s v="Overweight"/>
    <n v="722.72727272727263"/>
    <x v="1"/>
  </r>
  <r>
    <n v="857"/>
    <s v="Ahmedabad"/>
    <n v="54"/>
    <s v="Female"/>
    <n v="67.5"/>
    <n v="1.54"/>
    <n v="182"/>
    <n v="140"/>
    <n v="50"/>
    <n v="0.72"/>
    <n v="454"/>
    <s v="Cardio"/>
    <n v="25.2"/>
    <n v="1.5"/>
    <n v="3"/>
    <x v="2"/>
    <n v="28.46"/>
    <s v="Overweight"/>
    <n v="630.55555555555554"/>
    <x v="1"/>
  </r>
  <r>
    <n v="858"/>
    <s v="Chennai"/>
    <n v="53"/>
    <s v="Female"/>
    <n v="64.400000000000006"/>
    <n v="1.55"/>
    <n v="194"/>
    <n v="139"/>
    <n v="62"/>
    <n v="1.77"/>
    <n v="1107"/>
    <s v="HIIT"/>
    <n v="19.7"/>
    <n v="2.7"/>
    <n v="4"/>
    <x v="0"/>
    <n v="26.81"/>
    <s v="Overweight"/>
    <n v="625.42372881355936"/>
    <x v="2"/>
  </r>
  <r>
    <n v="859"/>
    <s v="Bengaluru"/>
    <n v="41"/>
    <s v="Female"/>
    <n v="64.900000000000006"/>
    <n v="1.57"/>
    <n v="166"/>
    <n v="123"/>
    <n v="53"/>
    <n v="1.04"/>
    <n v="576"/>
    <s v="HIIT"/>
    <n v="25.9"/>
    <n v="2.4"/>
    <n v="4"/>
    <x v="1"/>
    <n v="26.33"/>
    <s v="Overweight"/>
    <n v="553.84615384615381"/>
    <x v="1"/>
  </r>
  <r>
    <n v="860"/>
    <s v="Gurgaon"/>
    <n v="48"/>
    <s v="Female"/>
    <n v="52.3"/>
    <n v="1.66"/>
    <n v="174"/>
    <n v="130"/>
    <n v="71"/>
    <n v="0.74"/>
    <n v="433"/>
    <s v="Yoga"/>
    <n v="33"/>
    <n v="1.8"/>
    <n v="3"/>
    <x v="2"/>
    <n v="18.98"/>
    <s v="Normal Weight"/>
    <n v="585.1351351351351"/>
    <x v="1"/>
  </r>
  <r>
    <n v="861"/>
    <s v="Delhi"/>
    <n v="23"/>
    <s v="Female"/>
    <n v="56.7"/>
    <n v="1.55"/>
    <n v="179"/>
    <n v="132"/>
    <n v="73"/>
    <n v="1.38"/>
    <n v="911"/>
    <s v="Cardio"/>
    <n v="34"/>
    <n v="1.9"/>
    <n v="4"/>
    <x v="1"/>
    <n v="23.6"/>
    <s v="Normal Weight"/>
    <n v="660.14492753623199"/>
    <x v="1"/>
  </r>
  <r>
    <n v="862"/>
    <s v="Ahmedabad"/>
    <n v="19"/>
    <s v="Female"/>
    <n v="46.8"/>
    <n v="1.63"/>
    <n v="184"/>
    <n v="128"/>
    <n v="63"/>
    <n v="1.35"/>
    <n v="864"/>
    <s v="HIIT"/>
    <n v="34.4"/>
    <n v="1.6"/>
    <n v="4"/>
    <x v="1"/>
    <n v="17.61"/>
    <s v="Underweight"/>
    <n v="640"/>
    <x v="1"/>
  </r>
  <r>
    <n v="863"/>
    <s v="Noida"/>
    <n v="37"/>
    <s v="Female"/>
    <n v="70.3"/>
    <n v="1.77"/>
    <n v="162"/>
    <n v="123"/>
    <n v="52"/>
    <n v="1.01"/>
    <n v="621"/>
    <s v="Strength"/>
    <n v="33.700000000000003"/>
    <n v="1.7"/>
    <n v="2"/>
    <x v="2"/>
    <n v="22.44"/>
    <s v="Normal Weight"/>
    <n v="614.85148514851483"/>
    <x v="1"/>
  </r>
  <r>
    <n v="864"/>
    <s v="Bengaluru"/>
    <n v="45"/>
    <s v="Male"/>
    <n v="80.8"/>
    <n v="1.76"/>
    <n v="183"/>
    <n v="131"/>
    <n v="54"/>
    <n v="1.7"/>
    <n v="1102"/>
    <s v="Yoga"/>
    <n v="11.4"/>
    <n v="3.5"/>
    <n v="4"/>
    <x v="0"/>
    <n v="26.08"/>
    <s v="Overweight"/>
    <n v="648.23529411764707"/>
    <x v="0"/>
  </r>
  <r>
    <n v="865"/>
    <s v="Pune"/>
    <n v="28"/>
    <s v="Female"/>
    <n v="56"/>
    <n v="1.5"/>
    <n v="193"/>
    <n v="128"/>
    <n v="56"/>
    <n v="1.94"/>
    <n v="1242"/>
    <s v="Strength"/>
    <n v="16.7"/>
    <n v="2.7"/>
    <n v="5"/>
    <x v="0"/>
    <n v="24.89"/>
    <s v="Normal Weight"/>
    <n v="640.20618556701038"/>
    <x v="2"/>
  </r>
  <r>
    <n v="866"/>
    <s v="Chennai"/>
    <n v="21"/>
    <s v="Male"/>
    <n v="101.2"/>
    <n v="1.84"/>
    <n v="181"/>
    <n v="132"/>
    <n v="50"/>
    <n v="1.3"/>
    <n v="944"/>
    <s v="Yoga"/>
    <n v="24.3"/>
    <n v="3.3"/>
    <n v="2"/>
    <x v="2"/>
    <n v="29.89"/>
    <s v="Overweight"/>
    <n v="726.15384615384608"/>
    <x v="0"/>
  </r>
  <r>
    <n v="867"/>
    <s v="Noida"/>
    <n v="32"/>
    <s v="Female"/>
    <n v="56.6"/>
    <n v="1.57"/>
    <n v="170"/>
    <n v="167"/>
    <n v="72"/>
    <n v="1.65"/>
    <n v="1378"/>
    <s v="HIIT"/>
    <n v="15.7"/>
    <n v="2.7"/>
    <n v="4"/>
    <x v="0"/>
    <n v="22.96"/>
    <s v="Normal Weight"/>
    <n v="835.15151515151524"/>
    <x v="2"/>
  </r>
  <r>
    <n v="868"/>
    <s v="Chennai"/>
    <n v="23"/>
    <s v="Female"/>
    <n v="40.9"/>
    <n v="1.75"/>
    <n v="167"/>
    <n v="145"/>
    <n v="61"/>
    <n v="0.82"/>
    <n v="594"/>
    <s v="Yoga"/>
    <n v="25.2"/>
    <n v="2.1"/>
    <n v="3"/>
    <x v="2"/>
    <n v="13.36"/>
    <s v="Underweight"/>
    <n v="724.39024390243912"/>
    <x v="1"/>
  </r>
  <r>
    <n v="869"/>
    <s v="Hyderabad"/>
    <n v="47"/>
    <s v="Male"/>
    <n v="127.8"/>
    <n v="1.65"/>
    <n v="198"/>
    <n v="157"/>
    <n v="60"/>
    <n v="0.77"/>
    <n v="598"/>
    <s v="Cardio"/>
    <n v="28.7"/>
    <n v="3.5"/>
    <n v="2"/>
    <x v="2"/>
    <n v="46.94"/>
    <s v="Obesity"/>
    <n v="776.62337662337666"/>
    <x v="0"/>
  </r>
  <r>
    <n v="870"/>
    <s v="Bengaluru"/>
    <n v="55"/>
    <s v="Female"/>
    <n v="49.3"/>
    <n v="1.76"/>
    <n v="194"/>
    <n v="161"/>
    <n v="73"/>
    <n v="1.28"/>
    <n v="927"/>
    <s v="Strength"/>
    <n v="30.5"/>
    <n v="2"/>
    <n v="2"/>
    <x v="2"/>
    <n v="15.92"/>
    <s v="Underweight"/>
    <n v="724.21875"/>
    <x v="1"/>
  </r>
  <r>
    <n v="871"/>
    <s v="Hyderabad"/>
    <n v="19"/>
    <s v="Female"/>
    <n v="64.3"/>
    <n v="1.63"/>
    <n v="197"/>
    <n v="132"/>
    <n v="57"/>
    <n v="1.87"/>
    <n v="1234"/>
    <s v="Cardio"/>
    <n v="18"/>
    <n v="2.7"/>
    <n v="5"/>
    <x v="0"/>
    <n v="24.2"/>
    <s v="Normal Weight"/>
    <n v="659.89304812834223"/>
    <x v="2"/>
  </r>
  <r>
    <n v="872"/>
    <s v="Mumbai"/>
    <n v="32"/>
    <s v="Male"/>
    <n v="49.3"/>
    <n v="1.62"/>
    <n v="167"/>
    <n v="158"/>
    <n v="74"/>
    <n v="1.18"/>
    <n v="1025"/>
    <s v="Strength"/>
    <n v="29.3"/>
    <n v="2.5"/>
    <n v="3"/>
    <x v="1"/>
    <n v="18.79"/>
    <s v="Normal Weight"/>
    <n v="868.64406779661022"/>
    <x v="1"/>
  </r>
  <r>
    <n v="873"/>
    <s v="Hyderabad"/>
    <n v="28"/>
    <s v="Female"/>
    <n v="63"/>
    <n v="1.62"/>
    <n v="196"/>
    <n v="147"/>
    <n v="55"/>
    <n v="0.68"/>
    <n v="500"/>
    <s v="Strength"/>
    <n v="31.7"/>
    <n v="1.9"/>
    <n v="2"/>
    <x v="2"/>
    <n v="24.01"/>
    <s v="Normal Weight"/>
    <n v="735.29411764705878"/>
    <x v="1"/>
  </r>
  <r>
    <n v="874"/>
    <s v="Mumbai"/>
    <n v="25"/>
    <s v="Female"/>
    <n v="41.1"/>
    <n v="1.67"/>
    <n v="186"/>
    <n v="138"/>
    <n v="71"/>
    <n v="1.03"/>
    <n v="711"/>
    <s v="Yoga"/>
    <n v="31.9"/>
    <n v="2.4"/>
    <n v="3"/>
    <x v="1"/>
    <n v="14.74"/>
    <s v="Underweight"/>
    <n v="690.29126213592235"/>
    <x v="1"/>
  </r>
  <r>
    <n v="875"/>
    <s v="Mumbai"/>
    <n v="43"/>
    <s v="Female"/>
    <n v="40.5"/>
    <n v="1.74"/>
    <n v="187"/>
    <n v="143"/>
    <n v="51"/>
    <n v="1.5"/>
    <n v="965"/>
    <s v="HIIT"/>
    <n v="32.9"/>
    <n v="2.2000000000000002"/>
    <n v="3"/>
    <x v="1"/>
    <n v="13.38"/>
    <s v="Underweight"/>
    <n v="643.33333333333337"/>
    <x v="1"/>
  </r>
  <r>
    <n v="876"/>
    <s v="Noida"/>
    <n v="22"/>
    <s v="Male"/>
    <n v="71"/>
    <n v="1.62"/>
    <n v="199"/>
    <n v="138"/>
    <n v="68"/>
    <n v="0.91"/>
    <n v="691"/>
    <s v="HIIT"/>
    <n v="21.2"/>
    <n v="3.5"/>
    <n v="2"/>
    <x v="2"/>
    <n v="27.05"/>
    <s v="Overweight"/>
    <n v="759.34065934065927"/>
    <x v="0"/>
  </r>
  <r>
    <n v="877"/>
    <s v="Chennai"/>
    <n v="23"/>
    <s v="Female"/>
    <n v="60.9"/>
    <n v="1.62"/>
    <n v="193"/>
    <n v="168"/>
    <n v="69"/>
    <n v="1.59"/>
    <n v="1336"/>
    <s v="Cardio"/>
    <n v="16.8"/>
    <n v="2.7"/>
    <n v="5"/>
    <x v="0"/>
    <n v="23.21"/>
    <s v="Normal Weight"/>
    <n v="840.25157232704396"/>
    <x v="2"/>
  </r>
  <r>
    <n v="878"/>
    <s v="Pune"/>
    <n v="43"/>
    <s v="Female"/>
    <n v="64.7"/>
    <n v="1.66"/>
    <n v="191"/>
    <n v="132"/>
    <n v="69"/>
    <n v="1.88"/>
    <n v="1117"/>
    <s v="Yoga"/>
    <n v="19.8"/>
    <n v="2.7"/>
    <n v="4"/>
    <x v="0"/>
    <n v="23.48"/>
    <s v="Normal Weight"/>
    <n v="594.14893617021278"/>
    <x v="2"/>
  </r>
  <r>
    <n v="879"/>
    <s v="Hyderabad"/>
    <n v="21"/>
    <s v="Female"/>
    <n v="51"/>
    <n v="1.71"/>
    <n v="174"/>
    <n v="132"/>
    <n v="73"/>
    <n v="1.07"/>
    <n v="706"/>
    <s v="HIIT"/>
    <n v="34.200000000000003"/>
    <n v="2.2000000000000002"/>
    <n v="3"/>
    <x v="1"/>
    <n v="17.440000000000001"/>
    <s v="Underweight"/>
    <n v="659.81308411214945"/>
    <x v="1"/>
  </r>
  <r>
    <n v="880"/>
    <s v="Bengaluru"/>
    <n v="36"/>
    <s v="Female"/>
    <n v="57.7"/>
    <n v="1.77"/>
    <n v="176"/>
    <n v="147"/>
    <n v="63"/>
    <n v="1.65"/>
    <n v="1213"/>
    <s v="Strength"/>
    <n v="19.399999999999999"/>
    <n v="2.7"/>
    <n v="4"/>
    <x v="0"/>
    <n v="18.420000000000002"/>
    <s v="Underweight"/>
    <n v="735.15151515151524"/>
    <x v="2"/>
  </r>
  <r>
    <n v="881"/>
    <s v="Mumbai"/>
    <n v="37"/>
    <s v="Male"/>
    <n v="76.900000000000006"/>
    <n v="1.82"/>
    <n v="192"/>
    <n v="121"/>
    <n v="50"/>
    <n v="1.49"/>
    <n v="992"/>
    <s v="Strength"/>
    <n v="24.5"/>
    <n v="2.8"/>
    <n v="4"/>
    <x v="1"/>
    <n v="23.22"/>
    <s v="Normal Weight"/>
    <n v="665.77181208053696"/>
    <x v="2"/>
  </r>
  <r>
    <n v="882"/>
    <s v="Chennai"/>
    <n v="50"/>
    <s v="Male"/>
    <n v="80.5"/>
    <n v="1.77"/>
    <n v="175"/>
    <n v="129"/>
    <n v="59"/>
    <n v="1.85"/>
    <n v="1181"/>
    <s v="Yoga"/>
    <n v="14.3"/>
    <n v="3.5"/>
    <n v="4"/>
    <x v="0"/>
    <n v="25.7"/>
    <s v="Overweight"/>
    <n v="638.37837837837833"/>
    <x v="0"/>
  </r>
  <r>
    <n v="883"/>
    <s v="Delhi"/>
    <n v="37"/>
    <s v="Female"/>
    <n v="73.3"/>
    <n v="1.74"/>
    <n v="188"/>
    <n v="141"/>
    <n v="65"/>
    <n v="1.03"/>
    <n v="726"/>
    <s v="Cardio"/>
    <n v="25.5"/>
    <n v="2.4"/>
    <n v="3"/>
    <x v="1"/>
    <n v="24.21"/>
    <s v="Normal Weight"/>
    <n v="704.85436893203882"/>
    <x v="1"/>
  </r>
  <r>
    <n v="884"/>
    <s v="Ahmedabad"/>
    <n v="29"/>
    <s v="Female"/>
    <n v="49"/>
    <n v="1.57"/>
    <n v="168"/>
    <n v="132"/>
    <n v="53"/>
    <n v="1.33"/>
    <n v="878"/>
    <s v="Yoga"/>
    <n v="26.5"/>
    <n v="2.6"/>
    <n v="3"/>
    <x v="1"/>
    <n v="19.88"/>
    <s v="Normal Weight"/>
    <n v="660.1503759398496"/>
    <x v="2"/>
  </r>
  <r>
    <n v="885"/>
    <s v="Noida"/>
    <n v="18"/>
    <s v="Male"/>
    <n v="114.5"/>
    <n v="1.97"/>
    <n v="192"/>
    <n v="128"/>
    <n v="60"/>
    <n v="1.03"/>
    <n v="725"/>
    <s v="Cardio"/>
    <n v="24.1"/>
    <n v="2.6"/>
    <n v="3"/>
    <x v="2"/>
    <n v="29.5"/>
    <s v="Overweight"/>
    <n v="703.88349514563106"/>
    <x v="2"/>
  </r>
  <r>
    <n v="886"/>
    <s v="Pune"/>
    <n v="43"/>
    <s v="Male"/>
    <n v="81"/>
    <n v="1.78"/>
    <n v="188"/>
    <n v="152"/>
    <n v="65"/>
    <n v="1.58"/>
    <n v="1189"/>
    <s v="Yoga"/>
    <n v="12.4"/>
    <n v="3.5"/>
    <n v="5"/>
    <x v="0"/>
    <n v="25.56"/>
    <s v="Overweight"/>
    <n v="752.5316455696202"/>
    <x v="0"/>
  </r>
  <r>
    <n v="887"/>
    <s v="Kolkata"/>
    <n v="31"/>
    <s v="Female"/>
    <n v="53.5"/>
    <n v="1.76"/>
    <n v="172"/>
    <n v="133"/>
    <n v="69"/>
    <n v="1.22"/>
    <n v="811"/>
    <s v="Strength"/>
    <n v="27.6"/>
    <n v="1.8"/>
    <n v="4"/>
    <x v="1"/>
    <n v="17.27"/>
    <s v="Underweight"/>
    <n v="664.7540983606558"/>
    <x v="1"/>
  </r>
  <r>
    <n v="888"/>
    <s v="Noida"/>
    <n v="55"/>
    <s v="Male"/>
    <n v="52.1"/>
    <n v="1.68"/>
    <n v="180"/>
    <n v="167"/>
    <n v="50"/>
    <n v="0.77"/>
    <n v="637"/>
    <s v="Yoga"/>
    <n v="23.6"/>
    <n v="3"/>
    <n v="3"/>
    <x v="2"/>
    <n v="18.46"/>
    <s v="Underweight"/>
    <n v="827.27272727272725"/>
    <x v="2"/>
  </r>
  <r>
    <n v="889"/>
    <s v="Delhi"/>
    <n v="54"/>
    <s v="Female"/>
    <n v="70.099999999999994"/>
    <n v="1.52"/>
    <n v="180"/>
    <n v="139"/>
    <n v="65"/>
    <n v="0.76"/>
    <n v="475"/>
    <s v="HIIT"/>
    <n v="26.6"/>
    <n v="2.1"/>
    <n v="2"/>
    <x v="2"/>
    <n v="30.34"/>
    <s v="Obesity"/>
    <n v="625"/>
    <x v="1"/>
  </r>
  <r>
    <n v="890"/>
    <s v="Ahmedabad"/>
    <n v="28"/>
    <s v="Male"/>
    <n v="86.9"/>
    <n v="1.78"/>
    <n v="164"/>
    <n v="134"/>
    <n v="68"/>
    <n v="1.29"/>
    <n v="951"/>
    <s v="HIIT"/>
    <n v="24.9"/>
    <n v="3.7"/>
    <n v="4"/>
    <x v="1"/>
    <n v="27.43"/>
    <s v="Overweight"/>
    <n v="737.20930232558135"/>
    <x v="0"/>
  </r>
  <r>
    <n v="891"/>
    <s v="Delhi"/>
    <n v="53"/>
    <s v="Male"/>
    <n v="73.400000000000006"/>
    <n v="1.76"/>
    <n v="169"/>
    <n v="151"/>
    <n v="70"/>
    <n v="1.0900000000000001"/>
    <n v="815"/>
    <s v="Yoga"/>
    <n v="27.9"/>
    <n v="2.8"/>
    <n v="3"/>
    <x v="1"/>
    <n v="23.7"/>
    <s v="Normal Weight"/>
    <n v="747.70642201834858"/>
    <x v="2"/>
  </r>
  <r>
    <n v="892"/>
    <s v="Hyderabad"/>
    <n v="30"/>
    <s v="Male"/>
    <n v="90"/>
    <n v="1.66"/>
    <n v="165"/>
    <n v="152"/>
    <n v="71"/>
    <n v="1.32"/>
    <n v="1104"/>
    <s v="Cardio"/>
    <n v="26.6"/>
    <n v="2.1"/>
    <n v="4"/>
    <x v="1"/>
    <n v="32.659999999999997"/>
    <s v="Obesity"/>
    <n v="836.36363636363637"/>
    <x v="1"/>
  </r>
  <r>
    <n v="893"/>
    <s v="Mumbai"/>
    <n v="20"/>
    <s v="Male"/>
    <n v="85.7"/>
    <n v="1.92"/>
    <n v="172"/>
    <n v="136"/>
    <n v="58"/>
    <n v="1.72"/>
    <n v="1287"/>
    <s v="Cardio"/>
    <n v="10.5"/>
    <n v="3.5"/>
    <n v="5"/>
    <x v="0"/>
    <n v="23.25"/>
    <s v="Normal Weight"/>
    <n v="748.25581395348843"/>
    <x v="0"/>
  </r>
  <r>
    <n v="894"/>
    <s v="Pune"/>
    <n v="50"/>
    <s v="Female"/>
    <n v="70.400000000000006"/>
    <n v="1.55"/>
    <n v="160"/>
    <n v="143"/>
    <n v="58"/>
    <n v="0.73"/>
    <n v="470"/>
    <s v="Strength"/>
    <n v="29.9"/>
    <n v="2.7"/>
    <n v="2"/>
    <x v="2"/>
    <n v="29.3"/>
    <s v="Overweight"/>
    <n v="643.83561643835617"/>
    <x v="2"/>
  </r>
  <r>
    <n v="895"/>
    <s v="Gurgaon"/>
    <n v="23"/>
    <s v="Male"/>
    <n v="57.7"/>
    <n v="1.71"/>
    <n v="179"/>
    <n v="149"/>
    <n v="58"/>
    <n v="1.1499999999999999"/>
    <n v="942"/>
    <s v="Strength"/>
    <n v="27"/>
    <n v="3.4"/>
    <n v="3"/>
    <x v="1"/>
    <n v="19.73"/>
    <s v="Normal Weight"/>
    <n v="819.13043478260875"/>
    <x v="0"/>
  </r>
  <r>
    <n v="896"/>
    <s v="Mumbai"/>
    <n v="27"/>
    <s v="Male"/>
    <n v="75.7"/>
    <n v="1.76"/>
    <n v="167"/>
    <n v="132"/>
    <n v="66"/>
    <n v="0.68"/>
    <n v="494"/>
    <s v="Cardio"/>
    <n v="25.3"/>
    <n v="2.2999999999999998"/>
    <n v="3"/>
    <x v="2"/>
    <n v="24.44"/>
    <s v="Normal Weight"/>
    <n v="726.47058823529403"/>
    <x v="1"/>
  </r>
  <r>
    <n v="897"/>
    <s v="Gurgaon"/>
    <n v="22"/>
    <s v="Female"/>
    <n v="61.8"/>
    <n v="1.52"/>
    <n v="169"/>
    <n v="166"/>
    <n v="61"/>
    <n v="1.83"/>
    <n v="1519"/>
    <s v="Yoga"/>
    <n v="17"/>
    <n v="2.7"/>
    <n v="5"/>
    <x v="0"/>
    <n v="26.75"/>
    <s v="Overweight"/>
    <n v="830.05464480874309"/>
    <x v="2"/>
  </r>
  <r>
    <n v="898"/>
    <s v="Ahmedabad"/>
    <n v="40"/>
    <s v="Male"/>
    <n v="80.3"/>
    <n v="1.76"/>
    <n v="168"/>
    <n v="167"/>
    <n v="74"/>
    <n v="1.63"/>
    <n v="1497"/>
    <s v="Strength"/>
    <n v="13.1"/>
    <n v="3.5"/>
    <n v="5"/>
    <x v="0"/>
    <n v="25.92"/>
    <s v="Overweight"/>
    <n v="918.40490797546022"/>
    <x v="0"/>
  </r>
  <r>
    <n v="899"/>
    <s v="Chennai"/>
    <n v="27"/>
    <s v="Male"/>
    <n v="104.3"/>
    <n v="1.68"/>
    <n v="162"/>
    <n v="135"/>
    <n v="62"/>
    <n v="1.28"/>
    <n v="950"/>
    <s v="Cardio"/>
    <n v="29.7"/>
    <n v="3.5"/>
    <n v="3"/>
    <x v="1"/>
    <n v="36.950000000000003"/>
    <s v="Obesity"/>
    <n v="742.1875"/>
    <x v="0"/>
  </r>
  <r>
    <n v="900"/>
    <s v="Kolkata"/>
    <n v="19"/>
    <s v="Female"/>
    <n v="65.7"/>
    <n v="1.58"/>
    <n v="170"/>
    <n v="121"/>
    <n v="57"/>
    <n v="1.46"/>
    <n v="883"/>
    <s v="Cardio"/>
    <n v="25.9"/>
    <n v="1.9"/>
    <n v="3"/>
    <x v="1"/>
    <n v="26.32"/>
    <s v="Overweight"/>
    <n v="604.79452054794524"/>
    <x v="1"/>
  </r>
  <r>
    <n v="901"/>
    <s v="Bengaluru"/>
    <n v="30"/>
    <s v="Male"/>
    <n v="120.3"/>
    <n v="1.96"/>
    <n v="171"/>
    <n v="136"/>
    <n v="65"/>
    <n v="0.66"/>
    <n v="494"/>
    <s v="Yoga"/>
    <n v="23.9"/>
    <n v="2.6"/>
    <n v="2"/>
    <x v="2"/>
    <n v="31.32"/>
    <s v="Obesity"/>
    <n v="748.4848484848485"/>
    <x v="2"/>
  </r>
  <r>
    <n v="902"/>
    <s v="Mumbai"/>
    <n v="57"/>
    <s v="Female"/>
    <n v="51.9"/>
    <n v="1.57"/>
    <n v="169"/>
    <n v="151"/>
    <n v="67"/>
    <n v="1.05"/>
    <n v="713"/>
    <s v="HIIT"/>
    <n v="29.1"/>
    <n v="2.6"/>
    <n v="3"/>
    <x v="1"/>
    <n v="21.06"/>
    <s v="Normal Weight"/>
    <n v="679.04761904761904"/>
    <x v="2"/>
  </r>
  <r>
    <n v="903"/>
    <s v="Pune"/>
    <n v="19"/>
    <s v="Female"/>
    <n v="59.1"/>
    <n v="1.57"/>
    <n v="184"/>
    <n v="162"/>
    <n v="50"/>
    <n v="1.65"/>
    <n v="1336"/>
    <s v="Cardio"/>
    <n v="17.899999999999999"/>
    <n v="2.7"/>
    <n v="5"/>
    <x v="0"/>
    <n v="23.98"/>
    <s v="Normal Weight"/>
    <n v="809.69696969696975"/>
    <x v="2"/>
  </r>
  <r>
    <n v="904"/>
    <s v="Delhi"/>
    <n v="37"/>
    <s v="Female"/>
    <n v="66.900000000000006"/>
    <n v="1.75"/>
    <n v="184"/>
    <n v="127"/>
    <n v="50"/>
    <n v="1.38"/>
    <n v="876"/>
    <s v="Strength"/>
    <n v="26.5"/>
    <n v="2.1"/>
    <n v="4"/>
    <x v="1"/>
    <n v="21.84"/>
    <s v="Normal Weight"/>
    <n v="634.78260869565224"/>
    <x v="1"/>
  </r>
  <r>
    <n v="905"/>
    <s v="Pune"/>
    <n v="18"/>
    <s v="Female"/>
    <n v="66.900000000000006"/>
    <n v="1.75"/>
    <n v="170"/>
    <n v="122"/>
    <n v="61"/>
    <n v="0.94"/>
    <n v="573"/>
    <s v="Yoga"/>
    <n v="26.8"/>
    <n v="1.7"/>
    <n v="2"/>
    <x v="2"/>
    <n v="21.84"/>
    <s v="Normal Weight"/>
    <n v="609.57446808510645"/>
    <x v="1"/>
  </r>
  <r>
    <n v="906"/>
    <s v="Ahmedabad"/>
    <n v="54"/>
    <s v="Male"/>
    <n v="78.7"/>
    <n v="1.66"/>
    <n v="195"/>
    <n v="131"/>
    <n v="55"/>
    <n v="1.42"/>
    <n v="921"/>
    <s v="Yoga"/>
    <n v="22.9"/>
    <n v="2.6"/>
    <n v="3"/>
    <x v="1"/>
    <n v="28.56"/>
    <s v="Overweight"/>
    <n v="648.59154929577471"/>
    <x v="2"/>
  </r>
  <r>
    <n v="907"/>
    <s v="Gurgaon"/>
    <n v="26"/>
    <s v="Female"/>
    <n v="62.4"/>
    <n v="1.61"/>
    <n v="198"/>
    <n v="139"/>
    <n v="58"/>
    <n v="1.88"/>
    <n v="1307"/>
    <s v="Yoga"/>
    <n v="19.8"/>
    <n v="2.7"/>
    <n v="4"/>
    <x v="0"/>
    <n v="24.07"/>
    <s v="Normal Weight"/>
    <n v="695.21276595744689"/>
    <x v="2"/>
  </r>
  <r>
    <n v="908"/>
    <s v="Delhi"/>
    <n v="34"/>
    <s v="Male"/>
    <n v="102.1"/>
    <n v="1.71"/>
    <n v="185"/>
    <n v="135"/>
    <n v="72"/>
    <n v="0.96"/>
    <n v="713"/>
    <s v="HIIT"/>
    <n v="27.3"/>
    <n v="3.2"/>
    <n v="2"/>
    <x v="2"/>
    <n v="34.92"/>
    <s v="Obesity"/>
    <n v="742.70833333333337"/>
    <x v="0"/>
  </r>
  <r>
    <n v="909"/>
    <s v="Bengaluru"/>
    <n v="26"/>
    <s v="Male"/>
    <n v="51.9"/>
    <n v="2"/>
    <n v="173"/>
    <n v="133"/>
    <n v="54"/>
    <n v="0.75"/>
    <n v="549"/>
    <s v="HIIT"/>
    <n v="26.6"/>
    <n v="2.2999999999999998"/>
    <n v="2"/>
    <x v="2"/>
    <n v="12.97"/>
    <s v="Underweight"/>
    <n v="732"/>
    <x v="1"/>
  </r>
  <r>
    <n v="910"/>
    <s v="Bengaluru"/>
    <n v="28"/>
    <s v="Male"/>
    <n v="58.3"/>
    <n v="2"/>
    <n v="198"/>
    <n v="135"/>
    <n v="65"/>
    <n v="1.32"/>
    <n v="980"/>
    <s v="Strength"/>
    <n v="28.2"/>
    <n v="3"/>
    <n v="4"/>
    <x v="1"/>
    <n v="14.57"/>
    <s v="Underweight"/>
    <n v="742.42424242424238"/>
    <x v="2"/>
  </r>
  <r>
    <n v="911"/>
    <s v="Mumbai"/>
    <n v="32"/>
    <s v="Male"/>
    <n v="89.8"/>
    <n v="1.92"/>
    <n v="199"/>
    <n v="168"/>
    <n v="67"/>
    <n v="1.93"/>
    <n v="1783"/>
    <s v="Strength"/>
    <n v="10.6"/>
    <n v="3.5"/>
    <n v="4"/>
    <x v="0"/>
    <n v="24.36"/>
    <s v="Normal Weight"/>
    <n v="923.83419689119171"/>
    <x v="0"/>
  </r>
  <r>
    <n v="912"/>
    <s v="Ahmedabad"/>
    <n v="41"/>
    <s v="Male"/>
    <n v="101.1"/>
    <n v="1.83"/>
    <n v="160"/>
    <n v="162"/>
    <n v="66"/>
    <n v="0.79"/>
    <n v="634"/>
    <s v="Yoga"/>
    <n v="28.6"/>
    <n v="3.2"/>
    <n v="2"/>
    <x v="2"/>
    <n v="30.19"/>
    <s v="Obesity"/>
    <n v="802.5316455696202"/>
    <x v="0"/>
  </r>
  <r>
    <n v="913"/>
    <s v="Chennai"/>
    <n v="55"/>
    <s v="Male"/>
    <n v="118.6"/>
    <n v="1.72"/>
    <n v="163"/>
    <n v="168"/>
    <n v="67"/>
    <n v="0.77"/>
    <n v="640"/>
    <s v="Strength"/>
    <n v="25.9"/>
    <n v="2.6"/>
    <n v="3"/>
    <x v="2"/>
    <n v="40.090000000000003"/>
    <s v="Obesity"/>
    <n v="831.16883116883116"/>
    <x v="2"/>
  </r>
  <r>
    <n v="914"/>
    <s v="Ahmedabad"/>
    <n v="52"/>
    <s v="Male"/>
    <n v="84.8"/>
    <n v="1.85"/>
    <n v="189"/>
    <n v="152"/>
    <n v="50"/>
    <n v="1.19"/>
    <n v="895"/>
    <s v="Cardio"/>
    <n v="23.4"/>
    <n v="3.2"/>
    <n v="2"/>
    <x v="2"/>
    <n v="24.78"/>
    <s v="Normal Weight"/>
    <n v="752.10084033613452"/>
    <x v="0"/>
  </r>
  <r>
    <n v="915"/>
    <s v="Gurgaon"/>
    <n v="47"/>
    <s v="Male"/>
    <n v="80"/>
    <n v="1.77"/>
    <n v="171"/>
    <n v="149"/>
    <n v="68"/>
    <n v="0.72"/>
    <n v="531"/>
    <s v="HIIT"/>
    <n v="28.2"/>
    <n v="3.5"/>
    <n v="3"/>
    <x v="2"/>
    <n v="25.54"/>
    <s v="Overweight"/>
    <n v="737.5"/>
    <x v="0"/>
  </r>
  <r>
    <n v="916"/>
    <s v="Pune"/>
    <n v="48"/>
    <s v="Male"/>
    <n v="73.099999999999994"/>
    <n v="1.83"/>
    <n v="194"/>
    <n v="131"/>
    <n v="71"/>
    <n v="1.05"/>
    <n v="681"/>
    <s v="Yoga"/>
    <n v="28"/>
    <n v="2.8"/>
    <n v="4"/>
    <x v="1"/>
    <n v="21.83"/>
    <s v="Normal Weight"/>
    <n v="648.57142857142856"/>
    <x v="2"/>
  </r>
  <r>
    <n v="917"/>
    <s v="Bengaluru"/>
    <n v="22"/>
    <s v="Male"/>
    <n v="117.3"/>
    <n v="1.68"/>
    <n v="172"/>
    <n v="134"/>
    <n v="57"/>
    <n v="1.24"/>
    <n v="914"/>
    <s v="Yoga"/>
    <n v="28.5"/>
    <n v="2.7"/>
    <n v="3"/>
    <x v="1"/>
    <n v="41.56"/>
    <s v="Obesity"/>
    <n v="737.09677419354841"/>
    <x v="2"/>
  </r>
  <r>
    <n v="918"/>
    <s v="Pune"/>
    <n v="31"/>
    <s v="Female"/>
    <n v="77.400000000000006"/>
    <n v="1.71"/>
    <n v="190"/>
    <n v="137"/>
    <n v="52"/>
    <n v="1.26"/>
    <n v="863"/>
    <s v="Cardio"/>
    <n v="26.2"/>
    <n v="1.8"/>
    <n v="4"/>
    <x v="1"/>
    <n v="26.47"/>
    <s v="Overweight"/>
    <n v="684.92063492063494"/>
    <x v="1"/>
  </r>
  <r>
    <n v="919"/>
    <s v="Pune"/>
    <n v="28"/>
    <s v="Female"/>
    <n v="72.900000000000006"/>
    <n v="1.67"/>
    <n v="197"/>
    <n v="147"/>
    <n v="74"/>
    <n v="1.1299999999999999"/>
    <n v="831"/>
    <s v="Cardio"/>
    <n v="34.700000000000003"/>
    <n v="2.2000000000000002"/>
    <n v="3"/>
    <x v="1"/>
    <n v="26.14"/>
    <s v="Overweight"/>
    <n v="735.39823008849567"/>
    <x v="1"/>
  </r>
  <r>
    <n v="920"/>
    <s v="Pune"/>
    <n v="26"/>
    <s v="Female"/>
    <n v="71.2"/>
    <n v="1.5"/>
    <n v="182"/>
    <n v="142"/>
    <n v="54"/>
    <n v="1.1499999999999999"/>
    <n v="816"/>
    <s v="Cardio"/>
    <n v="34.6"/>
    <n v="2.6"/>
    <n v="2"/>
    <x v="2"/>
    <n v="31.64"/>
    <s v="Obesity"/>
    <n v="709.56521739130437"/>
    <x v="2"/>
  </r>
  <r>
    <n v="921"/>
    <s v="Bengaluru"/>
    <n v="51"/>
    <s v="Male"/>
    <n v="88.2"/>
    <n v="1.62"/>
    <n v="163"/>
    <n v="133"/>
    <n v="72"/>
    <n v="1.56"/>
    <n v="1027"/>
    <s v="Cardio"/>
    <n v="11.8"/>
    <n v="3.5"/>
    <n v="4"/>
    <x v="0"/>
    <n v="33.61"/>
    <s v="Obesity"/>
    <n v="658.33333333333326"/>
    <x v="0"/>
  </r>
  <r>
    <n v="922"/>
    <s v="Noida"/>
    <n v="29"/>
    <s v="Female"/>
    <n v="75.599999999999994"/>
    <n v="1.8"/>
    <n v="175"/>
    <n v="149"/>
    <n v="57"/>
    <n v="1.31"/>
    <n v="976"/>
    <s v="Yoga"/>
    <n v="25.7"/>
    <n v="1.9"/>
    <n v="4"/>
    <x v="1"/>
    <n v="23.33"/>
    <s v="Normal Weight"/>
    <n v="745.03816793893122"/>
    <x v="1"/>
  </r>
  <r>
    <n v="923"/>
    <s v="Hyderabad"/>
    <n v="52"/>
    <s v="Female"/>
    <n v="57.9"/>
    <n v="1.56"/>
    <n v="166"/>
    <n v="152"/>
    <n v="68"/>
    <n v="1.66"/>
    <n v="1135"/>
    <s v="HIIT"/>
    <n v="15.8"/>
    <n v="2.7"/>
    <n v="4"/>
    <x v="0"/>
    <n v="23.79"/>
    <s v="Normal Weight"/>
    <n v="683.73493975903614"/>
    <x v="2"/>
  </r>
  <r>
    <n v="924"/>
    <s v="Gurgaon"/>
    <n v="52"/>
    <s v="Female"/>
    <n v="70.599999999999994"/>
    <n v="1.58"/>
    <n v="181"/>
    <n v="164"/>
    <n v="67"/>
    <n v="1.02"/>
    <n v="753"/>
    <s v="HIIT"/>
    <n v="34.9"/>
    <n v="2"/>
    <n v="3"/>
    <x v="1"/>
    <n v="28.28"/>
    <s v="Overweight"/>
    <n v="738.23529411764707"/>
    <x v="1"/>
  </r>
  <r>
    <n v="925"/>
    <s v="Noida"/>
    <n v="18"/>
    <s v="Male"/>
    <n v="118.6"/>
    <n v="1.64"/>
    <n v="188"/>
    <n v="134"/>
    <n v="67"/>
    <n v="0.94"/>
    <n v="693"/>
    <s v="Cardio"/>
    <n v="25.6"/>
    <n v="2.7"/>
    <n v="3"/>
    <x v="2"/>
    <n v="44.1"/>
    <s v="Obesity"/>
    <n v="737.23404255319156"/>
    <x v="2"/>
  </r>
  <r>
    <n v="926"/>
    <s v="Gurgaon"/>
    <n v="57"/>
    <s v="Male"/>
    <n v="55.7"/>
    <n v="1.99"/>
    <n v="170"/>
    <n v="126"/>
    <n v="70"/>
    <n v="1.1299999999999999"/>
    <n v="705"/>
    <s v="Strength"/>
    <n v="23.6"/>
    <n v="3"/>
    <n v="3"/>
    <x v="1"/>
    <n v="14.07"/>
    <s v="Underweight"/>
    <n v="623.8938053097346"/>
    <x v="2"/>
  </r>
  <r>
    <n v="927"/>
    <s v="Delhi"/>
    <n v="39"/>
    <s v="Male"/>
    <n v="102.3"/>
    <n v="1.94"/>
    <n v="192"/>
    <n v="134"/>
    <n v="50"/>
    <n v="0.89"/>
    <n v="656"/>
    <s v="Yoga"/>
    <n v="22.9"/>
    <n v="2.4"/>
    <n v="3"/>
    <x v="2"/>
    <n v="27.18"/>
    <s v="Overweight"/>
    <n v="737.0786516853932"/>
    <x v="1"/>
  </r>
  <r>
    <n v="928"/>
    <s v="Ahmedabad"/>
    <n v="46"/>
    <s v="Male"/>
    <n v="72.599999999999994"/>
    <n v="1.87"/>
    <n v="188"/>
    <n v="161"/>
    <n v="64"/>
    <n v="1.31"/>
    <n v="1044"/>
    <s v="HIIT"/>
    <n v="22.6"/>
    <n v="3.4"/>
    <n v="4"/>
    <x v="1"/>
    <n v="20.76"/>
    <s v="Normal Weight"/>
    <n v="796.94656488549617"/>
    <x v="0"/>
  </r>
  <r>
    <n v="929"/>
    <s v="Ahmedabad"/>
    <n v="25"/>
    <s v="Female"/>
    <n v="63.8"/>
    <n v="1.68"/>
    <n v="198"/>
    <n v="165"/>
    <n v="67"/>
    <n v="0.95"/>
    <n v="784"/>
    <s v="Cardio"/>
    <n v="31.6"/>
    <n v="1.9"/>
    <n v="2"/>
    <x v="2"/>
    <n v="22.6"/>
    <s v="Normal Weight"/>
    <n v="825.26315789473688"/>
    <x v="1"/>
  </r>
  <r>
    <n v="930"/>
    <s v="Kolkata"/>
    <n v="28"/>
    <s v="Female"/>
    <n v="67.3"/>
    <n v="1.67"/>
    <n v="171"/>
    <n v="157"/>
    <n v="74"/>
    <n v="0.61"/>
    <n v="479"/>
    <s v="Strength"/>
    <n v="29.2"/>
    <n v="2.2999999999999998"/>
    <n v="3"/>
    <x v="2"/>
    <n v="24.13"/>
    <s v="Normal Weight"/>
    <n v="785.24590163934431"/>
    <x v="1"/>
  </r>
  <r>
    <n v="931"/>
    <s v="Ahmedabad"/>
    <n v="58"/>
    <s v="Female"/>
    <n v="59.3"/>
    <n v="1.58"/>
    <n v="166"/>
    <n v="165"/>
    <n v="56"/>
    <n v="1.97"/>
    <n v="1463"/>
    <s v="Strength"/>
    <n v="19.8"/>
    <n v="2.7"/>
    <n v="4"/>
    <x v="0"/>
    <n v="23.75"/>
    <s v="Normal Weight"/>
    <n v="742.63959390862942"/>
    <x v="2"/>
  </r>
  <r>
    <n v="932"/>
    <s v="Bengaluru"/>
    <n v="54"/>
    <s v="Female"/>
    <n v="70.7"/>
    <n v="1.57"/>
    <n v="198"/>
    <n v="163"/>
    <n v="65"/>
    <n v="1.1399999999999999"/>
    <n v="836"/>
    <s v="Cardio"/>
    <n v="31.8"/>
    <n v="2.1"/>
    <n v="3"/>
    <x v="2"/>
    <n v="28.68"/>
    <s v="Overweight"/>
    <n v="733.33333333333337"/>
    <x v="1"/>
  </r>
  <r>
    <n v="933"/>
    <s v="Chennai"/>
    <n v="31"/>
    <s v="Male"/>
    <n v="86.9"/>
    <n v="1.69"/>
    <n v="185"/>
    <n v="130"/>
    <n v="65"/>
    <n v="1.72"/>
    <n v="1230"/>
    <s v="Yoga"/>
    <n v="14"/>
    <n v="3.5"/>
    <n v="4"/>
    <x v="0"/>
    <n v="30.43"/>
    <s v="Obesity"/>
    <n v="715.11627906976742"/>
    <x v="0"/>
  </r>
  <r>
    <n v="934"/>
    <s v="Mumbai"/>
    <n v="47"/>
    <s v="Male"/>
    <n v="98.2"/>
    <n v="1.9"/>
    <n v="199"/>
    <n v="148"/>
    <n v="64"/>
    <n v="0.76"/>
    <n v="557"/>
    <s v="HIIT"/>
    <n v="22.9"/>
    <n v="3"/>
    <n v="3"/>
    <x v="2"/>
    <n v="27.2"/>
    <s v="Overweight"/>
    <n v="732.8947368421052"/>
    <x v="2"/>
  </r>
  <r>
    <n v="935"/>
    <s v="Kolkata"/>
    <n v="52"/>
    <s v="Male"/>
    <n v="63.6"/>
    <n v="1.62"/>
    <n v="168"/>
    <n v="150"/>
    <n v="55"/>
    <n v="1.3"/>
    <n v="965"/>
    <s v="Strength"/>
    <n v="20.8"/>
    <n v="2.2999999999999998"/>
    <n v="4"/>
    <x v="1"/>
    <n v="24.23"/>
    <s v="Normal Weight"/>
    <n v="742.30769230769226"/>
    <x v="1"/>
  </r>
  <r>
    <n v="936"/>
    <s v="Mumbai"/>
    <n v="38"/>
    <s v="Female"/>
    <n v="45.2"/>
    <n v="1.68"/>
    <n v="193"/>
    <n v="144"/>
    <n v="58"/>
    <n v="1.01"/>
    <n v="727"/>
    <s v="HIIT"/>
    <n v="29.9"/>
    <n v="2.4"/>
    <n v="3"/>
    <x v="1"/>
    <n v="16.010000000000002"/>
    <s v="Underweight"/>
    <n v="719.80198019801981"/>
    <x v="1"/>
  </r>
  <r>
    <n v="937"/>
    <s v="Gurgaon"/>
    <n v="54"/>
    <s v="Male"/>
    <n v="117.2"/>
    <n v="1.62"/>
    <n v="172"/>
    <n v="143"/>
    <n v="56"/>
    <n v="1.04"/>
    <n v="736"/>
    <s v="HIIT"/>
    <n v="23.1"/>
    <n v="2.2999999999999998"/>
    <n v="4"/>
    <x v="1"/>
    <n v="44.66"/>
    <s v="Obesity"/>
    <n v="707.69230769230762"/>
    <x v="1"/>
  </r>
  <r>
    <n v="938"/>
    <s v="Mumbai"/>
    <n v="22"/>
    <s v="Male"/>
    <n v="107.4"/>
    <n v="1.74"/>
    <n v="195"/>
    <n v="138"/>
    <n v="63"/>
    <n v="1.34"/>
    <n v="1017"/>
    <s v="Strength"/>
    <n v="22"/>
    <n v="2.2000000000000002"/>
    <n v="2"/>
    <x v="2"/>
    <n v="35.47"/>
    <s v="Obesity"/>
    <n v="758.95522388059692"/>
    <x v="1"/>
  </r>
  <r>
    <n v="939"/>
    <s v="Mumbai"/>
    <n v="36"/>
    <s v="Female"/>
    <n v="59.1"/>
    <n v="1.78"/>
    <n v="184"/>
    <n v="121"/>
    <n v="60"/>
    <n v="0.85"/>
    <n v="514"/>
    <s v="Cardio"/>
    <n v="34.5"/>
    <n v="2.2000000000000002"/>
    <n v="2"/>
    <x v="2"/>
    <n v="18.649999999999999"/>
    <s v="Normal Weight"/>
    <n v="604.70588235294122"/>
    <x v="1"/>
  </r>
  <r>
    <n v="940"/>
    <s v="Kolkata"/>
    <n v="31"/>
    <s v="Female"/>
    <n v="53.3"/>
    <n v="1.64"/>
    <n v="183"/>
    <n v="141"/>
    <n v="70"/>
    <n v="0.56999999999999995"/>
    <n v="402"/>
    <s v="Strength"/>
    <n v="29.4"/>
    <n v="2.4"/>
    <n v="3"/>
    <x v="2"/>
    <n v="19.82"/>
    <s v="Normal Weight"/>
    <n v="705.26315789473688"/>
    <x v="1"/>
  </r>
  <r>
    <n v="941"/>
    <s v="Delhi"/>
    <n v="43"/>
    <s v="Male"/>
    <n v="46.2"/>
    <n v="1.63"/>
    <n v="176"/>
    <n v="139"/>
    <n v="65"/>
    <n v="1.18"/>
    <n v="812"/>
    <s v="Strength"/>
    <n v="21.7"/>
    <n v="2.1"/>
    <n v="2"/>
    <x v="2"/>
    <n v="17.39"/>
    <s v="Underweight"/>
    <n v="688.13559322033905"/>
    <x v="1"/>
  </r>
  <r>
    <n v="942"/>
    <s v="Pune"/>
    <n v="21"/>
    <s v="Male"/>
    <n v="67"/>
    <n v="1.61"/>
    <n v="161"/>
    <n v="152"/>
    <n v="74"/>
    <n v="1.32"/>
    <n v="1104"/>
    <s v="Yoga"/>
    <n v="22"/>
    <n v="2.1"/>
    <n v="3"/>
    <x v="1"/>
    <n v="25.85"/>
    <s v="Overweight"/>
    <n v="836.36363636363637"/>
    <x v="1"/>
  </r>
  <r>
    <n v="943"/>
    <s v="Ahmedabad"/>
    <n v="42"/>
    <s v="Male"/>
    <n v="86.3"/>
    <n v="1.77"/>
    <n v="172"/>
    <n v="127"/>
    <n v="55"/>
    <n v="1.77"/>
    <n v="1113"/>
    <s v="HIIT"/>
    <n v="11.4"/>
    <n v="3.5"/>
    <n v="4"/>
    <x v="0"/>
    <n v="27.55"/>
    <s v="Overweight"/>
    <n v="628.81355932203394"/>
    <x v="0"/>
  </r>
  <r>
    <n v="944"/>
    <s v="Ahmedabad"/>
    <n v="59"/>
    <s v="Male"/>
    <n v="85.5"/>
    <n v="1.67"/>
    <n v="190"/>
    <n v="144"/>
    <n v="71"/>
    <n v="1.99"/>
    <n v="1418"/>
    <s v="Cardio"/>
    <n v="15"/>
    <n v="3.5"/>
    <n v="5"/>
    <x v="0"/>
    <n v="30.66"/>
    <s v="Obesity"/>
    <n v="712.56281407035181"/>
    <x v="0"/>
  </r>
  <r>
    <n v="945"/>
    <s v="Bengaluru"/>
    <n v="42"/>
    <s v="Male"/>
    <n v="70.2"/>
    <n v="1.87"/>
    <n v="188"/>
    <n v="165"/>
    <n v="65"/>
    <n v="1.38"/>
    <n v="1127"/>
    <s v="HIIT"/>
    <n v="22.7"/>
    <n v="3.4"/>
    <n v="3"/>
    <x v="1"/>
    <n v="20.07"/>
    <s v="Normal Weight"/>
    <n v="816.66666666666674"/>
    <x v="0"/>
  </r>
  <r>
    <n v="946"/>
    <s v="Kolkata"/>
    <n v="35"/>
    <s v="Male"/>
    <n v="127.1"/>
    <n v="1.62"/>
    <n v="187"/>
    <n v="128"/>
    <n v="69"/>
    <n v="1.02"/>
    <n v="718"/>
    <s v="Strength"/>
    <n v="23.3"/>
    <n v="3.4"/>
    <n v="4"/>
    <x v="1"/>
    <n v="48.43"/>
    <s v="Obesity"/>
    <n v="703.92156862745094"/>
    <x v="0"/>
  </r>
  <r>
    <n v="947"/>
    <s v="Bengaluru"/>
    <n v="57"/>
    <s v="Female"/>
    <n v="75.599999999999994"/>
    <n v="1.67"/>
    <n v="186"/>
    <n v="153"/>
    <n v="65"/>
    <n v="1.05"/>
    <n v="723"/>
    <s v="Cardio"/>
    <n v="31.6"/>
    <n v="1.8"/>
    <n v="3"/>
    <x v="1"/>
    <n v="27.11"/>
    <s v="Overweight"/>
    <n v="688.57142857142856"/>
    <x v="1"/>
  </r>
  <r>
    <n v="948"/>
    <s v="Chennai"/>
    <n v="25"/>
    <s v="Female"/>
    <n v="62.6"/>
    <n v="1.65"/>
    <n v="174"/>
    <n v="142"/>
    <n v="61"/>
    <n v="1.2"/>
    <n v="852"/>
    <s v="Cardio"/>
    <n v="27.9"/>
    <n v="2.2000000000000002"/>
    <n v="3"/>
    <x v="2"/>
    <n v="22.99"/>
    <s v="Normal Weight"/>
    <n v="710"/>
    <x v="1"/>
  </r>
  <r>
    <n v="949"/>
    <s v="Chennai"/>
    <n v="56"/>
    <s v="Female"/>
    <n v="55.7"/>
    <n v="1.53"/>
    <n v="190"/>
    <n v="124"/>
    <n v="66"/>
    <n v="1.91"/>
    <n v="1066"/>
    <s v="Cardio"/>
    <n v="16.100000000000001"/>
    <n v="2.7"/>
    <n v="5"/>
    <x v="0"/>
    <n v="23.79"/>
    <s v="Normal Weight"/>
    <n v="558.11518324607334"/>
    <x v="2"/>
  </r>
  <r>
    <n v="950"/>
    <s v="Bengaluru"/>
    <n v="57"/>
    <s v="Male"/>
    <n v="96.1"/>
    <n v="1.74"/>
    <n v="199"/>
    <n v="144"/>
    <n v="54"/>
    <n v="1.21"/>
    <n v="862"/>
    <s v="Cardio"/>
    <n v="21.6"/>
    <n v="2.8"/>
    <n v="3"/>
    <x v="1"/>
    <n v="31.74"/>
    <s v="Obesity"/>
    <n v="712.39669421487611"/>
    <x v="2"/>
  </r>
  <r>
    <n v="951"/>
    <s v="Kolkata"/>
    <n v="31"/>
    <s v="Female"/>
    <n v="76.7"/>
    <n v="1.62"/>
    <n v="174"/>
    <n v="127"/>
    <n v="74"/>
    <n v="1.39"/>
    <n v="883"/>
    <s v="Yoga"/>
    <n v="28.1"/>
    <n v="2.2999999999999998"/>
    <n v="4"/>
    <x v="1"/>
    <n v="29.23"/>
    <s v="Overweight"/>
    <n v="635.25179856115108"/>
    <x v="1"/>
  </r>
  <r>
    <n v="952"/>
    <s v="Bengaluru"/>
    <n v="49"/>
    <s v="Male"/>
    <n v="57.2"/>
    <n v="1.89"/>
    <n v="192"/>
    <n v="135"/>
    <n v="62"/>
    <n v="1.1399999999999999"/>
    <n v="762"/>
    <s v="Cardio"/>
    <n v="21.1"/>
    <n v="3.5"/>
    <n v="2"/>
    <x v="2"/>
    <n v="16.010000000000002"/>
    <s v="Underweight"/>
    <n v="668.42105263157896"/>
    <x v="0"/>
  </r>
  <r>
    <n v="953"/>
    <s v="Ahmedabad"/>
    <n v="55"/>
    <s v="Male"/>
    <n v="69.900000000000006"/>
    <n v="1.81"/>
    <n v="179"/>
    <n v="167"/>
    <n v="57"/>
    <n v="1.2"/>
    <n v="992"/>
    <s v="Strength"/>
    <n v="20.2"/>
    <n v="2.1"/>
    <n v="4"/>
    <x v="1"/>
    <n v="21.34"/>
    <s v="Normal Weight"/>
    <n v="826.66666666666674"/>
    <x v="1"/>
  </r>
  <r>
    <n v="954"/>
    <s v="Noida"/>
    <n v="50"/>
    <s v="Female"/>
    <n v="67.900000000000006"/>
    <n v="1.77"/>
    <n v="171"/>
    <n v="164"/>
    <n v="73"/>
    <n v="1.03"/>
    <n v="760"/>
    <s v="Yoga"/>
    <n v="33"/>
    <n v="2.4"/>
    <n v="3"/>
    <x v="1"/>
    <n v="21.67"/>
    <s v="Normal Weight"/>
    <n v="737.86407766990294"/>
    <x v="1"/>
  </r>
  <r>
    <n v="955"/>
    <s v="Hyderabad"/>
    <n v="40"/>
    <s v="Male"/>
    <n v="87.9"/>
    <n v="1.87"/>
    <n v="196"/>
    <n v="134"/>
    <n v="54"/>
    <n v="1.96"/>
    <n v="1445"/>
    <s v="Strength"/>
    <n v="10.7"/>
    <n v="3.5"/>
    <n v="5"/>
    <x v="0"/>
    <n v="25.14"/>
    <s v="Overweight"/>
    <n v="737.24489795918373"/>
    <x v="0"/>
  </r>
  <r>
    <n v="956"/>
    <s v="Mumbai"/>
    <n v="32"/>
    <s v="Male"/>
    <n v="102.8"/>
    <n v="1.98"/>
    <n v="168"/>
    <n v="120"/>
    <n v="61"/>
    <n v="1.24"/>
    <n v="818"/>
    <s v="Strength"/>
    <n v="27.8"/>
    <n v="2.8"/>
    <n v="3"/>
    <x v="1"/>
    <n v="26.22"/>
    <s v="Overweight"/>
    <n v="659.67741935483866"/>
    <x v="2"/>
  </r>
  <r>
    <n v="957"/>
    <s v="Hyderabad"/>
    <n v="50"/>
    <s v="Female"/>
    <n v="51.8"/>
    <n v="1.5"/>
    <n v="182"/>
    <n v="141"/>
    <n v="58"/>
    <n v="1.32"/>
    <n v="838"/>
    <s v="HIIT"/>
    <n v="33"/>
    <n v="2.2000000000000002"/>
    <n v="3"/>
    <x v="2"/>
    <n v="23.02"/>
    <s v="Normal Weight"/>
    <n v="634.84848484848487"/>
    <x v="1"/>
  </r>
  <r>
    <n v="958"/>
    <s v="Kolkata"/>
    <n v="42"/>
    <s v="Female"/>
    <n v="57.7"/>
    <n v="1.57"/>
    <n v="167"/>
    <n v="122"/>
    <n v="52"/>
    <n v="1.83"/>
    <n v="1005"/>
    <s v="Cardio"/>
    <n v="17.7"/>
    <n v="2.7"/>
    <n v="4"/>
    <x v="0"/>
    <n v="23.41"/>
    <s v="Normal Weight"/>
    <n v="549.18032786885249"/>
    <x v="2"/>
  </r>
  <r>
    <n v="959"/>
    <s v="Hyderabad"/>
    <n v="34"/>
    <s v="Female"/>
    <n v="66.5"/>
    <n v="1.69"/>
    <n v="191"/>
    <n v="157"/>
    <n v="52"/>
    <n v="0.81"/>
    <n v="636"/>
    <s v="Cardio"/>
    <n v="28.1"/>
    <n v="2.2999999999999998"/>
    <n v="3"/>
    <x v="2"/>
    <n v="23.28"/>
    <s v="Normal Weight"/>
    <n v="785.18518518518511"/>
    <x v="1"/>
  </r>
  <r>
    <n v="960"/>
    <s v="Chennai"/>
    <n v="50"/>
    <s v="Male"/>
    <n v="95.4"/>
    <n v="1.61"/>
    <n v="173"/>
    <n v="133"/>
    <n v="50"/>
    <n v="1.1599999999999999"/>
    <n v="764"/>
    <s v="Strength"/>
    <n v="21.5"/>
    <n v="3.6"/>
    <n v="4"/>
    <x v="1"/>
    <n v="36.799999999999997"/>
    <s v="Obesity"/>
    <n v="658.62068965517244"/>
    <x v="0"/>
  </r>
  <r>
    <n v="961"/>
    <s v="Gurgaon"/>
    <n v="19"/>
    <s v="Female"/>
    <n v="69.2"/>
    <n v="1.6"/>
    <n v="186"/>
    <n v="155"/>
    <n v="74"/>
    <n v="1.17"/>
    <n v="907"/>
    <s v="Cardio"/>
    <n v="32.4"/>
    <n v="1.6"/>
    <n v="3"/>
    <x v="2"/>
    <n v="27.03"/>
    <s v="Overweight"/>
    <n v="775.21367521367529"/>
    <x v="1"/>
  </r>
  <r>
    <n v="962"/>
    <s v="Mumbai"/>
    <n v="31"/>
    <s v="Female"/>
    <n v="66.599999999999994"/>
    <n v="1.67"/>
    <n v="184"/>
    <n v="137"/>
    <n v="71"/>
    <n v="1.02"/>
    <n v="699"/>
    <s v="Yoga"/>
    <n v="31"/>
    <n v="1.5"/>
    <n v="4"/>
    <x v="1"/>
    <n v="23.88"/>
    <s v="Normal Weight"/>
    <n v="685.29411764705878"/>
    <x v="1"/>
  </r>
  <r>
    <n v="963"/>
    <s v="Pune"/>
    <n v="57"/>
    <s v="Male"/>
    <n v="83.4"/>
    <n v="1.65"/>
    <n v="172"/>
    <n v="166"/>
    <n v="67"/>
    <n v="1.57"/>
    <n v="1290"/>
    <s v="HIIT"/>
    <n v="13.3"/>
    <n v="3.5"/>
    <n v="4"/>
    <x v="0"/>
    <n v="30.63"/>
    <s v="Obesity"/>
    <n v="821.656050955414"/>
    <x v="0"/>
  </r>
  <r>
    <n v="964"/>
    <s v="Kolkata"/>
    <n v="57"/>
    <s v="Female"/>
    <n v="43.8"/>
    <n v="1.75"/>
    <n v="180"/>
    <n v="160"/>
    <n v="73"/>
    <n v="1.39"/>
    <n v="1001"/>
    <s v="Cardio"/>
    <n v="25.1"/>
    <n v="1.7"/>
    <n v="2"/>
    <x v="2"/>
    <n v="14.3"/>
    <s v="Underweight"/>
    <n v="720.14388489208636"/>
    <x v="1"/>
  </r>
  <r>
    <n v="965"/>
    <s v="Mumbai"/>
    <n v="56"/>
    <s v="Female"/>
    <n v="64.2"/>
    <n v="1.69"/>
    <n v="190"/>
    <n v="137"/>
    <n v="61"/>
    <n v="1.99"/>
    <n v="1227"/>
    <s v="Cardio"/>
    <n v="19.600000000000001"/>
    <n v="2.7"/>
    <n v="5"/>
    <x v="0"/>
    <n v="22.48"/>
    <s v="Normal Weight"/>
    <n v="616.5829145728643"/>
    <x v="2"/>
  </r>
  <r>
    <n v="966"/>
    <s v="Hyderabad"/>
    <n v="23"/>
    <s v="Female"/>
    <n v="44.1"/>
    <n v="1.62"/>
    <n v="196"/>
    <n v="122"/>
    <n v="58"/>
    <n v="0.57999999999999996"/>
    <n v="354"/>
    <s v="Yoga"/>
    <n v="25.7"/>
    <n v="2.7"/>
    <n v="2"/>
    <x v="2"/>
    <n v="16.8"/>
    <s v="Underweight"/>
    <n v="610.34482758620697"/>
    <x v="2"/>
  </r>
  <r>
    <n v="967"/>
    <s v="Chennai"/>
    <n v="23"/>
    <s v="Male"/>
    <n v="87.3"/>
    <n v="1.91"/>
    <n v="164"/>
    <n v="129"/>
    <n v="58"/>
    <n v="1.87"/>
    <n v="1327"/>
    <s v="HIIT"/>
    <n v="11.8"/>
    <n v="3.5"/>
    <n v="5"/>
    <x v="0"/>
    <n v="23.93"/>
    <s v="Normal Weight"/>
    <n v="709.62566844919786"/>
    <x v="0"/>
  </r>
  <r>
    <n v="968"/>
    <s v="Delhi"/>
    <n v="20"/>
    <s v="Male"/>
    <n v="55"/>
    <n v="1.6"/>
    <n v="172"/>
    <n v="168"/>
    <n v="67"/>
    <n v="1.1200000000000001"/>
    <n v="1035"/>
    <s v="Yoga"/>
    <n v="24"/>
    <n v="3.2"/>
    <n v="4"/>
    <x v="1"/>
    <n v="21.48"/>
    <s v="Normal Weight"/>
    <n v="924.10714285714278"/>
    <x v="0"/>
  </r>
  <r>
    <n v="969"/>
    <s v="Noida"/>
    <n v="24"/>
    <s v="Male"/>
    <n v="87.1"/>
    <n v="1.74"/>
    <n v="187"/>
    <n v="158"/>
    <n v="67"/>
    <n v="1.57"/>
    <n v="1364"/>
    <s v="Strength"/>
    <n v="10"/>
    <n v="3.5"/>
    <n v="4"/>
    <x v="0"/>
    <n v="28.77"/>
    <s v="Overweight"/>
    <n v="868.78980891719743"/>
    <x v="0"/>
  </r>
  <r>
    <n v="970"/>
    <s v="Pune"/>
    <n v="25"/>
    <s v="Male"/>
    <n v="66.599999999999994"/>
    <n v="1.61"/>
    <n v="184"/>
    <n v="166"/>
    <n v="56"/>
    <n v="1.38"/>
    <n v="1260"/>
    <s v="Strength"/>
    <n v="25"/>
    <n v="3"/>
    <n v="2"/>
    <x v="2"/>
    <n v="25.69"/>
    <s v="Overweight"/>
    <n v="913.04347826086962"/>
    <x v="2"/>
  </r>
  <r>
    <n v="971"/>
    <s v="Noida"/>
    <n v="59"/>
    <s v="Female"/>
    <n v="60.4"/>
    <n v="1.76"/>
    <n v="194"/>
    <n v="120"/>
    <n v="53"/>
    <n v="1.72"/>
    <n v="929"/>
    <s v="Cardio"/>
    <n v="18.8"/>
    <n v="2.7"/>
    <n v="5"/>
    <x v="0"/>
    <n v="19.5"/>
    <s v="Normal Weight"/>
    <n v="540.11627906976742"/>
    <x v="2"/>
  </r>
  <r>
    <n v="972"/>
    <s v="Mumbai"/>
    <n v="32"/>
    <s v="Male"/>
    <n v="126.4"/>
    <n v="1.83"/>
    <n v="198"/>
    <n v="146"/>
    <n v="62"/>
    <n v="1.1000000000000001"/>
    <n v="883"/>
    <s v="HIIT"/>
    <n v="28.2"/>
    <n v="2.1"/>
    <n v="3"/>
    <x v="1"/>
    <n v="37.74"/>
    <s v="Obesity"/>
    <n v="802.72727272727263"/>
    <x v="1"/>
  </r>
  <r>
    <n v="973"/>
    <s v="Chennai"/>
    <n v="46"/>
    <s v="Male"/>
    <n v="88.7"/>
    <n v="1.63"/>
    <n v="166"/>
    <n v="146"/>
    <n v="66"/>
    <n v="0.75"/>
    <n v="542"/>
    <s v="Strength"/>
    <n v="28.8"/>
    <n v="3.5"/>
    <n v="2"/>
    <x v="2"/>
    <n v="33.380000000000003"/>
    <s v="Obesity"/>
    <n v="722.6666666666666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C6B59A-02DD-48C3-A38A-58D0C8CB141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ies">
  <location ref="E8:F19" firstHeaderRow="1" firstDataRow="1" firstDataCol="1"/>
  <pivotFields count="17">
    <pivotField showAll="0"/>
    <pivotField axis="axisRow" dataField="1" showAll="0" sortType="descending">
      <items count="11">
        <item x="2"/>
        <item x="5"/>
        <item x="6"/>
        <item x="7"/>
        <item x="9"/>
        <item x="1"/>
        <item x="0"/>
        <item x="8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7"/>
    </i>
    <i>
      <x v="1"/>
    </i>
    <i>
      <x v="9"/>
    </i>
    <i>
      <x v="8"/>
    </i>
    <i>
      <x/>
    </i>
    <i>
      <x v="6"/>
    </i>
    <i>
      <x v="2"/>
    </i>
    <i>
      <x v="4"/>
    </i>
    <i>
      <x v="5"/>
    </i>
    <i>
      <x v="3"/>
    </i>
    <i t="grand">
      <x/>
    </i>
  </rowItems>
  <colItems count="1">
    <i/>
  </colItems>
  <dataFields count="1">
    <dataField name="Number of Members" fld="1" subtotal="count" baseField="1" baseItem="0"/>
  </dataFields>
  <formats count="6"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1" type="button" dataOnly="0" labelOnly="1" outline="0" axis="axisRow" fieldPosition="0"/>
    </format>
    <format dxfId="103">
      <pivotArea dataOnly="0" labelOnly="1" fieldPosition="0">
        <references count="1">
          <reference field="1" count="0"/>
        </references>
      </pivotArea>
    </format>
    <format dxfId="102">
      <pivotArea dataOnly="0" labelOnly="1" grandRow="1" outline="0" fieldPosition="0"/>
    </format>
    <format dxfId="10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2D95BC-71A6-4045-AEF6-A856C928201A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Cities">
  <location ref="B8:C18" firstHeaderRow="1" firstDataRow="1" firstDataCol="1"/>
  <pivotFields count="17">
    <pivotField showAll="0"/>
    <pivotField axis="axisRow" showAll="0">
      <items count="11">
        <item x="2"/>
        <item x="5"/>
        <item x="6"/>
        <item x="7"/>
        <item x="9"/>
        <item x="1"/>
        <item x="0"/>
        <item x="8"/>
        <item x="4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Average of Age" fld="2" subtotal="average" baseField="1" baseItem="0"/>
  </dataFields>
  <formats count="6">
    <format dxfId="112">
      <pivotArea type="all" dataOnly="0" outline="0" fieldPosition="0"/>
    </format>
    <format dxfId="111">
      <pivotArea outline="0" collapsedLevelsAreSubtotals="1" fieldPosition="0"/>
    </format>
    <format dxfId="110">
      <pivotArea field="1" type="button" dataOnly="0" labelOnly="1" outline="0" axis="axisRow" fieldPosition="0"/>
    </format>
    <format dxfId="109">
      <pivotArea dataOnly="0" labelOnly="1" fieldPosition="0">
        <references count="1">
          <reference field="1" count="0"/>
        </references>
      </pivotArea>
    </format>
    <format dxfId="108">
      <pivotArea dataOnly="0" labelOnly="1" grandRow="1" outline="0" fieldPosition="0"/>
    </format>
    <format dxfId="10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4A5E9F-7846-4A93-BBBA-BD968C02C71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ies">
  <location ref="H8:K20" firstHeaderRow="1" firstDataRow="2" firstDataCol="1"/>
  <pivotFields count="17">
    <pivotField showAll="0"/>
    <pivotField axis="axisRow" showAll="0">
      <items count="11">
        <item x="2"/>
        <item x="5"/>
        <item x="6"/>
        <item x="7"/>
        <item x="9"/>
        <item x="1"/>
        <item x="0"/>
        <item x="8"/>
        <item x="4"/>
        <item x="3"/>
        <item t="default"/>
      </items>
    </pivotField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Ratio of Genders" fld="3" subtotal="count" baseField="0" baseItem="0"/>
  </dataFields>
  <formats count="1">
    <format dxfId="113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DCE7F8-3768-488A-B71B-14A71D7E2B14}" name="PivotTable5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H8:I12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9"/>
  </rowFields>
  <rowItems count="4">
    <i>
      <x/>
    </i>
    <i>
      <x v="1"/>
    </i>
    <i>
      <x v="3"/>
    </i>
    <i>
      <x v="2"/>
    </i>
  </rowItems>
  <colItems count="1">
    <i/>
  </colItems>
  <dataFields count="1">
    <dataField name="Average of BMI" fld="14" subtotal="average" baseField="9" baseItem="0"/>
  </dataFields>
  <formats count="11">
    <format dxfId="81">
      <pivotArea collapsedLevelsAreSubtotals="1" fieldPosition="0">
        <references count="1">
          <reference field="9" count="1">
            <x v="0"/>
          </reference>
        </references>
      </pivotArea>
    </format>
    <format dxfId="80">
      <pivotArea collapsedLevelsAreSubtotals="1" fieldPosition="0">
        <references count="1">
          <reference field="9" count="1">
            <x v="1"/>
          </reference>
        </references>
      </pivotArea>
    </format>
    <format dxfId="79">
      <pivotArea collapsedLevelsAreSubtotals="1" fieldPosition="0">
        <references count="1">
          <reference field="9" count="1">
            <x v="2"/>
          </reference>
        </references>
      </pivotArea>
    </format>
    <format dxfId="78">
      <pivotArea collapsedLevelsAreSubtotals="1" fieldPosition="0">
        <references count="1">
          <reference field="9" count="1">
            <x v="3"/>
          </reference>
        </references>
      </pivotArea>
    </format>
    <format dxfId="77">
      <pivotArea grandRow="1" outline="0" collapsedLevelsAreSubtotals="1" fieldPosition="0"/>
    </format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9" type="button" dataOnly="0" labelOnly="1" outline="0" axis="axisRow" fieldPosition="0"/>
    </format>
    <format dxfId="73">
      <pivotArea dataOnly="0" labelOnly="1" fieldPosition="0">
        <references count="1">
          <reference field="9" count="0"/>
        </references>
      </pivotArea>
    </format>
    <format dxfId="72">
      <pivotArea dataOnly="0" labelOnly="1" grandRow="1" outline="0" fieldPosition="0"/>
    </format>
    <format dxfId="7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1B2D50-7FBC-4B8A-B19A-CBDADBD6370D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8:F13" firstHeaderRow="1" firstDataRow="1" firstDataCol="1"/>
  <pivotFields count="18">
    <pivotField showAll="0"/>
    <pivotField showAll="0">
      <items count="11">
        <item x="2"/>
        <item x="5"/>
        <item x="6"/>
        <item x="7"/>
        <item x="9"/>
        <item x="1"/>
        <item x="0"/>
        <item x="8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7"/>
  </rowFields>
  <rowItems count="5">
    <i>
      <x/>
    </i>
    <i>
      <x v="2"/>
    </i>
    <i>
      <x v="1"/>
    </i>
    <i>
      <x v="3"/>
    </i>
    <i t="grand">
      <x/>
    </i>
  </rowItems>
  <colItems count="1">
    <i/>
  </colItems>
  <dataFields count="1">
    <dataField name="Count of BMI_Categories" fld="17" subtotal="count" baseField="0" baseItem="0"/>
  </dataFields>
  <formats count="6"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17" type="button" dataOnly="0" labelOnly="1" outline="0" axis="axisRow" fieldPosition="0"/>
    </format>
    <format dxfId="84">
      <pivotArea dataOnly="0" labelOnly="1" fieldPosition="0">
        <references count="1">
          <reference field="17" count="0"/>
        </references>
      </pivotArea>
    </format>
    <format dxfId="83">
      <pivotArea dataOnly="0" labelOnly="1" grandRow="1" outline="0" fieldPosition="0"/>
    </format>
    <format dxfId="8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09EDE-7A45-4B57-A8F5-897709CA58EA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B8:C18" firstHeaderRow="1" firstDataRow="1" firstDataCol="1"/>
  <pivotFields count="17">
    <pivotField showAll="0"/>
    <pivotField axis="axisRow" showAll="0" sortType="descending">
      <items count="11">
        <item x="2"/>
        <item x="5"/>
        <item x="6"/>
        <item x="7"/>
        <item x="9"/>
        <item x="1"/>
        <item x="0"/>
        <item x="8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0">
    <i>
      <x v="5"/>
    </i>
    <i>
      <x v="2"/>
    </i>
    <i>
      <x v="6"/>
    </i>
    <i>
      <x/>
    </i>
    <i>
      <x v="1"/>
    </i>
    <i>
      <x v="3"/>
    </i>
    <i>
      <x v="4"/>
    </i>
    <i>
      <x v="9"/>
    </i>
    <i>
      <x v="7"/>
    </i>
    <i>
      <x v="8"/>
    </i>
  </rowItems>
  <colItems count="1">
    <i/>
  </colItems>
  <dataFields count="1">
    <dataField name="Average of BMI" fld="16" subtotal="average" baseField="1" baseItem="0" numFmtId="2"/>
  </dataFields>
  <formats count="13">
    <format dxfId="100">
      <pivotArea outline="0" collapsedLevelsAreSubtotals="1" fieldPosition="0"/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1" type="button" dataOnly="0" labelOnly="1" outline="0" axis="axisRow" fieldPosition="0"/>
    </format>
    <format dxfId="96">
      <pivotArea dataOnly="0" labelOnly="1" fieldPosition="0">
        <references count="1">
          <reference field="1" count="0"/>
        </references>
      </pivotArea>
    </format>
    <format dxfId="95">
      <pivotArea dataOnly="0" labelOnly="1" grandRow="1" outline="0" fieldPosition="0"/>
    </format>
    <format dxfId="94">
      <pivotArea dataOnly="0" labelOnly="1" outline="0" axis="axisValues" fieldPosition="0"/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1" type="button" dataOnly="0" labelOnly="1" outline="0" axis="axisRow" fieldPosition="0"/>
    </format>
    <format dxfId="90">
      <pivotArea dataOnly="0" labelOnly="1" fieldPosition="0">
        <references count="1">
          <reference field="1" count="0"/>
        </references>
      </pivotArea>
    </format>
    <format dxfId="89">
      <pivotArea dataOnly="0" labelOnly="1" grandRow="1" outline="0" fieldPosition="0"/>
    </format>
    <format dxfId="8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9F7F82-B9AC-4D0C-9178-F904C63113B6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I8:J10" firstHeaderRow="1" firstDataRow="1" firstDataCol="1"/>
  <pivotFields count="16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>
      <x v="1"/>
    </i>
  </rowItems>
  <colItems count="1">
    <i/>
  </colItems>
  <dataFields count="1">
    <dataField name="Average of Session_Duration (hours)" fld="7" subtotal="average" baseField="1" baseItem="0"/>
  </dataFields>
  <formats count="9">
    <format dxfId="55">
      <pivotArea collapsedLevelsAreSubtotals="1" fieldPosition="0">
        <references count="1">
          <reference field="1" count="1">
            <x v="0"/>
          </reference>
        </references>
      </pivotArea>
    </format>
    <format dxfId="54">
      <pivotArea collapsedLevelsAreSubtotals="1" fieldPosition="0">
        <references count="1">
          <reference field="1" count="1">
            <x v="1"/>
          </reference>
        </references>
      </pivotArea>
    </format>
    <format dxfId="53">
      <pivotArea grandRow="1" outline="0" collapsedLevelsAreSubtotals="1" fieldPosition="0"/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1" type="button" dataOnly="0" labelOnly="1" outline="0" axis="axisRow" fieldPosition="0"/>
    </format>
    <format dxfId="49">
      <pivotArea dataOnly="0" labelOnly="1" fieldPosition="0">
        <references count="1">
          <reference field="1" count="0"/>
        </references>
      </pivotArea>
    </format>
    <format dxfId="48">
      <pivotArea dataOnly="0" labelOnly="1" grandRow="1" outline="0" fieldPosition="0"/>
    </format>
    <format dxfId="4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4A5FD0-94AB-4821-9ACA-64A30C349E6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ies">
  <location ref="B8:G20" firstHeaderRow="1" firstDataRow="2" firstDataCol="1"/>
  <pivotFields count="17">
    <pivotField dataField="1" showAll="0"/>
    <pivotField axis="axisRow" showAll="0">
      <items count="11">
        <item x="2"/>
        <item x="5"/>
        <item x="6"/>
        <item x="7"/>
        <item x="9"/>
        <item x="1"/>
        <item x="0"/>
        <item x="8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Workout Types" fld="0" subtotal="count" baseField="1" baseItem="4"/>
  </dataFields>
  <formats count="5"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1" type="button" dataOnly="0" labelOnly="1" outline="0" axis="axisRow" fieldPosition="0"/>
    </format>
    <format dxfId="57">
      <pivotArea dataOnly="0" labelOnly="1" grandRow="1" outline="0" fieldPosition="0"/>
    </format>
    <format dxfId="5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32BB92-B149-4806-BC7F-925C9F24C507}" name="PivotTable3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L8:M11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3"/>
  </rowFields>
  <rowItems count="3">
    <i>
      <x/>
    </i>
    <i>
      <x v="1"/>
    </i>
    <i>
      <x v="2"/>
    </i>
  </rowItems>
  <colItems count="1">
    <i/>
  </colItems>
  <dataFields count="1">
    <dataField name="Average of Session_Duration (hours)" fld="7" subtotal="average" baseField="13" baseItem="0"/>
  </dataFields>
  <formats count="10">
    <format dxfId="70">
      <pivotArea collapsedLevelsAreSubtotals="1" fieldPosition="0">
        <references count="1">
          <reference field="13" count="1">
            <x v="0"/>
          </reference>
        </references>
      </pivotArea>
    </format>
    <format dxfId="69">
      <pivotArea collapsedLevelsAreSubtotals="1" fieldPosition="0">
        <references count="1">
          <reference field="13" count="1">
            <x v="1"/>
          </reference>
        </references>
      </pivotArea>
    </format>
    <format dxfId="68">
      <pivotArea collapsedLevelsAreSubtotals="1" fieldPosition="0">
        <references count="1">
          <reference field="13" count="1">
            <x v="2"/>
          </reference>
        </references>
      </pivotArea>
    </format>
    <format dxfId="67">
      <pivotArea grandRow="1" outline="0" collapsedLevelsAreSubtotals="1" fieldPosition="0"/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13" type="button" dataOnly="0" labelOnly="1" outline="0" axis="axisRow" fieldPosition="0"/>
    </format>
    <format dxfId="63">
      <pivotArea dataOnly="0" labelOnly="1" fieldPosition="0">
        <references count="1">
          <reference field="13" count="0"/>
        </references>
      </pivotArea>
    </format>
    <format dxfId="62">
      <pivotArea dataOnly="0" labelOnly="1" grandRow="1" outline="0" fieldPosition="0"/>
    </format>
    <format dxfId="6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0246FD-C210-474B-9A28-8E141B801964}" name="PivotTable7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J7:K11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1"/>
  </rowFields>
  <rowItems count="4">
    <i>
      <x v="2"/>
    </i>
    <i>
      <x/>
    </i>
    <i>
      <x v="3"/>
    </i>
    <i>
      <x v="1"/>
    </i>
  </rowItems>
  <colItems count="1">
    <i/>
  </colItems>
  <dataFields count="1">
    <dataField name="Average of Calories _Burned (per hour)" fld="18" subtotal="average" baseField="11" baseItem="2"/>
  </dataFields>
  <formats count="5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11" type="button" dataOnly="0" labelOnly="1" outline="0" axis="axisRow" fieldPosition="0"/>
    </format>
    <format dxfId="34">
      <pivotArea dataOnly="0" labelOnly="1" fieldPosition="0">
        <references count="1">
          <reference field="11" count="0"/>
        </references>
      </pivotArea>
    </format>
    <format dxfId="3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5DC7C-BB1D-4E00-BA85-16E623FB40A1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G7:H9" firstHeaderRow="1" firstDataRow="1" firstDataCol="1"/>
  <pivotFields count="16">
    <pivotField showAll="0"/>
    <pivotField axis="axisRow" showAll="0" sortType="descending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>
      <x v="1"/>
    </i>
  </rowItems>
  <colItems count="1">
    <i/>
  </colItems>
  <dataFields count="1">
    <dataField name="Average of Calories_Burned" fld="8" subtotal="average" baseField="1" baseItem="0"/>
  </dataFields>
  <formats count="9">
    <format dxfId="46">
      <pivotArea collapsedLevelsAreSubtotals="1" fieldPosition="0">
        <references count="1">
          <reference field="1" count="1">
            <x v="1"/>
          </reference>
        </references>
      </pivotArea>
    </format>
    <format dxfId="45">
      <pivotArea collapsedLevelsAreSubtotals="1" fieldPosition="0">
        <references count="1">
          <reference field="1" count="1">
            <x v="0"/>
          </reference>
        </references>
      </pivotArea>
    </format>
    <format dxfId="44">
      <pivotArea grandRow="1" outline="0" collapsedLevelsAreSubtotals="1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1" type="button" dataOnly="0" labelOnly="1" outline="0" axis="axisRow" fieldPosition="0"/>
    </format>
    <format dxfId="40">
      <pivotArea dataOnly="0" labelOnly="1" fieldPosition="0">
        <references count="1">
          <reference field="1" count="0"/>
        </references>
      </pivotArea>
    </format>
    <format dxfId="39">
      <pivotArea dataOnly="0" labelOnly="1" grandRow="1" outline="0" fieldPosition="0"/>
    </format>
    <format dxfId="3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8AA3FF-8812-464C-ADB0-D8FD42AB7ED4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Workout_Frequency(days)">
  <location ref="E8:F13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esting BPM" fld="8" subtotal="average" baseField="14" baseItem="0"/>
  </dataFields>
  <formats count="12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14" type="button" dataOnly="0" labelOnly="1" outline="0" axis="axisRow" fieldPosition="0"/>
    </format>
    <format dxfId="24">
      <pivotArea dataOnly="0" labelOnly="1" fieldPosition="0">
        <references count="1">
          <reference field="14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14" type="button" dataOnly="0" labelOnly="1" outline="0" axis="axisRow" fieldPosition="0"/>
    </format>
    <format dxfId="18">
      <pivotArea dataOnly="0" labelOnly="1" fieldPosition="0">
        <references count="1">
          <reference field="14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A30194-F809-4F01-B657-E02EFAB4E3D7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Workout_type">
  <location ref="B8:C12" firstHeaderRow="1" firstDataRow="1" firstDataCol="1"/>
  <pivotFields count="17">
    <pivotField showAll="0"/>
    <pivotField showAll="0">
      <items count="11">
        <item x="2"/>
        <item x="5"/>
        <item x="6"/>
        <item x="7"/>
        <item x="9"/>
        <item x="1"/>
        <item x="0"/>
        <item x="8"/>
        <item x="4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Avg_BPM" fld="7" subtotal="average" baseField="11" baseItem="0"/>
  </dataFields>
  <formats count="5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1" type="button" dataOnly="0" labelOnly="1" outline="0"/>
    </format>
    <format dxfId="29">
      <pivotArea dataOnly="0" labelOnly="1" grandRow="1" outline="0" fieldPosition="0"/>
    </format>
    <format dxfId="2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77CD7-1FB5-40C8-AC7F-FB140F0347ED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Workout_type">
  <location ref="B8:D19" firstHeaderRow="1" firstDataRow="2" firstDataCol="1"/>
  <pivotFields count="17">
    <pivotField showAll="0"/>
    <pivotField axis="axisRow" showAll="0">
      <items count="11">
        <item x="2"/>
        <item x="5"/>
        <item x="6"/>
        <item x="7"/>
        <item x="9"/>
        <item x="1"/>
        <item x="0"/>
        <item x="8"/>
        <item x="4"/>
        <item x="3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3"/>
  </colFields>
  <colItems count="2">
    <i>
      <x/>
    </i>
    <i>
      <x v="1"/>
    </i>
  </colItems>
  <dataFields count="1">
    <dataField name="Average of Water_Intake (liters)" fld="13" subtotal="average" baseField="1" baseItem="0"/>
  </dataFields>
  <formats count="5">
    <format dxfId="10">
      <pivotArea type="all" dataOnly="0" outline="0" fieldPosition="0"/>
    </format>
    <format dxfId="9">
      <pivotArea outline="0" collapsedLevelsAreSubtotals="1" fieldPosition="0"/>
    </format>
    <format dxfId="8">
      <pivotArea field="1" type="button" dataOnly="0" labelOnly="1" outline="0" axis="axisRow" fieldPosition="0"/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6E4F5-CADD-4882-95E2-ECC9F46711B3}" name="PivotTable9" cacheId="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Water Intake">
  <location ref="F8:G11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9"/>
  </rowFields>
  <rowItems count="3">
    <i>
      <x v="1"/>
    </i>
    <i>
      <x/>
    </i>
    <i>
      <x v="2"/>
    </i>
  </rowItems>
  <colItems count="1">
    <i/>
  </colItems>
  <dataFields count="1">
    <dataField name="Average of Fat_Percentage" fld="12" subtotal="average" baseField="19" baseItem="0"/>
  </dataFields>
  <formats count="5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19" type="button" dataOnly="0" labelOnly="1" outline="0" axis="axisRow" fieldPosition="0"/>
    </format>
    <format dxfId="12">
      <pivotArea dataOnly="0" labelOnly="1" fieldPosition="0">
        <references count="1">
          <reference field="19" count="0"/>
        </references>
      </pivotArea>
    </format>
    <format dxfId="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C36D50-34EC-4B2B-886E-05E1420E3E84}" name="PivotTable18" cacheId="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Experience_Level">
  <location ref="F8:G11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a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15"/>
  </rowFields>
  <rowItems count="3">
    <i>
      <x/>
    </i>
    <i>
      <x v="1"/>
    </i>
    <i>
      <x v="2"/>
    </i>
  </rowItems>
  <colItems count="1">
    <i/>
  </colItems>
  <dataFields count="1">
    <dataField name="Average of Calories_Burned" fld="10" subtotal="average" baseField="15" baseItem="0"/>
  </dataFields>
  <formats count="5">
    <format dxfId="5">
      <pivotArea type="all" dataOnly="0" outline="0" fieldPosition="0"/>
    </format>
    <format dxfId="4">
      <pivotArea outline="0" collapsedLevelsAreSubtotals="1" fieldPosition="0"/>
    </format>
    <format dxfId="3">
      <pivotArea field="15" type="button" dataOnly="0" labelOnly="1" outline="0" axis="axisRow" fieldPosition="0"/>
    </format>
    <format dxfId="2">
      <pivotArea dataOnly="0" labelOnly="1" fieldPosition="0">
        <references count="1">
          <reference field="15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74"/>
  <sheetViews>
    <sheetView zoomScaleNormal="100" workbookViewId="0">
      <selection activeCell="N8" sqref="N8"/>
    </sheetView>
  </sheetViews>
  <sheetFormatPr defaultRowHeight="14.4" x14ac:dyDescent="0.3"/>
  <cols>
    <col min="1" max="1" width="6.6640625" style="2" bestFit="1" customWidth="1"/>
    <col min="2" max="2" width="10.6640625" style="2" bestFit="1" customWidth="1"/>
    <col min="3" max="3" width="4.21875" style="2" bestFit="1" customWidth="1"/>
    <col min="4" max="4" width="7.109375" style="2" bestFit="1" customWidth="1"/>
    <col min="5" max="5" width="10.77734375" style="2" bestFit="1" customWidth="1"/>
    <col min="6" max="6" width="9.88671875" style="2" bestFit="1" customWidth="1"/>
    <col min="7" max="7" width="9.6640625" style="2" bestFit="1" customWidth="1"/>
    <col min="8" max="8" width="9.21875" style="2" bestFit="1" customWidth="1"/>
    <col min="9" max="9" width="11.5546875" style="2" bestFit="1" customWidth="1"/>
    <col min="10" max="10" width="22.44140625" style="2" bestFit="1" customWidth="1"/>
    <col min="11" max="11" width="14.77734375" style="2" bestFit="1" customWidth="1"/>
    <col min="12" max="12" width="13.6640625" style="2" bestFit="1" customWidth="1"/>
    <col min="13" max="13" width="14.109375" style="2" bestFit="1" customWidth="1"/>
    <col min="14" max="14" width="18.44140625" style="2" bestFit="1" customWidth="1"/>
    <col min="15" max="15" width="24.21875" style="2" bestFit="1" customWidth="1"/>
    <col min="16" max="16" width="15.5546875" style="2" bestFit="1" customWidth="1"/>
    <col min="17" max="17" width="6" style="2" bestFit="1" customWidth="1"/>
    <col min="18" max="18" width="14.33203125" style="2" bestFit="1" customWidth="1"/>
    <col min="19" max="19" width="24.44140625" style="2" bestFit="1" customWidth="1"/>
    <col min="20" max="16384" width="8.88671875" style="2"/>
  </cols>
  <sheetData>
    <row r="1" spans="1:20" x14ac:dyDescent="0.3">
      <c r="A1" s="1" t="s">
        <v>0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31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32</v>
      </c>
      <c r="P1" s="1" t="s">
        <v>12</v>
      </c>
      <c r="Q1" s="1" t="s">
        <v>13</v>
      </c>
      <c r="R1" s="8" t="s">
        <v>42</v>
      </c>
      <c r="S1" s="8" t="s">
        <v>51</v>
      </c>
      <c r="T1" s="8" t="s">
        <v>58</v>
      </c>
    </row>
    <row r="2" spans="1:20" x14ac:dyDescent="0.3">
      <c r="A2" s="2">
        <v>1</v>
      </c>
      <c r="B2" s="2" t="s">
        <v>21</v>
      </c>
      <c r="C2" s="2">
        <v>56</v>
      </c>
      <c r="D2" s="2" t="s">
        <v>15</v>
      </c>
      <c r="E2" s="2">
        <v>88.3</v>
      </c>
      <c r="F2" s="2">
        <v>1.71</v>
      </c>
      <c r="G2" s="2">
        <v>180</v>
      </c>
      <c r="H2" s="2">
        <v>157</v>
      </c>
      <c r="I2" s="2">
        <v>60</v>
      </c>
      <c r="J2" s="2">
        <v>1.69</v>
      </c>
      <c r="K2" s="2">
        <v>1313</v>
      </c>
      <c r="L2" s="2" t="s">
        <v>17</v>
      </c>
      <c r="M2" s="2">
        <v>12.6</v>
      </c>
      <c r="N2" s="2">
        <v>3.5</v>
      </c>
      <c r="O2" s="2">
        <v>4</v>
      </c>
      <c r="P2" s="2">
        <v>3</v>
      </c>
      <c r="Q2" s="2">
        <v>30.2</v>
      </c>
      <c r="R2" s="2" t="str" cm="1">
        <f t="array" ref="R2">_xlfn.IFS(Q2&lt;18.5,"Underweight",AND(Q2&gt;=18.5,Q2&lt;25),"Normal Weight",AND(Q2&gt;=25,Q2&lt;30),"Overweight",Q2&gt;=30,"Obesity")</f>
        <v>Obesity</v>
      </c>
      <c r="S2" s="2">
        <f>K2/J2</f>
        <v>776.92307692307691</v>
      </c>
      <c r="T2" s="2" t="str" cm="1">
        <f t="array" ref="T2">_xlfn.IFS(N2&lt;=2.5,"Low",N2&lt;=3,"Medium",N2&gt;3,"High")</f>
        <v>High</v>
      </c>
    </row>
    <row r="3" spans="1:20" x14ac:dyDescent="0.3">
      <c r="A3" s="2">
        <v>2</v>
      </c>
      <c r="B3" s="2" t="s">
        <v>22</v>
      </c>
      <c r="C3" s="2">
        <v>46</v>
      </c>
      <c r="D3" s="2" t="s">
        <v>16</v>
      </c>
      <c r="E3" s="2">
        <v>74.900000000000006</v>
      </c>
      <c r="F3" s="2">
        <v>1.53</v>
      </c>
      <c r="G3" s="2">
        <v>179</v>
      </c>
      <c r="H3" s="2">
        <v>151</v>
      </c>
      <c r="I3" s="2">
        <v>66</v>
      </c>
      <c r="J3" s="2">
        <v>1.3</v>
      </c>
      <c r="K3" s="2">
        <v>883</v>
      </c>
      <c r="L3" s="2" t="s">
        <v>18</v>
      </c>
      <c r="M3" s="2">
        <v>33.9</v>
      </c>
      <c r="N3" s="2">
        <v>2.1</v>
      </c>
      <c r="O3" s="2">
        <v>4</v>
      </c>
      <c r="P3" s="2">
        <v>2</v>
      </c>
      <c r="Q3" s="2">
        <v>32</v>
      </c>
      <c r="R3" s="2" t="str" cm="1">
        <f t="array" ref="R3">_xlfn.IFS(Q3&lt;18.5,"Underweight",
AND(Q3&gt;=18.5,Q3&lt;25),"Normal Weight",
AND(Q3&gt;=25,Q3&lt;30),"Overweight",
Q3&gt;=30,"Obesity")</f>
        <v>Obesity</v>
      </c>
      <c r="S3" s="2">
        <f t="shared" ref="S3:S66" si="0">K3/J3</f>
        <v>679.23076923076917</v>
      </c>
      <c r="T3" s="2" t="str" cm="1">
        <f t="array" ref="T3">_xlfn.IFS(N3&lt;=2.5,"Low",N3&lt;=3,"Medium",N3&gt;3,"High")</f>
        <v>Low</v>
      </c>
    </row>
    <row r="4" spans="1:20" x14ac:dyDescent="0.3">
      <c r="A4" s="2">
        <v>3</v>
      </c>
      <c r="B4" s="2" t="s">
        <v>23</v>
      </c>
      <c r="C4" s="2">
        <v>32</v>
      </c>
      <c r="D4" s="2" t="s">
        <v>16</v>
      </c>
      <c r="E4" s="2">
        <v>68.099999999999994</v>
      </c>
      <c r="F4" s="2">
        <v>1.66</v>
      </c>
      <c r="G4" s="2">
        <v>167</v>
      </c>
      <c r="H4" s="2">
        <v>122</v>
      </c>
      <c r="I4" s="2">
        <v>54</v>
      </c>
      <c r="J4" s="2">
        <v>1.1100000000000001</v>
      </c>
      <c r="K4" s="2">
        <v>677</v>
      </c>
      <c r="L4" s="2" t="s">
        <v>19</v>
      </c>
      <c r="M4" s="2">
        <v>33.4</v>
      </c>
      <c r="N4" s="2">
        <v>2.2999999999999998</v>
      </c>
      <c r="O4" s="2">
        <v>4</v>
      </c>
      <c r="P4" s="2">
        <v>2</v>
      </c>
      <c r="Q4" s="2">
        <v>24.71</v>
      </c>
      <c r="R4" s="2" t="str" cm="1">
        <f t="array" ref="R4">_xlfn.IFS(Q4&lt;18.5,"Underweight",
AND(Q4&gt;=18.5,Q4&lt;25),"Normal Weight",
AND(Q4&gt;=25,Q4&lt;30),"Overweight",
Q4&gt;=30,"Obesity")</f>
        <v>Normal Weight</v>
      </c>
      <c r="S4" s="2">
        <f t="shared" si="0"/>
        <v>609.90990990990986</v>
      </c>
      <c r="T4" s="2" t="str" cm="1">
        <f t="array" ref="T4">_xlfn.IFS(N4&lt;=2.5,"Low",N4&lt;=3,"Medium",N4&gt;3,"High")</f>
        <v>Low</v>
      </c>
    </row>
    <row r="5" spans="1:20" x14ac:dyDescent="0.3">
      <c r="A5" s="2">
        <v>4</v>
      </c>
      <c r="B5" s="2" t="s">
        <v>24</v>
      </c>
      <c r="C5" s="2">
        <v>25</v>
      </c>
      <c r="D5" s="2" t="s">
        <v>15</v>
      </c>
      <c r="E5" s="2">
        <v>53.2</v>
      </c>
      <c r="F5" s="2">
        <v>1.7</v>
      </c>
      <c r="G5" s="2">
        <v>190</v>
      </c>
      <c r="H5" s="2">
        <v>164</v>
      </c>
      <c r="I5" s="2">
        <v>56</v>
      </c>
      <c r="J5" s="2">
        <v>0.59</v>
      </c>
      <c r="K5" s="2">
        <v>532</v>
      </c>
      <c r="L5" s="2" t="s">
        <v>20</v>
      </c>
      <c r="M5" s="2">
        <v>28.8</v>
      </c>
      <c r="N5" s="2">
        <v>2.1</v>
      </c>
      <c r="O5" s="2">
        <v>3</v>
      </c>
      <c r="P5" s="2">
        <v>1</v>
      </c>
      <c r="Q5" s="2">
        <v>18.41</v>
      </c>
      <c r="R5" s="2" t="str" cm="1">
        <f t="array" ref="R5">_xlfn.IFS(Q5&lt;18.5,"Underweight",
AND(Q5&gt;=18.5,Q5&lt;25),"Normal Weight",
AND(Q5&gt;=25,Q5&lt;30),"Overweight",
Q5&gt;=30,"Obesity")</f>
        <v>Underweight</v>
      </c>
      <c r="S5" s="2">
        <f t="shared" si="0"/>
        <v>901.69491525423734</v>
      </c>
      <c r="T5" s="2" t="str" cm="1">
        <f t="array" ref="T5">_xlfn.IFS(N5&lt;=2.5,"Low",N5&lt;=3,"Medium",N5&gt;3,"High")</f>
        <v>Low</v>
      </c>
    </row>
    <row r="6" spans="1:20" x14ac:dyDescent="0.3">
      <c r="A6" s="2">
        <v>5</v>
      </c>
      <c r="B6" s="2" t="s">
        <v>21</v>
      </c>
      <c r="C6" s="2">
        <v>38</v>
      </c>
      <c r="D6" s="2" t="s">
        <v>15</v>
      </c>
      <c r="E6" s="2">
        <v>46.1</v>
      </c>
      <c r="F6" s="2">
        <v>1.79</v>
      </c>
      <c r="G6" s="2">
        <v>188</v>
      </c>
      <c r="H6" s="2">
        <v>158</v>
      </c>
      <c r="I6" s="2">
        <v>68</v>
      </c>
      <c r="J6" s="2">
        <v>0.64</v>
      </c>
      <c r="K6" s="2">
        <v>556</v>
      </c>
      <c r="L6" s="2" t="s">
        <v>20</v>
      </c>
      <c r="M6" s="2">
        <v>29.2</v>
      </c>
      <c r="N6" s="2">
        <v>2.8</v>
      </c>
      <c r="O6" s="2">
        <v>3</v>
      </c>
      <c r="P6" s="2">
        <v>1</v>
      </c>
      <c r="Q6" s="2">
        <v>14.39</v>
      </c>
      <c r="R6" s="2" t="str" cm="1">
        <f t="array" ref="R6">_xlfn.IFS(Q6&lt;18.5,"Underweight",
AND(Q6&gt;=18.5,Q6&lt;25),"Normal Weight",
AND(Q6&gt;=25,Q6&lt;30),"Overweight",
Q6&gt;=30,"Obesity")</f>
        <v>Underweight</v>
      </c>
      <c r="S6" s="2">
        <f t="shared" si="0"/>
        <v>868.75</v>
      </c>
      <c r="T6" s="2" t="str" cm="1">
        <f t="array" ref="T6">_xlfn.IFS(N6&lt;=2.5,"Low",N6&lt;=3,"Medium",N6&gt;3,"High")</f>
        <v>Medium</v>
      </c>
    </row>
    <row r="7" spans="1:20" x14ac:dyDescent="0.3">
      <c r="A7" s="2">
        <v>6</v>
      </c>
      <c r="B7" s="2" t="s">
        <v>25</v>
      </c>
      <c r="C7" s="2">
        <v>56</v>
      </c>
      <c r="D7" s="2" t="s">
        <v>16</v>
      </c>
      <c r="E7" s="2">
        <v>58</v>
      </c>
      <c r="F7" s="2">
        <v>1.68</v>
      </c>
      <c r="G7" s="2">
        <v>168</v>
      </c>
      <c r="H7" s="2">
        <v>156</v>
      </c>
      <c r="I7" s="2">
        <v>74</v>
      </c>
      <c r="J7" s="2">
        <v>1.59</v>
      </c>
      <c r="K7" s="2">
        <v>1116</v>
      </c>
      <c r="L7" s="2" t="s">
        <v>18</v>
      </c>
      <c r="M7" s="2">
        <v>15.5</v>
      </c>
      <c r="N7" s="2">
        <v>2.7</v>
      </c>
      <c r="O7" s="2">
        <v>5</v>
      </c>
      <c r="P7" s="2">
        <v>3</v>
      </c>
      <c r="Q7" s="2">
        <v>20.55</v>
      </c>
      <c r="R7" s="2" t="str" cm="1">
        <f t="array" ref="R7">_xlfn.IFS(Q7&lt;18.5,"Underweight",
AND(Q7&gt;=18.5,Q7&lt;25),"Normal Weight",
AND(Q7&gt;=25,Q7&lt;30),"Overweight",
Q7&gt;=30,"Obesity")</f>
        <v>Normal Weight</v>
      </c>
      <c r="S7" s="2">
        <f t="shared" si="0"/>
        <v>701.88679245283015</v>
      </c>
      <c r="T7" s="2" t="str" cm="1">
        <f t="array" ref="T7">_xlfn.IFS(N7&lt;=2.5,"Low",N7&lt;=3,"Medium",N7&gt;3,"High")</f>
        <v>Medium</v>
      </c>
    </row>
    <row r="8" spans="1:20" x14ac:dyDescent="0.3">
      <c r="A8" s="2">
        <v>7</v>
      </c>
      <c r="B8" s="2" t="s">
        <v>26</v>
      </c>
      <c r="C8" s="2">
        <v>36</v>
      </c>
      <c r="D8" s="2" t="s">
        <v>15</v>
      </c>
      <c r="E8" s="2">
        <v>70.3</v>
      </c>
      <c r="F8" s="2">
        <v>1.72</v>
      </c>
      <c r="G8" s="2">
        <v>174</v>
      </c>
      <c r="H8" s="2">
        <v>169</v>
      </c>
      <c r="I8" s="2">
        <v>73</v>
      </c>
      <c r="J8" s="2">
        <v>1.49</v>
      </c>
      <c r="K8" s="2">
        <v>1385</v>
      </c>
      <c r="L8" s="2" t="s">
        <v>19</v>
      </c>
      <c r="M8" s="2">
        <v>21.3</v>
      </c>
      <c r="N8" s="2">
        <v>2.2999999999999998</v>
      </c>
      <c r="O8" s="2">
        <v>3</v>
      </c>
      <c r="P8" s="2">
        <v>2</v>
      </c>
      <c r="Q8" s="2">
        <v>23.76</v>
      </c>
      <c r="R8" s="2" t="str" cm="1">
        <f t="array" ref="R8">_xlfn.IFS(Q8&lt;18.5,"Underweight",
AND(Q8&gt;=18.5,Q8&lt;25),"Normal Weight",
AND(Q8&gt;=25,Q8&lt;30),"Overweight",
Q8&gt;=30,"Obesity")</f>
        <v>Normal Weight</v>
      </c>
      <c r="S8" s="2">
        <f t="shared" si="0"/>
        <v>929.53020134228188</v>
      </c>
      <c r="T8" s="2" t="str" cm="1">
        <f t="array" ref="T8">_xlfn.IFS(N8&lt;=2.5,"Low",N8&lt;=3,"Medium",N8&gt;3,"High")</f>
        <v>Low</v>
      </c>
    </row>
    <row r="9" spans="1:20" x14ac:dyDescent="0.3">
      <c r="A9" s="2">
        <v>8</v>
      </c>
      <c r="B9" s="2" t="s">
        <v>21</v>
      </c>
      <c r="C9" s="2">
        <v>40</v>
      </c>
      <c r="D9" s="2" t="s">
        <v>16</v>
      </c>
      <c r="E9" s="2">
        <v>69.7</v>
      </c>
      <c r="F9" s="2">
        <v>1.51</v>
      </c>
      <c r="G9" s="2">
        <v>189</v>
      </c>
      <c r="H9" s="2">
        <v>141</v>
      </c>
      <c r="I9" s="2">
        <v>64</v>
      </c>
      <c r="J9" s="2">
        <v>1.27</v>
      </c>
      <c r="K9" s="2">
        <v>895</v>
      </c>
      <c r="L9" s="2" t="s">
        <v>19</v>
      </c>
      <c r="M9" s="2">
        <v>30.6</v>
      </c>
      <c r="N9" s="2">
        <v>1.9</v>
      </c>
      <c r="O9" s="2">
        <v>3</v>
      </c>
      <c r="P9" s="2">
        <v>2</v>
      </c>
      <c r="Q9" s="2">
        <v>30.57</v>
      </c>
      <c r="R9" s="2" t="str" cm="1">
        <f t="array" ref="R9">_xlfn.IFS(Q9&lt;18.5,"Underweight",
AND(Q9&gt;=18.5,Q9&lt;25),"Normal Weight",
AND(Q9&gt;=25,Q9&lt;30),"Overweight",
Q9&gt;=30,"Obesity")</f>
        <v>Obesity</v>
      </c>
      <c r="S9" s="2">
        <f t="shared" si="0"/>
        <v>704.72440944881885</v>
      </c>
      <c r="T9" s="2" t="str" cm="1">
        <f t="array" ref="T9">_xlfn.IFS(N9&lt;=2.5,"Low",N9&lt;=3,"Medium",N9&gt;3,"High")</f>
        <v>Low</v>
      </c>
    </row>
    <row r="10" spans="1:20" x14ac:dyDescent="0.3">
      <c r="A10" s="2">
        <v>9</v>
      </c>
      <c r="B10" s="2" t="s">
        <v>23</v>
      </c>
      <c r="C10" s="2">
        <v>28</v>
      </c>
      <c r="D10" s="2" t="s">
        <v>15</v>
      </c>
      <c r="E10" s="2">
        <v>121.7</v>
      </c>
      <c r="F10" s="2">
        <v>1.94</v>
      </c>
      <c r="G10" s="2">
        <v>185</v>
      </c>
      <c r="H10" s="2">
        <v>127</v>
      </c>
      <c r="I10" s="2">
        <v>52</v>
      </c>
      <c r="J10" s="2">
        <v>1.03</v>
      </c>
      <c r="K10" s="2">
        <v>719</v>
      </c>
      <c r="L10" s="2" t="s">
        <v>20</v>
      </c>
      <c r="M10" s="2">
        <v>28.9</v>
      </c>
      <c r="N10" s="2">
        <v>2.6</v>
      </c>
      <c r="O10" s="2">
        <v>4</v>
      </c>
      <c r="P10" s="2">
        <v>2</v>
      </c>
      <c r="Q10" s="2">
        <v>32.340000000000003</v>
      </c>
      <c r="R10" s="2" t="str" cm="1">
        <f t="array" ref="R10">_xlfn.IFS(Q10&lt;18.5,"Underweight",
AND(Q10&gt;=18.5,Q10&lt;25),"Normal Weight",
AND(Q10&gt;=25,Q10&lt;30),"Overweight",
Q10&gt;=30,"Obesity")</f>
        <v>Obesity</v>
      </c>
      <c r="S10" s="2">
        <f t="shared" si="0"/>
        <v>698.05825242718447</v>
      </c>
      <c r="T10" s="2" t="str" cm="1">
        <f t="array" ref="T10">_xlfn.IFS(N10&lt;=2.5,"Low",N10&lt;=3,"Medium",N10&gt;3,"High")</f>
        <v>Medium</v>
      </c>
    </row>
    <row r="11" spans="1:20" x14ac:dyDescent="0.3">
      <c r="A11" s="2">
        <v>10</v>
      </c>
      <c r="B11" s="2" t="s">
        <v>24</v>
      </c>
      <c r="C11" s="2">
        <v>28</v>
      </c>
      <c r="D11" s="2" t="s">
        <v>15</v>
      </c>
      <c r="E11" s="2">
        <v>101.8</v>
      </c>
      <c r="F11" s="2">
        <v>1.84</v>
      </c>
      <c r="G11" s="2">
        <v>169</v>
      </c>
      <c r="H11" s="2">
        <v>136</v>
      </c>
      <c r="I11" s="2">
        <v>64</v>
      </c>
      <c r="J11" s="2">
        <v>1.08</v>
      </c>
      <c r="K11" s="2">
        <v>808</v>
      </c>
      <c r="L11" s="2" t="s">
        <v>19</v>
      </c>
      <c r="M11" s="2">
        <v>29.7</v>
      </c>
      <c r="N11" s="2">
        <v>2.7</v>
      </c>
      <c r="O11" s="2">
        <v>3</v>
      </c>
      <c r="P11" s="2">
        <v>1</v>
      </c>
      <c r="Q11" s="2">
        <v>30.07</v>
      </c>
      <c r="R11" s="2" t="str" cm="1">
        <f t="array" ref="R11">_xlfn.IFS(Q11&lt;18.5,"Underweight",
AND(Q11&gt;=18.5,Q11&lt;25),"Normal Weight",
AND(Q11&gt;=25,Q11&lt;30),"Overweight",
Q11&gt;=30,"Obesity")</f>
        <v>Obesity</v>
      </c>
      <c r="S11" s="2">
        <f t="shared" si="0"/>
        <v>748.14814814814815</v>
      </c>
      <c r="T11" s="2" t="str" cm="1">
        <f t="array" ref="T11">_xlfn.IFS(N11&lt;=2.5,"Low",N11&lt;=3,"Medium",N11&gt;3,"High")</f>
        <v>Medium</v>
      </c>
    </row>
    <row r="12" spans="1:20" x14ac:dyDescent="0.3">
      <c r="A12" s="2">
        <v>11</v>
      </c>
      <c r="B12" s="2" t="s">
        <v>22</v>
      </c>
      <c r="C12" s="2">
        <v>41</v>
      </c>
      <c r="D12" s="2" t="s">
        <v>15</v>
      </c>
      <c r="E12" s="2">
        <v>120.8</v>
      </c>
      <c r="F12" s="2">
        <v>1.67</v>
      </c>
      <c r="G12" s="2">
        <v>188</v>
      </c>
      <c r="H12" s="2">
        <v>146</v>
      </c>
      <c r="I12" s="2">
        <v>54</v>
      </c>
      <c r="J12" s="2">
        <v>0.82</v>
      </c>
      <c r="K12" s="2">
        <v>593</v>
      </c>
      <c r="L12" s="2" t="s">
        <v>18</v>
      </c>
      <c r="M12" s="2">
        <v>20.5</v>
      </c>
      <c r="N12" s="2">
        <v>3</v>
      </c>
      <c r="O12" s="2">
        <v>2</v>
      </c>
      <c r="P12" s="2">
        <v>1</v>
      </c>
      <c r="Q12" s="2">
        <v>43.31</v>
      </c>
      <c r="R12" s="2" t="str" cm="1">
        <f t="array" ref="R12">_xlfn.IFS(Q12&lt;18.5,"Underweight",
AND(Q12&gt;=18.5,Q12&lt;25),"Normal Weight",
AND(Q12&gt;=25,Q12&lt;30),"Overweight",
Q12&gt;=30,"Obesity")</f>
        <v>Obesity</v>
      </c>
      <c r="S12" s="2">
        <f t="shared" si="0"/>
        <v>723.17073170731715</v>
      </c>
      <c r="T12" s="2" t="str" cm="1">
        <f t="array" ref="T12">_xlfn.IFS(N12&lt;=2.5,"Low",N12&lt;=3,"Medium",N12&gt;3,"High")</f>
        <v>Medium</v>
      </c>
    </row>
    <row r="13" spans="1:20" x14ac:dyDescent="0.3">
      <c r="A13" s="2">
        <v>12</v>
      </c>
      <c r="B13" s="2" t="s">
        <v>23</v>
      </c>
      <c r="C13" s="2">
        <v>53</v>
      </c>
      <c r="D13" s="2" t="s">
        <v>15</v>
      </c>
      <c r="E13" s="2">
        <v>51.7</v>
      </c>
      <c r="F13" s="2">
        <v>1.7</v>
      </c>
      <c r="G13" s="2">
        <v>175</v>
      </c>
      <c r="H13" s="2">
        <v>152</v>
      </c>
      <c r="I13" s="2">
        <v>72</v>
      </c>
      <c r="J13" s="2">
        <v>1.1499999999999999</v>
      </c>
      <c r="K13" s="2">
        <v>865</v>
      </c>
      <c r="L13" s="2" t="s">
        <v>18</v>
      </c>
      <c r="M13" s="2">
        <v>23.6</v>
      </c>
      <c r="N13" s="2">
        <v>3.5</v>
      </c>
      <c r="O13" s="2">
        <v>3</v>
      </c>
      <c r="P13" s="2">
        <v>2</v>
      </c>
      <c r="Q13" s="2">
        <v>17.89</v>
      </c>
      <c r="R13" s="2" t="str" cm="1">
        <f t="array" ref="R13">_xlfn.IFS(Q13&lt;18.5,"Underweight",
AND(Q13&gt;=18.5,Q13&lt;25),"Normal Weight",
AND(Q13&gt;=25,Q13&lt;30),"Overweight",
Q13&gt;=30,"Obesity")</f>
        <v>Underweight</v>
      </c>
      <c r="S13" s="2">
        <f t="shared" si="0"/>
        <v>752.17391304347836</v>
      </c>
      <c r="T13" s="2" t="str" cm="1">
        <f t="array" ref="T13">_xlfn.IFS(N13&lt;=2.5,"Low",N13&lt;=3,"Medium",N13&gt;3,"High")</f>
        <v>High</v>
      </c>
    </row>
    <row r="14" spans="1:20" x14ac:dyDescent="0.3">
      <c r="A14" s="2">
        <v>13</v>
      </c>
      <c r="B14" s="2" t="s">
        <v>23</v>
      </c>
      <c r="C14" s="2">
        <v>57</v>
      </c>
      <c r="D14" s="2" t="s">
        <v>15</v>
      </c>
      <c r="E14" s="2">
        <v>112.5</v>
      </c>
      <c r="F14" s="2">
        <v>1.61</v>
      </c>
      <c r="G14" s="2">
        <v>195</v>
      </c>
      <c r="H14" s="2">
        <v>165</v>
      </c>
      <c r="I14" s="2">
        <v>61</v>
      </c>
      <c r="J14" s="2">
        <v>1.24</v>
      </c>
      <c r="K14" s="2">
        <v>1013</v>
      </c>
      <c r="L14" s="2" t="s">
        <v>19</v>
      </c>
      <c r="M14" s="2">
        <v>22.1</v>
      </c>
      <c r="N14" s="2">
        <v>2.7</v>
      </c>
      <c r="O14" s="2">
        <v>3</v>
      </c>
      <c r="P14" s="2">
        <v>2</v>
      </c>
      <c r="Q14" s="2">
        <v>43.4</v>
      </c>
      <c r="R14" s="2" t="str" cm="1">
        <f t="array" ref="R14">_xlfn.IFS(Q14&lt;18.5,"Underweight",
AND(Q14&gt;=18.5,Q14&lt;25),"Normal Weight",
AND(Q14&gt;=25,Q14&lt;30),"Overweight",
Q14&gt;=30,"Obesity")</f>
        <v>Obesity</v>
      </c>
      <c r="S14" s="2">
        <f t="shared" si="0"/>
        <v>816.9354838709678</v>
      </c>
      <c r="T14" s="2" t="str" cm="1">
        <f t="array" ref="T14">_xlfn.IFS(N14&lt;=2.5,"Low",N14&lt;=3,"Medium",N14&gt;3,"High")</f>
        <v>Medium</v>
      </c>
    </row>
    <row r="15" spans="1:20" x14ac:dyDescent="0.3">
      <c r="A15" s="2">
        <v>14</v>
      </c>
      <c r="B15" s="2" t="s">
        <v>26</v>
      </c>
      <c r="C15" s="2">
        <v>41</v>
      </c>
      <c r="D15" s="2" t="s">
        <v>15</v>
      </c>
      <c r="E15" s="2">
        <v>94.5</v>
      </c>
      <c r="F15" s="2">
        <v>2</v>
      </c>
      <c r="G15" s="2">
        <v>179</v>
      </c>
      <c r="H15" s="2">
        <v>136</v>
      </c>
      <c r="I15" s="2">
        <v>69</v>
      </c>
      <c r="J15" s="2">
        <v>1.18</v>
      </c>
      <c r="K15" s="2">
        <v>794</v>
      </c>
      <c r="L15" s="2" t="s">
        <v>18</v>
      </c>
      <c r="M15" s="2">
        <v>27.6</v>
      </c>
      <c r="N15" s="2">
        <v>3.7</v>
      </c>
      <c r="O15" s="2">
        <v>3</v>
      </c>
      <c r="P15" s="2">
        <v>1</v>
      </c>
      <c r="Q15" s="2">
        <v>23.62</v>
      </c>
      <c r="R15" s="2" t="str" cm="1">
        <f t="array" ref="R15">_xlfn.IFS(Q15&lt;18.5,"Underweight",
AND(Q15&gt;=18.5,Q15&lt;25),"Normal Weight",
AND(Q15&gt;=25,Q15&lt;30),"Overweight",
Q15&gt;=30,"Obesity")</f>
        <v>Normal Weight</v>
      </c>
      <c r="S15" s="2">
        <f t="shared" si="0"/>
        <v>672.88135593220341</v>
      </c>
      <c r="T15" s="2" t="str" cm="1">
        <f t="array" ref="T15">_xlfn.IFS(N15&lt;=2.5,"Low",N15&lt;=3,"Medium",N15&gt;3,"High")</f>
        <v>High</v>
      </c>
    </row>
    <row r="16" spans="1:20" x14ac:dyDescent="0.3">
      <c r="A16" s="2">
        <v>15</v>
      </c>
      <c r="B16" s="2" t="s">
        <v>27</v>
      </c>
      <c r="C16" s="2">
        <v>20</v>
      </c>
      <c r="D16" s="2" t="s">
        <v>15</v>
      </c>
      <c r="E16" s="2">
        <v>117.7</v>
      </c>
      <c r="F16" s="2">
        <v>1.81</v>
      </c>
      <c r="G16" s="2">
        <v>196</v>
      </c>
      <c r="H16" s="2">
        <v>161</v>
      </c>
      <c r="I16" s="2">
        <v>54</v>
      </c>
      <c r="J16" s="2">
        <v>1.35</v>
      </c>
      <c r="K16" s="2">
        <v>1195</v>
      </c>
      <c r="L16" s="2" t="s">
        <v>17</v>
      </c>
      <c r="M16" s="2">
        <v>26.4</v>
      </c>
      <c r="N16" s="2">
        <v>3.3</v>
      </c>
      <c r="O16" s="2">
        <v>3</v>
      </c>
      <c r="P16" s="2">
        <v>2</v>
      </c>
      <c r="Q16" s="2">
        <v>35.93</v>
      </c>
      <c r="R16" s="2" t="str" cm="1">
        <f t="array" ref="R16">_xlfn.IFS(Q16&lt;18.5,"Underweight",
AND(Q16&gt;=18.5,Q16&lt;25),"Normal Weight",
AND(Q16&gt;=25,Q16&lt;30),"Overweight",
Q16&gt;=30,"Obesity")</f>
        <v>Obesity</v>
      </c>
      <c r="S16" s="2">
        <f t="shared" si="0"/>
        <v>885.18518518518511</v>
      </c>
      <c r="T16" s="2" t="str" cm="1">
        <f t="array" ref="T16">_xlfn.IFS(N16&lt;=2.5,"Low",N16&lt;=3,"Medium",N16&gt;3,"High")</f>
        <v>High</v>
      </c>
    </row>
    <row r="17" spans="1:20" x14ac:dyDescent="0.3">
      <c r="A17" s="2">
        <v>16</v>
      </c>
      <c r="B17" s="2" t="s">
        <v>24</v>
      </c>
      <c r="C17" s="2">
        <v>39</v>
      </c>
      <c r="D17" s="2" t="s">
        <v>16</v>
      </c>
      <c r="E17" s="2">
        <v>42.5</v>
      </c>
      <c r="F17" s="2">
        <v>1.75</v>
      </c>
      <c r="G17" s="2">
        <v>181</v>
      </c>
      <c r="H17" s="2">
        <v>131</v>
      </c>
      <c r="I17" s="2">
        <v>52</v>
      </c>
      <c r="J17" s="2">
        <v>1.1299999999999999</v>
      </c>
      <c r="K17" s="2">
        <v>740</v>
      </c>
      <c r="L17" s="2" t="s">
        <v>20</v>
      </c>
      <c r="M17" s="2">
        <v>26.2</v>
      </c>
      <c r="N17" s="2">
        <v>2.1</v>
      </c>
      <c r="O17" s="2">
        <v>2</v>
      </c>
      <c r="P17" s="2">
        <v>1</v>
      </c>
      <c r="Q17" s="2">
        <v>13.88</v>
      </c>
      <c r="R17" s="2" t="str" cm="1">
        <f t="array" ref="R17">_xlfn.IFS(Q17&lt;18.5,"Underweight",
AND(Q17&gt;=18.5,Q17&lt;25),"Normal Weight",
AND(Q17&gt;=25,Q17&lt;30),"Overweight",
Q17&gt;=30,"Obesity")</f>
        <v>Underweight</v>
      </c>
      <c r="S17" s="2">
        <f t="shared" si="0"/>
        <v>654.86725663716823</v>
      </c>
      <c r="T17" s="2" t="str" cm="1">
        <f t="array" ref="T17">_xlfn.IFS(N17&lt;=2.5,"Low",N17&lt;=3,"Medium",N17&gt;3,"High")</f>
        <v>Low</v>
      </c>
    </row>
    <row r="18" spans="1:20" x14ac:dyDescent="0.3">
      <c r="A18" s="2">
        <v>17</v>
      </c>
      <c r="B18" s="2" t="s">
        <v>28</v>
      </c>
      <c r="C18" s="2">
        <v>19</v>
      </c>
      <c r="D18" s="2" t="s">
        <v>16</v>
      </c>
      <c r="E18" s="2">
        <v>64</v>
      </c>
      <c r="F18" s="2">
        <v>1.53</v>
      </c>
      <c r="G18" s="2">
        <v>166</v>
      </c>
      <c r="H18" s="2">
        <v>167</v>
      </c>
      <c r="I18" s="2">
        <v>58</v>
      </c>
      <c r="J18" s="2">
        <v>1.33</v>
      </c>
      <c r="K18" s="2">
        <v>1111</v>
      </c>
      <c r="L18" s="2" t="s">
        <v>18</v>
      </c>
      <c r="M18" s="2">
        <v>29.8</v>
      </c>
      <c r="N18" s="2">
        <v>2.2999999999999998</v>
      </c>
      <c r="O18" s="2">
        <v>3</v>
      </c>
      <c r="P18" s="2">
        <v>2</v>
      </c>
      <c r="Q18" s="2">
        <v>27.34</v>
      </c>
      <c r="R18" s="2" t="str" cm="1">
        <f t="array" ref="R18">_xlfn.IFS(Q18&lt;18.5,"Underweight",
AND(Q18&gt;=18.5,Q18&lt;25),"Normal Weight",
AND(Q18&gt;=25,Q18&lt;30),"Overweight",
Q18&gt;=30,"Obesity")</f>
        <v>Overweight</v>
      </c>
      <c r="S18" s="2">
        <f t="shared" si="0"/>
        <v>835.33834586466162</v>
      </c>
      <c r="T18" s="2" t="str" cm="1">
        <f t="array" ref="T18">_xlfn.IFS(N18&lt;=2.5,"Low",N18&lt;=3,"Medium",N18&gt;3,"High")</f>
        <v>Low</v>
      </c>
    </row>
    <row r="19" spans="1:20" x14ac:dyDescent="0.3">
      <c r="A19" s="2">
        <v>18</v>
      </c>
      <c r="B19" s="2" t="s">
        <v>23</v>
      </c>
      <c r="C19" s="2">
        <v>41</v>
      </c>
      <c r="D19" s="2" t="s">
        <v>16</v>
      </c>
      <c r="E19" s="2">
        <v>43.8</v>
      </c>
      <c r="F19" s="2">
        <v>1.77</v>
      </c>
      <c r="G19" s="2">
        <v>182</v>
      </c>
      <c r="H19" s="2">
        <v>165</v>
      </c>
      <c r="I19" s="2">
        <v>58</v>
      </c>
      <c r="J19" s="2">
        <v>1.19</v>
      </c>
      <c r="K19" s="2">
        <v>884</v>
      </c>
      <c r="L19" s="2" t="s">
        <v>19</v>
      </c>
      <c r="M19" s="2">
        <v>31.9</v>
      </c>
      <c r="N19" s="2">
        <v>1.6</v>
      </c>
      <c r="O19" s="2">
        <v>3</v>
      </c>
      <c r="P19" s="2">
        <v>1</v>
      </c>
      <c r="Q19" s="2">
        <v>13.98</v>
      </c>
      <c r="R19" s="2" t="str" cm="1">
        <f t="array" ref="R19">_xlfn.IFS(Q19&lt;18.5,"Underweight",
AND(Q19&gt;=18.5,Q19&lt;25),"Normal Weight",
AND(Q19&gt;=25,Q19&lt;30),"Overweight",
Q19&gt;=30,"Obesity")</f>
        <v>Underweight</v>
      </c>
      <c r="S19" s="2">
        <f t="shared" si="0"/>
        <v>742.85714285714289</v>
      </c>
      <c r="T19" s="2" t="str" cm="1">
        <f t="array" ref="T19">_xlfn.IFS(N19&lt;=2.5,"Low",N19&lt;=3,"Medium",N19&gt;3,"High")</f>
        <v>Low</v>
      </c>
    </row>
    <row r="20" spans="1:20" x14ac:dyDescent="0.3">
      <c r="A20" s="2">
        <v>19</v>
      </c>
      <c r="B20" s="2" t="s">
        <v>27</v>
      </c>
      <c r="C20" s="2">
        <v>47</v>
      </c>
      <c r="D20" s="2" t="s">
        <v>16</v>
      </c>
      <c r="E20" s="2">
        <v>66.8</v>
      </c>
      <c r="F20" s="2">
        <v>1.75</v>
      </c>
      <c r="G20" s="2">
        <v>199</v>
      </c>
      <c r="H20" s="2">
        <v>146</v>
      </c>
      <c r="I20" s="2">
        <v>56</v>
      </c>
      <c r="J20" s="2">
        <v>1.1299999999999999</v>
      </c>
      <c r="K20" s="2">
        <v>742</v>
      </c>
      <c r="L20" s="2" t="s">
        <v>20</v>
      </c>
      <c r="M20" s="2">
        <v>32.799999999999997</v>
      </c>
      <c r="N20" s="2">
        <v>2.5</v>
      </c>
      <c r="O20" s="2">
        <v>3</v>
      </c>
      <c r="P20" s="2">
        <v>2</v>
      </c>
      <c r="Q20" s="2">
        <v>21.81</v>
      </c>
      <c r="R20" s="2" t="str" cm="1">
        <f t="array" ref="R20">_xlfn.IFS(Q20&lt;18.5,"Underweight",
AND(Q20&gt;=18.5,Q20&lt;25),"Normal Weight",
AND(Q20&gt;=25,Q20&lt;30),"Overweight",
Q20&gt;=30,"Obesity")</f>
        <v>Normal Weight</v>
      </c>
      <c r="S20" s="2">
        <f t="shared" si="0"/>
        <v>656.63716814159295</v>
      </c>
      <c r="T20" s="2" t="str" cm="1">
        <f t="array" ref="T20">_xlfn.IFS(N20&lt;=2.5,"Low",N20&lt;=3,"Medium",N20&gt;3,"High")</f>
        <v>Low</v>
      </c>
    </row>
    <row r="21" spans="1:20" x14ac:dyDescent="0.3">
      <c r="A21" s="2">
        <v>20</v>
      </c>
      <c r="B21" s="2" t="s">
        <v>28</v>
      </c>
      <c r="C21" s="2">
        <v>55</v>
      </c>
      <c r="D21" s="2" t="s">
        <v>16</v>
      </c>
      <c r="E21" s="2">
        <v>75.2</v>
      </c>
      <c r="F21" s="2">
        <v>1.67</v>
      </c>
      <c r="G21" s="2">
        <v>188</v>
      </c>
      <c r="H21" s="2">
        <v>167</v>
      </c>
      <c r="I21" s="2">
        <v>51</v>
      </c>
      <c r="J21" s="2">
        <v>1.37</v>
      </c>
      <c r="K21" s="2">
        <v>1030</v>
      </c>
      <c r="L21" s="2" t="s">
        <v>18</v>
      </c>
      <c r="M21" s="2">
        <v>25.2</v>
      </c>
      <c r="N21" s="2">
        <v>2.2000000000000002</v>
      </c>
      <c r="O21" s="2">
        <v>2</v>
      </c>
      <c r="P21" s="2">
        <v>1</v>
      </c>
      <c r="Q21" s="2">
        <v>26.96</v>
      </c>
      <c r="R21" s="2" t="str" cm="1">
        <f t="array" ref="R21">_xlfn.IFS(Q21&lt;18.5,"Underweight",
AND(Q21&gt;=18.5,Q21&lt;25),"Normal Weight",
AND(Q21&gt;=25,Q21&lt;30),"Overweight",
Q21&gt;=30,"Obesity")</f>
        <v>Overweight</v>
      </c>
      <c r="S21" s="2">
        <f t="shared" si="0"/>
        <v>751.8248175182481</v>
      </c>
      <c r="T21" s="2" t="str" cm="1">
        <f t="array" ref="T21">_xlfn.IFS(N21&lt;=2.5,"Low",N21&lt;=3,"Medium",N21&gt;3,"High")</f>
        <v>Low</v>
      </c>
    </row>
    <row r="22" spans="1:20" x14ac:dyDescent="0.3">
      <c r="A22" s="2">
        <v>21</v>
      </c>
      <c r="B22" s="2" t="s">
        <v>24</v>
      </c>
      <c r="C22" s="2">
        <v>19</v>
      </c>
      <c r="D22" s="2" t="s">
        <v>15</v>
      </c>
      <c r="E22" s="2">
        <v>89</v>
      </c>
      <c r="F22" s="2">
        <v>1.77</v>
      </c>
      <c r="G22" s="2">
        <v>175</v>
      </c>
      <c r="H22" s="2">
        <v>127</v>
      </c>
      <c r="I22" s="2">
        <v>72</v>
      </c>
      <c r="J22" s="2">
        <v>1.5</v>
      </c>
      <c r="K22" s="2">
        <v>1048</v>
      </c>
      <c r="L22" s="2" t="s">
        <v>20</v>
      </c>
      <c r="M22" s="2">
        <v>28.9</v>
      </c>
      <c r="N22" s="2">
        <v>3.7</v>
      </c>
      <c r="O22" s="2">
        <v>4</v>
      </c>
      <c r="P22" s="2">
        <v>2</v>
      </c>
      <c r="Q22" s="2">
        <v>28.41</v>
      </c>
      <c r="R22" s="2" t="str" cm="1">
        <f t="array" ref="R22">_xlfn.IFS(Q22&lt;18.5,"Underweight",
AND(Q22&gt;=18.5,Q22&lt;25),"Normal Weight",
AND(Q22&gt;=25,Q22&lt;30),"Overweight",
Q22&gt;=30,"Obesity")</f>
        <v>Overweight</v>
      </c>
      <c r="S22" s="2">
        <f t="shared" si="0"/>
        <v>698.66666666666663</v>
      </c>
      <c r="T22" s="2" t="str" cm="1">
        <f t="array" ref="T22">_xlfn.IFS(N22&lt;=2.5,"Low",N22&lt;=3,"Medium",N22&gt;3,"High")</f>
        <v>High</v>
      </c>
    </row>
    <row r="23" spans="1:20" x14ac:dyDescent="0.3">
      <c r="A23" s="2">
        <v>22</v>
      </c>
      <c r="B23" s="2" t="s">
        <v>29</v>
      </c>
      <c r="C23" s="2">
        <v>38</v>
      </c>
      <c r="D23" s="2" t="s">
        <v>15</v>
      </c>
      <c r="E23" s="2">
        <v>71.900000000000006</v>
      </c>
      <c r="F23" s="2">
        <v>1.77</v>
      </c>
      <c r="G23" s="2">
        <v>197</v>
      </c>
      <c r="H23" s="2">
        <v>142</v>
      </c>
      <c r="I23" s="2">
        <v>72</v>
      </c>
      <c r="J23" s="2">
        <v>1.1200000000000001</v>
      </c>
      <c r="K23" s="2">
        <v>875</v>
      </c>
      <c r="L23" s="2" t="s">
        <v>19</v>
      </c>
      <c r="M23" s="2">
        <v>25.7</v>
      </c>
      <c r="N23" s="2">
        <v>3.1</v>
      </c>
      <c r="O23" s="2">
        <v>2</v>
      </c>
      <c r="P23" s="2">
        <v>1</v>
      </c>
      <c r="Q23" s="2">
        <v>22.95</v>
      </c>
      <c r="R23" s="2" t="str" cm="1">
        <f t="array" ref="R23">_xlfn.IFS(Q23&lt;18.5,"Underweight",
AND(Q23&gt;=18.5,Q23&lt;25),"Normal Weight",
AND(Q23&gt;=25,Q23&lt;30),"Overweight",
Q23&gt;=30,"Obesity")</f>
        <v>Normal Weight</v>
      </c>
      <c r="S23" s="2">
        <f t="shared" si="0"/>
        <v>781.24999999999989</v>
      </c>
      <c r="T23" s="2" t="str" cm="1">
        <f t="array" ref="T23">_xlfn.IFS(N23&lt;=2.5,"Low",N23&lt;=3,"Medium",N23&gt;3,"High")</f>
        <v>High</v>
      </c>
    </row>
    <row r="24" spans="1:20" x14ac:dyDescent="0.3">
      <c r="A24" s="2">
        <v>23</v>
      </c>
      <c r="B24" s="2" t="s">
        <v>25</v>
      </c>
      <c r="C24" s="2">
        <v>50</v>
      </c>
      <c r="D24" s="2" t="s">
        <v>16</v>
      </c>
      <c r="E24" s="2">
        <v>71</v>
      </c>
      <c r="F24" s="2">
        <v>1.68</v>
      </c>
      <c r="G24" s="2">
        <v>187</v>
      </c>
      <c r="H24" s="2">
        <v>161</v>
      </c>
      <c r="I24" s="2">
        <v>70</v>
      </c>
      <c r="J24" s="2">
        <v>1.17</v>
      </c>
      <c r="K24" s="2">
        <v>848</v>
      </c>
      <c r="L24" s="2" t="s">
        <v>17</v>
      </c>
      <c r="M24" s="2">
        <v>33.1</v>
      </c>
      <c r="N24" s="2">
        <v>2.5</v>
      </c>
      <c r="O24" s="2">
        <v>2</v>
      </c>
      <c r="P24" s="2">
        <v>1</v>
      </c>
      <c r="Q24" s="2">
        <v>25.16</v>
      </c>
      <c r="R24" s="2" t="str" cm="1">
        <f t="array" ref="R24">_xlfn.IFS(Q24&lt;18.5,"Underweight",
AND(Q24&gt;=18.5,Q24&lt;25),"Normal Weight",
AND(Q24&gt;=25,Q24&lt;30),"Overweight",
Q24&gt;=30,"Obesity")</f>
        <v>Overweight</v>
      </c>
      <c r="S24" s="2">
        <f t="shared" si="0"/>
        <v>724.78632478632483</v>
      </c>
      <c r="T24" s="2" t="str" cm="1">
        <f t="array" ref="T24">_xlfn.IFS(N24&lt;=2.5,"Low",N24&lt;=3,"Medium",N24&gt;3,"High")</f>
        <v>Low</v>
      </c>
    </row>
    <row r="25" spans="1:20" x14ac:dyDescent="0.3">
      <c r="A25" s="2">
        <v>24</v>
      </c>
      <c r="B25" s="2" t="s">
        <v>27</v>
      </c>
      <c r="C25" s="2">
        <v>29</v>
      </c>
      <c r="D25" s="2" t="s">
        <v>15</v>
      </c>
      <c r="E25" s="2">
        <v>120.9</v>
      </c>
      <c r="F25" s="2">
        <v>1.78</v>
      </c>
      <c r="G25" s="2">
        <v>197</v>
      </c>
      <c r="H25" s="2">
        <v>168</v>
      </c>
      <c r="I25" s="2">
        <v>65</v>
      </c>
      <c r="J25" s="2">
        <v>0.78</v>
      </c>
      <c r="K25" s="2">
        <v>721</v>
      </c>
      <c r="L25" s="2" t="s">
        <v>17</v>
      </c>
      <c r="M25" s="2">
        <v>28.1</v>
      </c>
      <c r="N25" s="2">
        <v>3.4</v>
      </c>
      <c r="O25" s="2">
        <v>2</v>
      </c>
      <c r="P25" s="2">
        <v>1</v>
      </c>
      <c r="Q25" s="2">
        <v>38.159999999999997</v>
      </c>
      <c r="R25" s="2" t="str" cm="1">
        <f t="array" ref="R25">_xlfn.IFS(Q25&lt;18.5,"Underweight",
AND(Q25&gt;=18.5,Q25&lt;25),"Normal Weight",
AND(Q25&gt;=25,Q25&lt;30),"Overweight",
Q25&gt;=30,"Obesity")</f>
        <v>Obesity</v>
      </c>
      <c r="S25" s="2">
        <f t="shared" si="0"/>
        <v>924.35897435897436</v>
      </c>
      <c r="T25" s="2" t="str" cm="1">
        <f t="array" ref="T25">_xlfn.IFS(N25&lt;=2.5,"Low",N25&lt;=3,"Medium",N25&gt;3,"High")</f>
        <v>High</v>
      </c>
    </row>
    <row r="26" spans="1:20" x14ac:dyDescent="0.3">
      <c r="A26" s="2">
        <v>25</v>
      </c>
      <c r="B26" s="2" t="s">
        <v>30</v>
      </c>
      <c r="C26" s="2">
        <v>39</v>
      </c>
      <c r="D26" s="2" t="s">
        <v>16</v>
      </c>
      <c r="E26" s="2">
        <v>64.3</v>
      </c>
      <c r="F26" s="2">
        <v>1.69</v>
      </c>
      <c r="G26" s="2">
        <v>190</v>
      </c>
      <c r="H26" s="2">
        <v>148</v>
      </c>
      <c r="I26" s="2">
        <v>58</v>
      </c>
      <c r="J26" s="2">
        <v>1.25</v>
      </c>
      <c r="K26" s="2">
        <v>925</v>
      </c>
      <c r="L26" s="2" t="s">
        <v>18</v>
      </c>
      <c r="M26" s="2">
        <v>26.9</v>
      </c>
      <c r="N26" s="2">
        <v>1.9</v>
      </c>
      <c r="O26" s="2">
        <v>4</v>
      </c>
      <c r="P26" s="2">
        <v>2</v>
      </c>
      <c r="Q26" s="2">
        <v>22.51</v>
      </c>
      <c r="R26" s="2" t="str" cm="1">
        <f t="array" ref="R26">_xlfn.IFS(Q26&lt;18.5,"Underweight",
AND(Q26&gt;=18.5,Q26&lt;25),"Normal Weight",
AND(Q26&gt;=25,Q26&lt;30),"Overweight",
Q26&gt;=30,"Obesity")</f>
        <v>Normal Weight</v>
      </c>
      <c r="S26" s="2">
        <f t="shared" si="0"/>
        <v>740</v>
      </c>
      <c r="T26" s="2" t="str" cm="1">
        <f t="array" ref="T26">_xlfn.IFS(N26&lt;=2.5,"Low",N26&lt;=3,"Medium",N26&gt;3,"High")</f>
        <v>Low</v>
      </c>
    </row>
    <row r="27" spans="1:20" x14ac:dyDescent="0.3">
      <c r="A27" s="2">
        <v>26</v>
      </c>
      <c r="B27" s="2" t="s">
        <v>29</v>
      </c>
      <c r="C27" s="2">
        <v>42</v>
      </c>
      <c r="D27" s="2" t="s">
        <v>16</v>
      </c>
      <c r="E27" s="2">
        <v>63.7</v>
      </c>
      <c r="F27" s="2">
        <v>1.71</v>
      </c>
      <c r="G27" s="2">
        <v>173</v>
      </c>
      <c r="H27" s="2">
        <v>169</v>
      </c>
      <c r="I27" s="2">
        <v>62</v>
      </c>
      <c r="J27" s="2">
        <v>1.42</v>
      </c>
      <c r="K27" s="2">
        <v>1080</v>
      </c>
      <c r="L27" s="2" t="s">
        <v>17</v>
      </c>
      <c r="M27" s="2">
        <v>26.1</v>
      </c>
      <c r="N27" s="2">
        <v>1.8</v>
      </c>
      <c r="O27" s="2">
        <v>3</v>
      </c>
      <c r="P27" s="2">
        <v>2</v>
      </c>
      <c r="Q27" s="2">
        <v>21.78</v>
      </c>
      <c r="R27" s="2" t="str" cm="1">
        <f t="array" ref="R27">_xlfn.IFS(Q27&lt;18.5,"Underweight",
AND(Q27&gt;=18.5,Q27&lt;25),"Normal Weight",
AND(Q27&gt;=25,Q27&lt;30),"Overweight",
Q27&gt;=30,"Obesity")</f>
        <v>Normal Weight</v>
      </c>
      <c r="S27" s="2">
        <f t="shared" si="0"/>
        <v>760.56338028169023</v>
      </c>
      <c r="T27" s="2" t="str" cm="1">
        <f t="array" ref="T27">_xlfn.IFS(N27&lt;=2.5,"Low",N27&lt;=3,"Medium",N27&gt;3,"High")</f>
        <v>Low</v>
      </c>
    </row>
    <row r="28" spans="1:20" x14ac:dyDescent="0.3">
      <c r="A28" s="2">
        <v>27</v>
      </c>
      <c r="B28" s="2" t="s">
        <v>25</v>
      </c>
      <c r="C28" s="2">
        <v>44</v>
      </c>
      <c r="D28" s="2" t="s">
        <v>15</v>
      </c>
      <c r="E28" s="2">
        <v>65.2</v>
      </c>
      <c r="F28" s="2">
        <v>1.8</v>
      </c>
      <c r="G28" s="2">
        <v>192</v>
      </c>
      <c r="H28" s="2">
        <v>139</v>
      </c>
      <c r="I28" s="2">
        <v>68</v>
      </c>
      <c r="J28" s="2">
        <v>0.73</v>
      </c>
      <c r="K28" s="2">
        <v>502</v>
      </c>
      <c r="L28" s="2" t="s">
        <v>18</v>
      </c>
      <c r="M28" s="2">
        <v>27.2</v>
      </c>
      <c r="N28" s="2">
        <v>2.7</v>
      </c>
      <c r="O28" s="2">
        <v>2</v>
      </c>
      <c r="P28" s="2">
        <v>1</v>
      </c>
      <c r="Q28" s="2">
        <v>20.12</v>
      </c>
      <c r="R28" s="2" t="str" cm="1">
        <f t="array" ref="R28">_xlfn.IFS(Q28&lt;18.5,"Underweight",
AND(Q28&gt;=18.5,Q28&lt;25),"Normal Weight",
AND(Q28&gt;=25,Q28&lt;30),"Overweight",
Q28&gt;=30,"Obesity")</f>
        <v>Normal Weight</v>
      </c>
      <c r="S28" s="2">
        <f t="shared" si="0"/>
        <v>687.67123287671234</v>
      </c>
      <c r="T28" s="2" t="str" cm="1">
        <f t="array" ref="T28">_xlfn.IFS(N28&lt;=2.5,"Low",N28&lt;=3,"Medium",N28&gt;3,"High")</f>
        <v>Medium</v>
      </c>
    </row>
    <row r="29" spans="1:20" x14ac:dyDescent="0.3">
      <c r="A29" s="2">
        <v>28</v>
      </c>
      <c r="B29" s="2" t="s">
        <v>26</v>
      </c>
      <c r="C29" s="2">
        <v>59</v>
      </c>
      <c r="D29" s="2" t="s">
        <v>15</v>
      </c>
      <c r="E29" s="2">
        <v>53.9</v>
      </c>
      <c r="F29" s="2">
        <v>1.75</v>
      </c>
      <c r="G29" s="2">
        <v>168</v>
      </c>
      <c r="H29" s="2">
        <v>135</v>
      </c>
      <c r="I29" s="2">
        <v>69</v>
      </c>
      <c r="J29" s="2">
        <v>1.48</v>
      </c>
      <c r="K29" s="2">
        <v>989</v>
      </c>
      <c r="L29" s="2" t="s">
        <v>20</v>
      </c>
      <c r="M29" s="2">
        <v>21.6</v>
      </c>
      <c r="N29" s="2">
        <v>2.8</v>
      </c>
      <c r="O29" s="2">
        <v>4</v>
      </c>
      <c r="P29" s="2">
        <v>2</v>
      </c>
      <c r="Q29" s="2">
        <v>17.600000000000001</v>
      </c>
      <c r="R29" s="2" t="str" cm="1">
        <f t="array" ref="R29">_xlfn.IFS(Q29&lt;18.5,"Underweight",
AND(Q29&gt;=18.5,Q29&lt;25),"Normal Weight",
AND(Q29&gt;=25,Q29&lt;30),"Overweight",
Q29&gt;=30,"Obesity")</f>
        <v>Underweight</v>
      </c>
      <c r="S29" s="2">
        <f t="shared" si="0"/>
        <v>668.24324324324323</v>
      </c>
      <c r="T29" s="2" t="str" cm="1">
        <f t="array" ref="T29">_xlfn.IFS(N29&lt;=2.5,"Low",N29&lt;=3,"Medium",N29&gt;3,"High")</f>
        <v>Medium</v>
      </c>
    </row>
    <row r="30" spans="1:20" x14ac:dyDescent="0.3">
      <c r="A30" s="2">
        <v>29</v>
      </c>
      <c r="B30" s="2" t="s">
        <v>21</v>
      </c>
      <c r="C30" s="2">
        <v>45</v>
      </c>
      <c r="D30" s="2" t="s">
        <v>15</v>
      </c>
      <c r="E30" s="2">
        <v>84.9</v>
      </c>
      <c r="F30" s="2">
        <v>1.86</v>
      </c>
      <c r="G30" s="2">
        <v>186</v>
      </c>
      <c r="H30" s="2">
        <v>136</v>
      </c>
      <c r="I30" s="2">
        <v>66</v>
      </c>
      <c r="J30" s="2">
        <v>1.64</v>
      </c>
      <c r="K30" s="2">
        <v>1104</v>
      </c>
      <c r="L30" s="2" t="s">
        <v>18</v>
      </c>
      <c r="M30" s="2">
        <v>14.2</v>
      </c>
      <c r="N30" s="2">
        <v>3.5</v>
      </c>
      <c r="O30" s="2">
        <v>5</v>
      </c>
      <c r="P30" s="2">
        <v>3</v>
      </c>
      <c r="Q30" s="2">
        <v>24.54</v>
      </c>
      <c r="R30" s="2" t="str" cm="1">
        <f t="array" ref="R30">_xlfn.IFS(Q30&lt;18.5,"Underweight",
AND(Q30&gt;=18.5,Q30&lt;25),"Normal Weight",
AND(Q30&gt;=25,Q30&lt;30),"Overweight",
Q30&gt;=30,"Obesity")</f>
        <v>Normal Weight</v>
      </c>
      <c r="S30" s="2">
        <f t="shared" si="0"/>
        <v>673.17073170731715</v>
      </c>
      <c r="T30" s="2" t="str" cm="1">
        <f t="array" ref="T30">_xlfn.IFS(N30&lt;=2.5,"Low",N30&lt;=3,"Medium",N30&gt;3,"High")</f>
        <v>High</v>
      </c>
    </row>
    <row r="31" spans="1:20" x14ac:dyDescent="0.3">
      <c r="A31" s="2">
        <v>30</v>
      </c>
      <c r="B31" s="2" t="s">
        <v>22</v>
      </c>
      <c r="C31" s="2">
        <v>33</v>
      </c>
      <c r="D31" s="2" t="s">
        <v>16</v>
      </c>
      <c r="E31" s="2">
        <v>78</v>
      </c>
      <c r="F31" s="2">
        <v>1.68</v>
      </c>
      <c r="G31" s="2">
        <v>183</v>
      </c>
      <c r="H31" s="2">
        <v>135</v>
      </c>
      <c r="I31" s="2">
        <v>55</v>
      </c>
      <c r="J31" s="2">
        <v>1.29</v>
      </c>
      <c r="K31" s="2">
        <v>871</v>
      </c>
      <c r="L31" s="2" t="s">
        <v>18</v>
      </c>
      <c r="M31" s="2">
        <v>32.299999999999997</v>
      </c>
      <c r="N31" s="2">
        <v>1.8</v>
      </c>
      <c r="O31" s="2">
        <v>3</v>
      </c>
      <c r="P31" s="2">
        <v>2</v>
      </c>
      <c r="Q31" s="2">
        <v>27.64</v>
      </c>
      <c r="R31" s="2" t="str" cm="1">
        <f t="array" ref="R31">_xlfn.IFS(Q31&lt;18.5,"Underweight",
AND(Q31&gt;=18.5,Q31&lt;25),"Normal Weight",
AND(Q31&gt;=25,Q31&lt;30),"Overweight",
Q31&gt;=30,"Obesity")</f>
        <v>Overweight</v>
      </c>
      <c r="S31" s="2">
        <f t="shared" si="0"/>
        <v>675.19379844961236</v>
      </c>
      <c r="T31" s="2" t="str" cm="1">
        <f t="array" ref="T31">_xlfn.IFS(N31&lt;=2.5,"Low",N31&lt;=3,"Medium",N31&gt;3,"High")</f>
        <v>Low</v>
      </c>
    </row>
    <row r="32" spans="1:20" x14ac:dyDescent="0.3">
      <c r="A32" s="2">
        <v>31</v>
      </c>
      <c r="B32" s="2" t="s">
        <v>30</v>
      </c>
      <c r="C32" s="2">
        <v>32</v>
      </c>
      <c r="D32" s="2" t="s">
        <v>15</v>
      </c>
      <c r="E32" s="2">
        <v>108.2</v>
      </c>
      <c r="F32" s="2">
        <v>1.8</v>
      </c>
      <c r="G32" s="2">
        <v>172</v>
      </c>
      <c r="H32" s="2">
        <v>138</v>
      </c>
      <c r="I32" s="2">
        <v>53</v>
      </c>
      <c r="J32" s="2">
        <v>1.27</v>
      </c>
      <c r="K32" s="2">
        <v>964</v>
      </c>
      <c r="L32" s="2" t="s">
        <v>18</v>
      </c>
      <c r="M32" s="2">
        <v>28.4</v>
      </c>
      <c r="N32" s="2">
        <v>3.5</v>
      </c>
      <c r="O32" s="2">
        <v>3</v>
      </c>
      <c r="P32" s="2">
        <v>1</v>
      </c>
      <c r="Q32" s="2">
        <v>33.4</v>
      </c>
      <c r="R32" s="2" t="str" cm="1">
        <f t="array" ref="R32">_xlfn.IFS(Q32&lt;18.5,"Underweight",
AND(Q32&gt;=18.5,Q32&lt;25),"Normal Weight",
AND(Q32&gt;=25,Q32&lt;30),"Overweight",
Q32&gt;=30,"Obesity")</f>
        <v>Obesity</v>
      </c>
      <c r="S32" s="2">
        <f t="shared" si="0"/>
        <v>759.05511811023621</v>
      </c>
      <c r="T32" s="2" t="str" cm="1">
        <f t="array" ref="T32">_xlfn.IFS(N32&lt;=2.5,"Low",N32&lt;=3,"Medium",N32&gt;3,"High")</f>
        <v>High</v>
      </c>
    </row>
    <row r="33" spans="1:20" x14ac:dyDescent="0.3">
      <c r="A33" s="2">
        <v>32</v>
      </c>
      <c r="B33" s="2" t="s">
        <v>26</v>
      </c>
      <c r="C33" s="2">
        <v>20</v>
      </c>
      <c r="D33" s="2" t="s">
        <v>16</v>
      </c>
      <c r="E33" s="2">
        <v>65.400000000000006</v>
      </c>
      <c r="F33" s="2">
        <v>1.52</v>
      </c>
      <c r="G33" s="2">
        <v>185</v>
      </c>
      <c r="H33" s="2">
        <v>127</v>
      </c>
      <c r="I33" s="2">
        <v>50</v>
      </c>
      <c r="J33" s="2">
        <v>1.03</v>
      </c>
      <c r="K33" s="2">
        <v>654</v>
      </c>
      <c r="L33" s="2" t="s">
        <v>17</v>
      </c>
      <c r="M33" s="2">
        <v>28</v>
      </c>
      <c r="N33" s="2">
        <v>2.2000000000000002</v>
      </c>
      <c r="O33" s="2">
        <v>4</v>
      </c>
      <c r="P33" s="2">
        <v>2</v>
      </c>
      <c r="Q33" s="2">
        <v>28.31</v>
      </c>
      <c r="R33" s="2" t="str" cm="1">
        <f t="array" ref="R33">_xlfn.IFS(Q33&lt;18.5,"Underweight",
AND(Q33&gt;=18.5,Q33&lt;25),"Normal Weight",
AND(Q33&gt;=25,Q33&lt;30),"Overweight",
Q33&gt;=30,"Obesity")</f>
        <v>Overweight</v>
      </c>
      <c r="S33" s="2">
        <f t="shared" si="0"/>
        <v>634.95145631067965</v>
      </c>
      <c r="T33" s="2" t="str" cm="1">
        <f t="array" ref="T33">_xlfn.IFS(N33&lt;=2.5,"Low",N33&lt;=3,"Medium",N33&gt;3,"High")</f>
        <v>Low</v>
      </c>
    </row>
    <row r="34" spans="1:20" x14ac:dyDescent="0.3">
      <c r="A34" s="2">
        <v>33</v>
      </c>
      <c r="B34" s="2" t="s">
        <v>24</v>
      </c>
      <c r="C34" s="2">
        <v>54</v>
      </c>
      <c r="D34" s="2" t="s">
        <v>16</v>
      </c>
      <c r="E34" s="2">
        <v>50.2</v>
      </c>
      <c r="F34" s="2">
        <v>1.61</v>
      </c>
      <c r="G34" s="2">
        <v>188</v>
      </c>
      <c r="H34" s="2">
        <v>157</v>
      </c>
      <c r="I34" s="2">
        <v>67</v>
      </c>
      <c r="J34" s="2">
        <v>1.48</v>
      </c>
      <c r="K34" s="2">
        <v>1046</v>
      </c>
      <c r="L34" s="2" t="s">
        <v>18</v>
      </c>
      <c r="M34" s="2">
        <v>28.2</v>
      </c>
      <c r="N34" s="2">
        <v>2.7</v>
      </c>
      <c r="O34" s="2">
        <v>2</v>
      </c>
      <c r="P34" s="2">
        <v>1</v>
      </c>
      <c r="Q34" s="2">
        <v>19.37</v>
      </c>
      <c r="R34" s="2" t="str" cm="1">
        <f t="array" ref="R34">_xlfn.IFS(Q34&lt;18.5,"Underweight",
AND(Q34&gt;=18.5,Q34&lt;25),"Normal Weight",
AND(Q34&gt;=25,Q34&lt;30),"Overweight",
Q34&gt;=30,"Obesity")</f>
        <v>Normal Weight</v>
      </c>
      <c r="S34" s="2">
        <f t="shared" si="0"/>
        <v>706.75675675675677</v>
      </c>
      <c r="T34" s="2" t="str" cm="1">
        <f t="array" ref="T34">_xlfn.IFS(N34&lt;=2.5,"Low",N34&lt;=3,"Medium",N34&gt;3,"High")</f>
        <v>Medium</v>
      </c>
    </row>
    <row r="35" spans="1:20" x14ac:dyDescent="0.3">
      <c r="A35" s="2">
        <v>34</v>
      </c>
      <c r="B35" s="2" t="s">
        <v>26</v>
      </c>
      <c r="C35" s="2">
        <v>24</v>
      </c>
      <c r="D35" s="2" t="s">
        <v>16</v>
      </c>
      <c r="E35" s="2">
        <v>58.9</v>
      </c>
      <c r="F35" s="2">
        <v>1.51</v>
      </c>
      <c r="G35" s="2">
        <v>187</v>
      </c>
      <c r="H35" s="2">
        <v>157</v>
      </c>
      <c r="I35" s="2">
        <v>68</v>
      </c>
      <c r="J35" s="2">
        <v>1.04</v>
      </c>
      <c r="K35" s="2">
        <v>816</v>
      </c>
      <c r="L35" s="2" t="s">
        <v>19</v>
      </c>
      <c r="M35" s="2">
        <v>31.7</v>
      </c>
      <c r="N35" s="2">
        <v>2.5</v>
      </c>
      <c r="O35" s="2">
        <v>2</v>
      </c>
      <c r="P35" s="2">
        <v>1</v>
      </c>
      <c r="Q35" s="2">
        <v>25.83</v>
      </c>
      <c r="R35" s="2" t="str" cm="1">
        <f t="array" ref="R35">_xlfn.IFS(Q35&lt;18.5,"Underweight",
AND(Q35&gt;=18.5,Q35&lt;25),"Normal Weight",
AND(Q35&gt;=25,Q35&lt;30),"Overweight",
Q35&gt;=30,"Obesity")</f>
        <v>Overweight</v>
      </c>
      <c r="S35" s="2">
        <f t="shared" si="0"/>
        <v>784.61538461538464</v>
      </c>
      <c r="T35" s="2" t="str" cm="1">
        <f t="array" ref="T35">_xlfn.IFS(N35&lt;=2.5,"Low",N35&lt;=3,"Medium",N35&gt;3,"High")</f>
        <v>Low</v>
      </c>
    </row>
    <row r="36" spans="1:20" x14ac:dyDescent="0.3">
      <c r="A36" s="2">
        <v>35</v>
      </c>
      <c r="B36" s="2" t="s">
        <v>21</v>
      </c>
      <c r="C36" s="2">
        <v>38</v>
      </c>
      <c r="D36" s="2" t="s">
        <v>15</v>
      </c>
      <c r="E36" s="2">
        <v>81.400000000000006</v>
      </c>
      <c r="F36" s="2">
        <v>1.71</v>
      </c>
      <c r="G36" s="2">
        <v>187</v>
      </c>
      <c r="H36" s="2">
        <v>148</v>
      </c>
      <c r="I36" s="2">
        <v>58</v>
      </c>
      <c r="J36" s="2">
        <v>1.52</v>
      </c>
      <c r="K36" s="2">
        <v>1237</v>
      </c>
      <c r="L36" s="2" t="s">
        <v>18</v>
      </c>
      <c r="M36" s="2">
        <v>10.199999999999999</v>
      </c>
      <c r="N36" s="2">
        <v>3.5</v>
      </c>
      <c r="O36" s="2">
        <v>5</v>
      </c>
      <c r="P36" s="2">
        <v>3</v>
      </c>
      <c r="Q36" s="2">
        <v>27.84</v>
      </c>
      <c r="R36" s="2" t="str" cm="1">
        <f t="array" ref="R36">_xlfn.IFS(Q36&lt;18.5,"Underweight",
AND(Q36&gt;=18.5,Q36&lt;25),"Normal Weight",
AND(Q36&gt;=25,Q36&lt;30),"Overweight",
Q36&gt;=30,"Obesity")</f>
        <v>Overweight</v>
      </c>
      <c r="S36" s="2">
        <f t="shared" si="0"/>
        <v>813.81578947368416</v>
      </c>
      <c r="T36" s="2" t="str" cm="1">
        <f t="array" ref="T36">_xlfn.IFS(N36&lt;=2.5,"Low",N36&lt;=3,"Medium",N36&gt;3,"High")</f>
        <v>High</v>
      </c>
    </row>
    <row r="37" spans="1:20" x14ac:dyDescent="0.3">
      <c r="A37" s="2">
        <v>36</v>
      </c>
      <c r="B37" s="2" t="s">
        <v>24</v>
      </c>
      <c r="C37" s="2">
        <v>26</v>
      </c>
      <c r="D37" s="2" t="s">
        <v>15</v>
      </c>
      <c r="E37" s="2">
        <v>127.6</v>
      </c>
      <c r="F37" s="2">
        <v>1.73</v>
      </c>
      <c r="G37" s="2">
        <v>167</v>
      </c>
      <c r="H37" s="2">
        <v>160</v>
      </c>
      <c r="I37" s="2">
        <v>62</v>
      </c>
      <c r="J37" s="2">
        <v>1.32</v>
      </c>
      <c r="K37" s="2">
        <v>1162</v>
      </c>
      <c r="L37" s="2" t="s">
        <v>20</v>
      </c>
      <c r="M37" s="2">
        <v>27.3</v>
      </c>
      <c r="N37" s="2">
        <v>2.9</v>
      </c>
      <c r="O37" s="2">
        <v>3</v>
      </c>
      <c r="P37" s="2">
        <v>1</v>
      </c>
      <c r="Q37" s="2">
        <v>42.63</v>
      </c>
      <c r="R37" s="2" t="str" cm="1">
        <f t="array" ref="R37">_xlfn.IFS(Q37&lt;18.5,"Underweight",
AND(Q37&gt;=18.5,Q37&lt;25),"Normal Weight",
AND(Q37&gt;=25,Q37&lt;30),"Overweight",
Q37&gt;=30,"Obesity")</f>
        <v>Obesity</v>
      </c>
      <c r="S37" s="2">
        <f t="shared" si="0"/>
        <v>880.30303030303025</v>
      </c>
      <c r="T37" s="2" t="str" cm="1">
        <f t="array" ref="T37">_xlfn.IFS(N37&lt;=2.5,"Low",N37&lt;=3,"Medium",N37&gt;3,"High")</f>
        <v>Medium</v>
      </c>
    </row>
    <row r="38" spans="1:20" x14ac:dyDescent="0.3">
      <c r="A38" s="2">
        <v>37</v>
      </c>
      <c r="B38" s="2" t="s">
        <v>30</v>
      </c>
      <c r="C38" s="2">
        <v>56</v>
      </c>
      <c r="D38" s="2" t="s">
        <v>16</v>
      </c>
      <c r="E38" s="2">
        <v>59.3</v>
      </c>
      <c r="F38" s="2">
        <v>1.56</v>
      </c>
      <c r="G38" s="2">
        <v>182</v>
      </c>
      <c r="H38" s="2">
        <v>155</v>
      </c>
      <c r="I38" s="2">
        <v>57</v>
      </c>
      <c r="J38" s="2">
        <v>1.26</v>
      </c>
      <c r="K38" s="2">
        <v>879</v>
      </c>
      <c r="L38" s="2" t="s">
        <v>19</v>
      </c>
      <c r="M38" s="2">
        <v>33.4</v>
      </c>
      <c r="N38" s="2">
        <v>2.6</v>
      </c>
      <c r="O38" s="2">
        <v>4</v>
      </c>
      <c r="P38" s="2">
        <v>2</v>
      </c>
      <c r="Q38" s="2">
        <v>24.37</v>
      </c>
      <c r="R38" s="2" t="str" cm="1">
        <f t="array" ref="R38">_xlfn.IFS(Q38&lt;18.5,"Underweight",
AND(Q38&gt;=18.5,Q38&lt;25),"Normal Weight",
AND(Q38&gt;=25,Q38&lt;30),"Overweight",
Q38&gt;=30,"Obesity")</f>
        <v>Normal Weight</v>
      </c>
      <c r="S38" s="2">
        <f t="shared" si="0"/>
        <v>697.61904761904759</v>
      </c>
      <c r="T38" s="2" t="str" cm="1">
        <f t="array" ref="T38">_xlfn.IFS(N38&lt;=2.5,"Low",N38&lt;=3,"Medium",N38&gt;3,"High")</f>
        <v>Medium</v>
      </c>
    </row>
    <row r="39" spans="1:20" x14ac:dyDescent="0.3">
      <c r="A39" s="2">
        <v>38</v>
      </c>
      <c r="B39" s="2" t="s">
        <v>21</v>
      </c>
      <c r="C39" s="2">
        <v>35</v>
      </c>
      <c r="D39" s="2" t="s">
        <v>15</v>
      </c>
      <c r="E39" s="2">
        <v>96.9</v>
      </c>
      <c r="F39" s="2">
        <v>1.71</v>
      </c>
      <c r="G39" s="2">
        <v>188</v>
      </c>
      <c r="H39" s="2">
        <v>145</v>
      </c>
      <c r="I39" s="2">
        <v>72</v>
      </c>
      <c r="J39" s="2">
        <v>1.34</v>
      </c>
      <c r="K39" s="2">
        <v>1069</v>
      </c>
      <c r="L39" s="2" t="s">
        <v>20</v>
      </c>
      <c r="M39" s="2">
        <v>24.2</v>
      </c>
      <c r="N39" s="2">
        <v>2.9</v>
      </c>
      <c r="O39" s="2">
        <v>3</v>
      </c>
      <c r="P39" s="2">
        <v>2</v>
      </c>
      <c r="Q39" s="2">
        <v>33.14</v>
      </c>
      <c r="R39" s="2" t="str" cm="1">
        <f t="array" ref="R39">_xlfn.IFS(Q39&lt;18.5,"Underweight",
AND(Q39&gt;=18.5,Q39&lt;25),"Normal Weight",
AND(Q39&gt;=25,Q39&lt;30),"Overweight",
Q39&gt;=30,"Obesity")</f>
        <v>Obesity</v>
      </c>
      <c r="S39" s="2">
        <f t="shared" si="0"/>
        <v>797.76119402985069</v>
      </c>
      <c r="T39" s="2" t="str" cm="1">
        <f t="array" ref="T39">_xlfn.IFS(N39&lt;=2.5,"Low",N39&lt;=3,"Medium",N39&gt;3,"High")</f>
        <v>Medium</v>
      </c>
    </row>
    <row r="40" spans="1:20" x14ac:dyDescent="0.3">
      <c r="A40" s="2">
        <v>39</v>
      </c>
      <c r="B40" s="2" t="s">
        <v>28</v>
      </c>
      <c r="C40" s="2">
        <v>21</v>
      </c>
      <c r="D40" s="2" t="s">
        <v>15</v>
      </c>
      <c r="E40" s="2">
        <v>62.6</v>
      </c>
      <c r="F40" s="2">
        <v>1.81</v>
      </c>
      <c r="G40" s="2">
        <v>164</v>
      </c>
      <c r="H40" s="2">
        <v>150</v>
      </c>
      <c r="I40" s="2">
        <v>62</v>
      </c>
      <c r="J40" s="2">
        <v>1.3</v>
      </c>
      <c r="K40" s="2">
        <v>1072</v>
      </c>
      <c r="L40" s="2" t="s">
        <v>20</v>
      </c>
      <c r="M40" s="2">
        <v>27.6</v>
      </c>
      <c r="N40" s="2">
        <v>3.5</v>
      </c>
      <c r="O40" s="2">
        <v>4</v>
      </c>
      <c r="P40" s="2">
        <v>2</v>
      </c>
      <c r="Q40" s="2">
        <v>19.11</v>
      </c>
      <c r="R40" s="2" t="str" cm="1">
        <f t="array" ref="R40">_xlfn.IFS(Q40&lt;18.5,"Underweight",
AND(Q40&gt;=18.5,Q40&lt;25),"Normal Weight",
AND(Q40&gt;=25,Q40&lt;30),"Overweight",
Q40&gt;=30,"Obesity")</f>
        <v>Normal Weight</v>
      </c>
      <c r="S40" s="2">
        <f t="shared" si="0"/>
        <v>824.61538461538464</v>
      </c>
      <c r="T40" s="2" t="str" cm="1">
        <f t="array" ref="T40">_xlfn.IFS(N40&lt;=2.5,"Low",N40&lt;=3,"Medium",N40&gt;3,"High")</f>
        <v>High</v>
      </c>
    </row>
    <row r="41" spans="1:20" x14ac:dyDescent="0.3">
      <c r="A41" s="2">
        <v>40</v>
      </c>
      <c r="B41" s="2" t="s">
        <v>22</v>
      </c>
      <c r="C41" s="2">
        <v>42</v>
      </c>
      <c r="D41" s="2" t="s">
        <v>15</v>
      </c>
      <c r="E41" s="2">
        <v>45.5</v>
      </c>
      <c r="F41" s="2">
        <v>1.6</v>
      </c>
      <c r="G41" s="2">
        <v>166</v>
      </c>
      <c r="H41" s="2">
        <v>163</v>
      </c>
      <c r="I41" s="2">
        <v>64</v>
      </c>
      <c r="J41" s="2">
        <v>1.31</v>
      </c>
      <c r="K41" s="2">
        <v>1057</v>
      </c>
      <c r="L41" s="2" t="s">
        <v>20</v>
      </c>
      <c r="M41" s="2">
        <v>21.7</v>
      </c>
      <c r="N41" s="2">
        <v>2.6</v>
      </c>
      <c r="O41" s="2">
        <v>3</v>
      </c>
      <c r="P41" s="2">
        <v>2</v>
      </c>
      <c r="Q41" s="2">
        <v>17.77</v>
      </c>
      <c r="R41" s="2" t="str" cm="1">
        <f t="array" ref="R41">_xlfn.IFS(Q41&lt;18.5,"Underweight",
AND(Q41&gt;=18.5,Q41&lt;25),"Normal Weight",
AND(Q41&gt;=25,Q41&lt;30),"Overweight",
Q41&gt;=30,"Obesity")</f>
        <v>Underweight</v>
      </c>
      <c r="S41" s="2">
        <f t="shared" si="0"/>
        <v>806.87022900763361</v>
      </c>
      <c r="T41" s="2" t="str" cm="1">
        <f t="array" ref="T41">_xlfn.IFS(N41&lt;=2.5,"Low",N41&lt;=3,"Medium",N41&gt;3,"High")</f>
        <v>Medium</v>
      </c>
    </row>
    <row r="42" spans="1:20" x14ac:dyDescent="0.3">
      <c r="A42" s="2">
        <v>41</v>
      </c>
      <c r="B42" s="2" t="s">
        <v>30</v>
      </c>
      <c r="C42" s="2">
        <v>31</v>
      </c>
      <c r="D42" s="2" t="s">
        <v>16</v>
      </c>
      <c r="E42" s="2">
        <v>48.8</v>
      </c>
      <c r="F42" s="2">
        <v>1.51</v>
      </c>
      <c r="G42" s="2">
        <v>195</v>
      </c>
      <c r="H42" s="2">
        <v>131</v>
      </c>
      <c r="I42" s="2">
        <v>60</v>
      </c>
      <c r="J42" s="2">
        <v>1.48</v>
      </c>
      <c r="K42" s="2">
        <v>969</v>
      </c>
      <c r="L42" s="2" t="s">
        <v>19</v>
      </c>
      <c r="M42" s="2">
        <v>28.2</v>
      </c>
      <c r="N42" s="2">
        <v>2</v>
      </c>
      <c r="O42" s="2">
        <v>2</v>
      </c>
      <c r="P42" s="2">
        <v>1</v>
      </c>
      <c r="Q42" s="2">
        <v>21.4</v>
      </c>
      <c r="R42" s="2" t="str" cm="1">
        <f t="array" ref="R42">_xlfn.IFS(Q42&lt;18.5,"Underweight",
AND(Q42&gt;=18.5,Q42&lt;25),"Normal Weight",
AND(Q42&gt;=25,Q42&lt;30),"Overweight",
Q42&gt;=30,"Obesity")</f>
        <v>Normal Weight</v>
      </c>
      <c r="S42" s="2">
        <f t="shared" si="0"/>
        <v>654.72972972972968</v>
      </c>
      <c r="T42" s="2" t="str" cm="1">
        <f t="array" ref="T42">_xlfn.IFS(N42&lt;=2.5,"Low",N42&lt;=3,"Medium",N42&gt;3,"High")</f>
        <v>Low</v>
      </c>
    </row>
    <row r="43" spans="1:20" x14ac:dyDescent="0.3">
      <c r="A43" s="2">
        <v>42</v>
      </c>
      <c r="B43" s="2" t="s">
        <v>28</v>
      </c>
      <c r="C43" s="2">
        <v>26</v>
      </c>
      <c r="D43" s="2" t="s">
        <v>16</v>
      </c>
      <c r="E43" s="2">
        <v>44.3</v>
      </c>
      <c r="F43" s="2">
        <v>1.6</v>
      </c>
      <c r="G43" s="2">
        <v>186</v>
      </c>
      <c r="H43" s="2">
        <v>136</v>
      </c>
      <c r="I43" s="2">
        <v>61</v>
      </c>
      <c r="J43" s="2">
        <v>1.08</v>
      </c>
      <c r="K43" s="2">
        <v>734</v>
      </c>
      <c r="L43" s="2" t="s">
        <v>19</v>
      </c>
      <c r="M43" s="2">
        <v>34.700000000000003</v>
      </c>
      <c r="N43" s="2">
        <v>2</v>
      </c>
      <c r="O43" s="2">
        <v>3</v>
      </c>
      <c r="P43" s="2">
        <v>1</v>
      </c>
      <c r="Q43" s="2">
        <v>17.3</v>
      </c>
      <c r="R43" s="2" t="str" cm="1">
        <f t="array" ref="R43">_xlfn.IFS(Q43&lt;18.5,"Underweight",
AND(Q43&gt;=18.5,Q43&lt;25),"Normal Weight",
AND(Q43&gt;=25,Q43&lt;30),"Overweight",
Q43&gt;=30,"Obesity")</f>
        <v>Underweight</v>
      </c>
      <c r="S43" s="2">
        <f t="shared" si="0"/>
        <v>679.62962962962956</v>
      </c>
      <c r="T43" s="2" t="str" cm="1">
        <f t="array" ref="T43">_xlfn.IFS(N43&lt;=2.5,"Low",N43&lt;=3,"Medium",N43&gt;3,"High")</f>
        <v>Low</v>
      </c>
    </row>
    <row r="44" spans="1:20" x14ac:dyDescent="0.3">
      <c r="A44" s="2">
        <v>43</v>
      </c>
      <c r="B44" s="2" t="s">
        <v>25</v>
      </c>
      <c r="C44" s="2">
        <v>43</v>
      </c>
      <c r="D44" s="2" t="s">
        <v>15</v>
      </c>
      <c r="E44" s="2">
        <v>113.2</v>
      </c>
      <c r="F44" s="2">
        <v>1.83</v>
      </c>
      <c r="G44" s="2">
        <v>161</v>
      </c>
      <c r="H44" s="2">
        <v>134</v>
      </c>
      <c r="I44" s="2">
        <v>63</v>
      </c>
      <c r="J44" s="2">
        <v>1.45</v>
      </c>
      <c r="K44" s="2">
        <v>962</v>
      </c>
      <c r="L44" s="2" t="s">
        <v>17</v>
      </c>
      <c r="M44" s="2">
        <v>29.9</v>
      </c>
      <c r="N44" s="2">
        <v>2.9</v>
      </c>
      <c r="O44" s="2">
        <v>4</v>
      </c>
      <c r="P44" s="2">
        <v>2</v>
      </c>
      <c r="Q44" s="2">
        <v>33.799999999999997</v>
      </c>
      <c r="R44" s="2" t="str" cm="1">
        <f t="array" ref="R44">_xlfn.IFS(Q44&lt;18.5,"Underweight",
AND(Q44&gt;=18.5,Q44&lt;25),"Normal Weight",
AND(Q44&gt;=25,Q44&lt;30),"Overweight",
Q44&gt;=30,"Obesity")</f>
        <v>Obesity</v>
      </c>
      <c r="S44" s="2">
        <f t="shared" si="0"/>
        <v>663.44827586206895</v>
      </c>
      <c r="T44" s="2" t="str" cm="1">
        <f t="array" ref="T44">_xlfn.IFS(N44&lt;=2.5,"Low",N44&lt;=3,"Medium",N44&gt;3,"High")</f>
        <v>Medium</v>
      </c>
    </row>
    <row r="45" spans="1:20" x14ac:dyDescent="0.3">
      <c r="A45" s="2">
        <v>44</v>
      </c>
      <c r="B45" s="2" t="s">
        <v>30</v>
      </c>
      <c r="C45" s="2">
        <v>19</v>
      </c>
      <c r="D45" s="2" t="s">
        <v>16</v>
      </c>
      <c r="E45" s="2">
        <v>60.5</v>
      </c>
      <c r="F45" s="2">
        <v>1.59</v>
      </c>
      <c r="G45" s="2">
        <v>184</v>
      </c>
      <c r="H45" s="2">
        <v>128</v>
      </c>
      <c r="I45" s="2">
        <v>53</v>
      </c>
      <c r="J45" s="2">
        <v>1.1399999999999999</v>
      </c>
      <c r="K45" s="2">
        <v>730</v>
      </c>
      <c r="L45" s="2" t="s">
        <v>19</v>
      </c>
      <c r="M45" s="2">
        <v>30.1</v>
      </c>
      <c r="N45" s="2">
        <v>2.2000000000000002</v>
      </c>
      <c r="O45" s="2">
        <v>2</v>
      </c>
      <c r="P45" s="2">
        <v>1</v>
      </c>
      <c r="Q45" s="2">
        <v>23.93</v>
      </c>
      <c r="R45" s="2" t="str" cm="1">
        <f t="array" ref="R45">_xlfn.IFS(Q45&lt;18.5,"Underweight",
AND(Q45&gt;=18.5,Q45&lt;25),"Normal Weight",
AND(Q45&gt;=25,Q45&lt;30),"Overweight",
Q45&gt;=30,"Obesity")</f>
        <v>Normal Weight</v>
      </c>
      <c r="S45" s="2">
        <f t="shared" si="0"/>
        <v>640.35087719298247</v>
      </c>
      <c r="T45" s="2" t="str" cm="1">
        <f t="array" ref="T45">_xlfn.IFS(N45&lt;=2.5,"Low",N45&lt;=3,"Medium",N45&gt;3,"High")</f>
        <v>Low</v>
      </c>
    </row>
    <row r="46" spans="1:20" x14ac:dyDescent="0.3">
      <c r="A46" s="2">
        <v>45</v>
      </c>
      <c r="B46" s="2" t="s">
        <v>25</v>
      </c>
      <c r="C46" s="2">
        <v>37</v>
      </c>
      <c r="D46" s="2" t="s">
        <v>15</v>
      </c>
      <c r="E46" s="2">
        <v>124.2</v>
      </c>
      <c r="F46" s="2">
        <v>1.76</v>
      </c>
      <c r="G46" s="2">
        <v>168</v>
      </c>
      <c r="H46" s="2">
        <v>158</v>
      </c>
      <c r="I46" s="2">
        <v>50</v>
      </c>
      <c r="J46" s="2">
        <v>1.5</v>
      </c>
      <c r="K46" s="2">
        <v>1304</v>
      </c>
      <c r="L46" s="2" t="s">
        <v>18</v>
      </c>
      <c r="M46" s="2">
        <v>29.3</v>
      </c>
      <c r="N46" s="2">
        <v>2.8</v>
      </c>
      <c r="O46" s="2">
        <v>2</v>
      </c>
      <c r="P46" s="2">
        <v>1</v>
      </c>
      <c r="Q46" s="2">
        <v>40.1</v>
      </c>
      <c r="R46" s="2" t="str" cm="1">
        <f t="array" ref="R46">_xlfn.IFS(Q46&lt;18.5,"Underweight",
AND(Q46&gt;=18.5,Q46&lt;25),"Normal Weight",
AND(Q46&gt;=25,Q46&lt;30),"Overweight",
Q46&gt;=30,"Obesity")</f>
        <v>Obesity</v>
      </c>
      <c r="S46" s="2">
        <f t="shared" si="0"/>
        <v>869.33333333333337</v>
      </c>
      <c r="T46" s="2" t="str" cm="1">
        <f t="array" ref="T46">_xlfn.IFS(N46&lt;=2.5,"Low",N46&lt;=3,"Medium",N46&gt;3,"High")</f>
        <v>Medium</v>
      </c>
    </row>
    <row r="47" spans="1:20" x14ac:dyDescent="0.3">
      <c r="A47" s="2">
        <v>46</v>
      </c>
      <c r="B47" s="2" t="s">
        <v>24</v>
      </c>
      <c r="C47" s="2">
        <v>45</v>
      </c>
      <c r="D47" s="2" t="s">
        <v>15</v>
      </c>
      <c r="E47" s="2">
        <v>52.4</v>
      </c>
      <c r="F47" s="2">
        <v>1.85</v>
      </c>
      <c r="G47" s="2">
        <v>186</v>
      </c>
      <c r="H47" s="2">
        <v>161</v>
      </c>
      <c r="I47" s="2">
        <v>73</v>
      </c>
      <c r="J47" s="2">
        <v>1.2</v>
      </c>
      <c r="K47" s="2">
        <v>956</v>
      </c>
      <c r="L47" s="2" t="s">
        <v>20</v>
      </c>
      <c r="M47" s="2">
        <v>25.2</v>
      </c>
      <c r="N47" s="2">
        <v>2.5</v>
      </c>
      <c r="O47" s="2">
        <v>3</v>
      </c>
      <c r="P47" s="2">
        <v>1</v>
      </c>
      <c r="Q47" s="2">
        <v>15.31</v>
      </c>
      <c r="R47" s="2" t="str" cm="1">
        <f t="array" ref="R47">_xlfn.IFS(Q47&lt;18.5,"Underweight",
AND(Q47&gt;=18.5,Q47&lt;25),"Normal Weight",
AND(Q47&gt;=25,Q47&lt;30),"Overweight",
Q47&gt;=30,"Obesity")</f>
        <v>Underweight</v>
      </c>
      <c r="S47" s="2">
        <f t="shared" si="0"/>
        <v>796.66666666666674</v>
      </c>
      <c r="T47" s="2" t="str" cm="1">
        <f t="array" ref="T47">_xlfn.IFS(N47&lt;=2.5,"Low",N47&lt;=3,"Medium",N47&gt;3,"High")</f>
        <v>Low</v>
      </c>
    </row>
    <row r="48" spans="1:20" x14ac:dyDescent="0.3">
      <c r="A48" s="2">
        <v>47</v>
      </c>
      <c r="B48" s="2" t="s">
        <v>28</v>
      </c>
      <c r="C48" s="2">
        <v>24</v>
      </c>
      <c r="D48" s="2" t="s">
        <v>15</v>
      </c>
      <c r="E48" s="2">
        <v>54.7</v>
      </c>
      <c r="F48" s="2">
        <v>1.74</v>
      </c>
      <c r="G48" s="2">
        <v>160</v>
      </c>
      <c r="H48" s="2">
        <v>167</v>
      </c>
      <c r="I48" s="2">
        <v>53</v>
      </c>
      <c r="J48" s="2">
        <v>0.84</v>
      </c>
      <c r="K48" s="2">
        <v>772</v>
      </c>
      <c r="L48" s="2" t="s">
        <v>17</v>
      </c>
      <c r="M48" s="2">
        <v>22.9</v>
      </c>
      <c r="N48" s="2">
        <v>3.6</v>
      </c>
      <c r="O48" s="2">
        <v>3</v>
      </c>
      <c r="P48" s="2">
        <v>1</v>
      </c>
      <c r="Q48" s="2">
        <v>18.07</v>
      </c>
      <c r="R48" s="2" t="str" cm="1">
        <f t="array" ref="R48">_xlfn.IFS(Q48&lt;18.5,"Underweight",
AND(Q48&gt;=18.5,Q48&lt;25),"Normal Weight",
AND(Q48&gt;=25,Q48&lt;30),"Overweight",
Q48&gt;=30,"Obesity")</f>
        <v>Underweight</v>
      </c>
      <c r="S48" s="2">
        <f t="shared" si="0"/>
        <v>919.04761904761904</v>
      </c>
      <c r="T48" s="2" t="str" cm="1">
        <f t="array" ref="T48">_xlfn.IFS(N48&lt;=2.5,"Low",N48&lt;=3,"Medium",N48&gt;3,"High")</f>
        <v>High</v>
      </c>
    </row>
    <row r="49" spans="1:20" x14ac:dyDescent="0.3">
      <c r="A49" s="2">
        <v>48</v>
      </c>
      <c r="B49" s="2" t="s">
        <v>22</v>
      </c>
      <c r="C49" s="2">
        <v>25</v>
      </c>
      <c r="D49" s="2" t="s">
        <v>15</v>
      </c>
      <c r="E49" s="2">
        <v>88.1</v>
      </c>
      <c r="F49" s="2">
        <v>1.95</v>
      </c>
      <c r="G49" s="2">
        <v>182</v>
      </c>
      <c r="H49" s="2">
        <v>131</v>
      </c>
      <c r="I49" s="2">
        <v>68</v>
      </c>
      <c r="J49" s="2">
        <v>1.41</v>
      </c>
      <c r="K49" s="2">
        <v>1016</v>
      </c>
      <c r="L49" s="2" t="s">
        <v>19</v>
      </c>
      <c r="M49" s="2">
        <v>22.7</v>
      </c>
      <c r="N49" s="2">
        <v>3</v>
      </c>
      <c r="O49" s="2">
        <v>2</v>
      </c>
      <c r="P49" s="2">
        <v>1</v>
      </c>
      <c r="Q49" s="2">
        <v>23.17</v>
      </c>
      <c r="R49" s="2" t="str" cm="1">
        <f t="array" ref="R49">_xlfn.IFS(Q49&lt;18.5,"Underweight",
AND(Q49&gt;=18.5,Q49&lt;25),"Normal Weight",
AND(Q49&gt;=25,Q49&lt;30),"Overweight",
Q49&gt;=30,"Obesity")</f>
        <v>Normal Weight</v>
      </c>
      <c r="S49" s="2">
        <f t="shared" si="0"/>
        <v>720.56737588652481</v>
      </c>
      <c r="T49" s="2" t="str" cm="1">
        <f t="array" ref="T49">_xlfn.IFS(N49&lt;=2.5,"Low",N49&lt;=3,"Medium",N49&gt;3,"High")</f>
        <v>Medium</v>
      </c>
    </row>
    <row r="50" spans="1:20" x14ac:dyDescent="0.3">
      <c r="A50" s="2">
        <v>49</v>
      </c>
      <c r="B50" s="2" t="s">
        <v>21</v>
      </c>
      <c r="C50" s="2">
        <v>52</v>
      </c>
      <c r="D50" s="2" t="s">
        <v>16</v>
      </c>
      <c r="E50" s="2">
        <v>59.7</v>
      </c>
      <c r="F50" s="2">
        <v>1.71</v>
      </c>
      <c r="G50" s="2">
        <v>169</v>
      </c>
      <c r="H50" s="2">
        <v>151</v>
      </c>
      <c r="I50" s="2">
        <v>58</v>
      </c>
      <c r="J50" s="2">
        <v>1.23</v>
      </c>
      <c r="K50" s="2">
        <v>836</v>
      </c>
      <c r="L50" s="2" t="s">
        <v>20</v>
      </c>
      <c r="M50" s="2">
        <v>34.299999999999997</v>
      </c>
      <c r="N50" s="2">
        <v>2</v>
      </c>
      <c r="O50" s="2">
        <v>3</v>
      </c>
      <c r="P50" s="2">
        <v>1</v>
      </c>
      <c r="Q50" s="2">
        <v>20.420000000000002</v>
      </c>
      <c r="R50" s="2" t="str" cm="1">
        <f t="array" ref="R50">_xlfn.IFS(Q50&lt;18.5,"Underweight",
AND(Q50&gt;=18.5,Q50&lt;25),"Normal Weight",
AND(Q50&gt;=25,Q50&lt;30),"Overweight",
Q50&gt;=30,"Obesity")</f>
        <v>Normal Weight</v>
      </c>
      <c r="S50" s="2">
        <f t="shared" si="0"/>
        <v>679.67479674796743</v>
      </c>
      <c r="T50" s="2" t="str" cm="1">
        <f t="array" ref="T50">_xlfn.IFS(N50&lt;=2.5,"Low",N50&lt;=3,"Medium",N50&gt;3,"High")</f>
        <v>Low</v>
      </c>
    </row>
    <row r="51" spans="1:20" x14ac:dyDescent="0.3">
      <c r="A51" s="2">
        <v>50</v>
      </c>
      <c r="B51" s="2" t="s">
        <v>23</v>
      </c>
      <c r="C51" s="2">
        <v>31</v>
      </c>
      <c r="D51" s="2" t="s">
        <v>16</v>
      </c>
      <c r="E51" s="2">
        <v>79.7</v>
      </c>
      <c r="F51" s="2">
        <v>1.54</v>
      </c>
      <c r="G51" s="2">
        <v>184</v>
      </c>
      <c r="H51" s="2">
        <v>144</v>
      </c>
      <c r="I51" s="2">
        <v>59</v>
      </c>
      <c r="J51" s="2">
        <v>1.03</v>
      </c>
      <c r="K51" s="2">
        <v>742</v>
      </c>
      <c r="L51" s="2" t="s">
        <v>19</v>
      </c>
      <c r="M51" s="2">
        <v>26.7</v>
      </c>
      <c r="N51" s="2">
        <v>2.2999999999999998</v>
      </c>
      <c r="O51" s="2">
        <v>4</v>
      </c>
      <c r="P51" s="2">
        <v>2</v>
      </c>
      <c r="Q51" s="2">
        <v>33.61</v>
      </c>
      <c r="R51" s="2" t="str" cm="1">
        <f t="array" ref="R51">_xlfn.IFS(Q51&lt;18.5,"Underweight",
AND(Q51&gt;=18.5,Q51&lt;25),"Normal Weight",
AND(Q51&gt;=25,Q51&lt;30),"Overweight",
Q51&gt;=30,"Obesity")</f>
        <v>Obesity</v>
      </c>
      <c r="S51" s="2">
        <f t="shared" si="0"/>
        <v>720.38834951456306</v>
      </c>
      <c r="T51" s="2" t="str" cm="1">
        <f t="array" ref="T51">_xlfn.IFS(N51&lt;=2.5,"Low",N51&lt;=3,"Medium",N51&gt;3,"High")</f>
        <v>Low</v>
      </c>
    </row>
    <row r="52" spans="1:20" x14ac:dyDescent="0.3">
      <c r="A52" s="2">
        <v>51</v>
      </c>
      <c r="B52" s="2" t="s">
        <v>26</v>
      </c>
      <c r="C52" s="2">
        <v>34</v>
      </c>
      <c r="D52" s="2" t="s">
        <v>16</v>
      </c>
      <c r="E52" s="2">
        <v>51</v>
      </c>
      <c r="F52" s="2">
        <v>1.62</v>
      </c>
      <c r="G52" s="2">
        <v>162</v>
      </c>
      <c r="H52" s="2">
        <v>158</v>
      </c>
      <c r="I52" s="2">
        <v>53</v>
      </c>
      <c r="J52" s="2">
        <v>1.42</v>
      </c>
      <c r="K52" s="2">
        <v>1122</v>
      </c>
      <c r="L52" s="2" t="s">
        <v>17</v>
      </c>
      <c r="M52" s="2">
        <v>30.8</v>
      </c>
      <c r="N52" s="2">
        <v>2.4</v>
      </c>
      <c r="O52" s="2">
        <v>3</v>
      </c>
      <c r="P52" s="2">
        <v>2</v>
      </c>
      <c r="Q52" s="2">
        <v>19.43</v>
      </c>
      <c r="R52" s="2" t="str" cm="1">
        <f t="array" ref="R52">_xlfn.IFS(Q52&lt;18.5,"Underweight",
AND(Q52&gt;=18.5,Q52&lt;25),"Normal Weight",
AND(Q52&gt;=25,Q52&lt;30),"Overweight",
Q52&gt;=30,"Obesity")</f>
        <v>Normal Weight</v>
      </c>
      <c r="S52" s="2">
        <f t="shared" si="0"/>
        <v>790.14084507042253</v>
      </c>
      <c r="T52" s="2" t="str" cm="1">
        <f t="array" ref="T52">_xlfn.IFS(N52&lt;=2.5,"Low",N52&lt;=3,"Medium",N52&gt;3,"High")</f>
        <v>Low</v>
      </c>
    </row>
    <row r="53" spans="1:20" x14ac:dyDescent="0.3">
      <c r="A53" s="2">
        <v>52</v>
      </c>
      <c r="B53" s="2" t="s">
        <v>29</v>
      </c>
      <c r="C53" s="2">
        <v>53</v>
      </c>
      <c r="D53" s="2" t="s">
        <v>15</v>
      </c>
      <c r="E53" s="2">
        <v>84.2</v>
      </c>
      <c r="F53" s="2">
        <v>1.76</v>
      </c>
      <c r="G53" s="2">
        <v>165</v>
      </c>
      <c r="H53" s="2">
        <v>137</v>
      </c>
      <c r="I53" s="2">
        <v>69</v>
      </c>
      <c r="J53" s="2">
        <v>1.67</v>
      </c>
      <c r="K53" s="2">
        <v>1133</v>
      </c>
      <c r="L53" s="2" t="s">
        <v>19</v>
      </c>
      <c r="M53" s="2">
        <v>12.8</v>
      </c>
      <c r="N53" s="2">
        <v>3.5</v>
      </c>
      <c r="O53" s="2">
        <v>5</v>
      </c>
      <c r="P53" s="2">
        <v>3</v>
      </c>
      <c r="Q53" s="2">
        <v>27.18</v>
      </c>
      <c r="R53" s="2" t="str" cm="1">
        <f t="array" ref="R53">_xlfn.IFS(Q53&lt;18.5,"Underweight",
AND(Q53&gt;=18.5,Q53&lt;25),"Normal Weight",
AND(Q53&gt;=25,Q53&lt;30),"Overweight",
Q53&gt;=30,"Obesity")</f>
        <v>Overweight</v>
      </c>
      <c r="S53" s="2">
        <f t="shared" si="0"/>
        <v>678.44311377245515</v>
      </c>
      <c r="T53" s="2" t="str" cm="1">
        <f t="array" ref="T53">_xlfn.IFS(N53&lt;=2.5,"Low",N53&lt;=3,"Medium",N53&gt;3,"High")</f>
        <v>High</v>
      </c>
    </row>
    <row r="54" spans="1:20" x14ac:dyDescent="0.3">
      <c r="A54" s="2">
        <v>53</v>
      </c>
      <c r="B54" s="2" t="s">
        <v>22</v>
      </c>
      <c r="C54" s="2">
        <v>57</v>
      </c>
      <c r="D54" s="2" t="s">
        <v>15</v>
      </c>
      <c r="E54" s="2">
        <v>122.1</v>
      </c>
      <c r="F54" s="2">
        <v>1.89</v>
      </c>
      <c r="G54" s="2">
        <v>165</v>
      </c>
      <c r="H54" s="2">
        <v>134</v>
      </c>
      <c r="I54" s="2">
        <v>58</v>
      </c>
      <c r="J54" s="2">
        <v>1.1299999999999999</v>
      </c>
      <c r="K54" s="2">
        <v>750</v>
      </c>
      <c r="L54" s="2" t="s">
        <v>19</v>
      </c>
      <c r="M54" s="2">
        <v>27.4</v>
      </c>
      <c r="N54" s="2">
        <v>3.6</v>
      </c>
      <c r="O54" s="2">
        <v>3</v>
      </c>
      <c r="P54" s="2">
        <v>1</v>
      </c>
      <c r="Q54" s="2">
        <v>34.18</v>
      </c>
      <c r="R54" s="2" t="str" cm="1">
        <f t="array" ref="R54">_xlfn.IFS(Q54&lt;18.5,"Underweight",
AND(Q54&gt;=18.5,Q54&lt;25),"Normal Weight",
AND(Q54&gt;=25,Q54&lt;30),"Overweight",
Q54&gt;=30,"Obesity")</f>
        <v>Obesity</v>
      </c>
      <c r="S54" s="2">
        <f t="shared" si="0"/>
        <v>663.71681415929208</v>
      </c>
      <c r="T54" s="2" t="str" cm="1">
        <f t="array" ref="T54">_xlfn.IFS(N54&lt;=2.5,"Low",N54&lt;=3,"Medium",N54&gt;3,"High")</f>
        <v>High</v>
      </c>
    </row>
    <row r="55" spans="1:20" x14ac:dyDescent="0.3">
      <c r="A55" s="2">
        <v>54</v>
      </c>
      <c r="B55" s="2" t="s">
        <v>28</v>
      </c>
      <c r="C55" s="2">
        <v>21</v>
      </c>
      <c r="D55" s="2" t="s">
        <v>15</v>
      </c>
      <c r="E55" s="2">
        <v>96.7</v>
      </c>
      <c r="F55" s="2">
        <v>1.72</v>
      </c>
      <c r="G55" s="2">
        <v>161</v>
      </c>
      <c r="H55" s="2">
        <v>151</v>
      </c>
      <c r="I55" s="2">
        <v>62</v>
      </c>
      <c r="J55" s="2">
        <v>1.26</v>
      </c>
      <c r="K55" s="2">
        <v>1046</v>
      </c>
      <c r="L55" s="2" t="s">
        <v>20</v>
      </c>
      <c r="M55" s="2">
        <v>25</v>
      </c>
      <c r="N55" s="2">
        <v>2.8</v>
      </c>
      <c r="O55" s="2">
        <v>3</v>
      </c>
      <c r="P55" s="2">
        <v>1</v>
      </c>
      <c r="Q55" s="2">
        <v>32.69</v>
      </c>
      <c r="R55" s="2" t="str" cm="1">
        <f t="array" ref="R55">_xlfn.IFS(Q55&lt;18.5,"Underweight",
AND(Q55&gt;=18.5,Q55&lt;25),"Normal Weight",
AND(Q55&gt;=25,Q55&lt;30),"Overweight",
Q55&gt;=30,"Obesity")</f>
        <v>Obesity</v>
      </c>
      <c r="S55" s="2">
        <f t="shared" si="0"/>
        <v>830.15873015873012</v>
      </c>
      <c r="T55" s="2" t="str" cm="1">
        <f t="array" ref="T55">_xlfn.IFS(N55&lt;=2.5,"Low",N55&lt;=3,"Medium",N55&gt;3,"High")</f>
        <v>Medium</v>
      </c>
    </row>
    <row r="56" spans="1:20" x14ac:dyDescent="0.3">
      <c r="A56" s="2">
        <v>55</v>
      </c>
      <c r="B56" s="2" t="s">
        <v>23</v>
      </c>
      <c r="C56" s="2">
        <v>19</v>
      </c>
      <c r="D56" s="2" t="s">
        <v>16</v>
      </c>
      <c r="E56" s="2">
        <v>73</v>
      </c>
      <c r="F56" s="2">
        <v>1.79</v>
      </c>
      <c r="G56" s="2">
        <v>177</v>
      </c>
      <c r="H56" s="2">
        <v>125</v>
      </c>
      <c r="I56" s="2">
        <v>61</v>
      </c>
      <c r="J56" s="2">
        <v>0.81</v>
      </c>
      <c r="K56" s="2">
        <v>506</v>
      </c>
      <c r="L56" s="2" t="s">
        <v>18</v>
      </c>
      <c r="M56" s="2">
        <v>27.7</v>
      </c>
      <c r="N56" s="2">
        <v>1.6</v>
      </c>
      <c r="O56" s="2">
        <v>3</v>
      </c>
      <c r="P56" s="2">
        <v>1</v>
      </c>
      <c r="Q56" s="2">
        <v>22.78</v>
      </c>
      <c r="R56" s="2" t="str" cm="1">
        <f t="array" ref="R56">_xlfn.IFS(Q56&lt;18.5,"Underweight",
AND(Q56&gt;=18.5,Q56&lt;25),"Normal Weight",
AND(Q56&gt;=25,Q56&lt;30),"Overweight",
Q56&gt;=30,"Obesity")</f>
        <v>Normal Weight</v>
      </c>
      <c r="S56" s="2">
        <f t="shared" si="0"/>
        <v>624.69135802469134</v>
      </c>
      <c r="T56" s="2" t="str" cm="1">
        <f t="array" ref="T56">_xlfn.IFS(N56&lt;=2.5,"Low",N56&lt;=3,"Medium",N56&gt;3,"High")</f>
        <v>Low</v>
      </c>
    </row>
    <row r="57" spans="1:20" x14ac:dyDescent="0.3">
      <c r="A57" s="2">
        <v>56</v>
      </c>
      <c r="B57" s="2" t="s">
        <v>22</v>
      </c>
      <c r="C57" s="2">
        <v>23</v>
      </c>
      <c r="D57" s="2" t="s">
        <v>15</v>
      </c>
      <c r="E57" s="2">
        <v>114.8</v>
      </c>
      <c r="F57" s="2">
        <v>1.6</v>
      </c>
      <c r="G57" s="2">
        <v>182</v>
      </c>
      <c r="H57" s="2">
        <v>163</v>
      </c>
      <c r="I57" s="2">
        <v>60</v>
      </c>
      <c r="J57" s="2">
        <v>1.47</v>
      </c>
      <c r="K57" s="2">
        <v>1318</v>
      </c>
      <c r="L57" s="2" t="s">
        <v>19</v>
      </c>
      <c r="M57" s="2">
        <v>21.7</v>
      </c>
      <c r="N57" s="2">
        <v>2.7</v>
      </c>
      <c r="O57" s="2">
        <v>4</v>
      </c>
      <c r="P57" s="2">
        <v>2</v>
      </c>
      <c r="Q57" s="2">
        <v>44.84</v>
      </c>
      <c r="R57" s="2" t="str" cm="1">
        <f t="array" ref="R57">_xlfn.IFS(Q57&lt;18.5,"Underweight",
AND(Q57&gt;=18.5,Q57&lt;25),"Normal Weight",
AND(Q57&gt;=25,Q57&lt;30),"Overweight",
Q57&gt;=30,"Obesity")</f>
        <v>Obesity</v>
      </c>
      <c r="S57" s="2">
        <f t="shared" si="0"/>
        <v>896.59863945578229</v>
      </c>
      <c r="T57" s="2" t="str" cm="1">
        <f t="array" ref="T57">_xlfn.IFS(N57&lt;=2.5,"Low",N57&lt;=3,"Medium",N57&gt;3,"High")</f>
        <v>Medium</v>
      </c>
    </row>
    <row r="58" spans="1:20" x14ac:dyDescent="0.3">
      <c r="A58" s="2">
        <v>57</v>
      </c>
      <c r="B58" s="2" t="s">
        <v>28</v>
      </c>
      <c r="C58" s="2">
        <v>59</v>
      </c>
      <c r="D58" s="2" t="s">
        <v>16</v>
      </c>
      <c r="E58" s="2">
        <v>65.5</v>
      </c>
      <c r="F58" s="2">
        <v>1.52</v>
      </c>
      <c r="G58" s="2">
        <v>161</v>
      </c>
      <c r="H58" s="2">
        <v>162</v>
      </c>
      <c r="I58" s="2">
        <v>61</v>
      </c>
      <c r="J58" s="2">
        <v>1.4</v>
      </c>
      <c r="K58" s="2">
        <v>1021</v>
      </c>
      <c r="L58" s="2" t="s">
        <v>17</v>
      </c>
      <c r="M58" s="2">
        <v>31.2</v>
      </c>
      <c r="N58" s="2">
        <v>2.1</v>
      </c>
      <c r="O58" s="2">
        <v>3</v>
      </c>
      <c r="P58" s="2">
        <v>2</v>
      </c>
      <c r="Q58" s="2">
        <v>28.35</v>
      </c>
      <c r="R58" s="2" t="str" cm="1">
        <f t="array" ref="R58">_xlfn.IFS(Q58&lt;18.5,"Underweight",
AND(Q58&gt;=18.5,Q58&lt;25),"Normal Weight",
AND(Q58&gt;=25,Q58&lt;30),"Overweight",
Q58&gt;=30,"Obesity")</f>
        <v>Overweight</v>
      </c>
      <c r="S58" s="2">
        <f t="shared" si="0"/>
        <v>729.28571428571433</v>
      </c>
      <c r="T58" s="2" t="str" cm="1">
        <f t="array" ref="T58">_xlfn.IFS(N58&lt;=2.5,"Low",N58&lt;=3,"Medium",N58&gt;3,"High")</f>
        <v>Low</v>
      </c>
    </row>
    <row r="59" spans="1:20" x14ac:dyDescent="0.3">
      <c r="A59" s="2">
        <v>58</v>
      </c>
      <c r="B59" s="2" t="s">
        <v>27</v>
      </c>
      <c r="C59" s="2">
        <v>21</v>
      </c>
      <c r="D59" s="2" t="s">
        <v>16</v>
      </c>
      <c r="E59" s="2">
        <v>50.3</v>
      </c>
      <c r="F59" s="2">
        <v>1.52</v>
      </c>
      <c r="G59" s="2">
        <v>171</v>
      </c>
      <c r="H59" s="2">
        <v>154</v>
      </c>
      <c r="I59" s="2">
        <v>67</v>
      </c>
      <c r="J59" s="2">
        <v>1.08</v>
      </c>
      <c r="K59" s="2">
        <v>832</v>
      </c>
      <c r="L59" s="2" t="s">
        <v>19</v>
      </c>
      <c r="M59" s="2">
        <v>32.200000000000003</v>
      </c>
      <c r="N59" s="2">
        <v>2.6</v>
      </c>
      <c r="O59" s="2">
        <v>3</v>
      </c>
      <c r="P59" s="2">
        <v>1</v>
      </c>
      <c r="Q59" s="2">
        <v>21.77</v>
      </c>
      <c r="R59" s="2" t="str" cm="1">
        <f t="array" ref="R59">_xlfn.IFS(Q59&lt;18.5,"Underweight",
AND(Q59&gt;=18.5,Q59&lt;25),"Normal Weight",
AND(Q59&gt;=25,Q59&lt;30),"Overweight",
Q59&gt;=30,"Obesity")</f>
        <v>Normal Weight</v>
      </c>
      <c r="S59" s="2">
        <f t="shared" si="0"/>
        <v>770.37037037037032</v>
      </c>
      <c r="T59" s="2" t="str" cm="1">
        <f t="array" ref="T59">_xlfn.IFS(N59&lt;=2.5,"Low",N59&lt;=3,"Medium",N59&gt;3,"High")</f>
        <v>Medium</v>
      </c>
    </row>
    <row r="60" spans="1:20" x14ac:dyDescent="0.3">
      <c r="A60" s="2">
        <v>59</v>
      </c>
      <c r="B60" s="2" t="s">
        <v>27</v>
      </c>
      <c r="C60" s="2">
        <v>46</v>
      </c>
      <c r="D60" s="2" t="s">
        <v>16</v>
      </c>
      <c r="E60" s="2">
        <v>61</v>
      </c>
      <c r="F60" s="2">
        <v>1.71</v>
      </c>
      <c r="G60" s="2">
        <v>181</v>
      </c>
      <c r="H60" s="2">
        <v>153</v>
      </c>
      <c r="I60" s="2">
        <v>61</v>
      </c>
      <c r="J60" s="2">
        <v>1.67</v>
      </c>
      <c r="K60" s="2">
        <v>1150</v>
      </c>
      <c r="L60" s="2" t="s">
        <v>19</v>
      </c>
      <c r="M60" s="2">
        <v>17.8</v>
      </c>
      <c r="N60" s="2">
        <v>2.7</v>
      </c>
      <c r="O60" s="2">
        <v>4</v>
      </c>
      <c r="P60" s="2">
        <v>3</v>
      </c>
      <c r="Q60" s="2">
        <v>20.86</v>
      </c>
      <c r="R60" s="2" t="str" cm="1">
        <f t="array" ref="R60">_xlfn.IFS(Q60&lt;18.5,"Underweight",
AND(Q60&gt;=18.5,Q60&lt;25),"Normal Weight",
AND(Q60&gt;=25,Q60&lt;30),"Overweight",
Q60&gt;=30,"Obesity")</f>
        <v>Normal Weight</v>
      </c>
      <c r="S60" s="2">
        <f t="shared" si="0"/>
        <v>688.62275449101799</v>
      </c>
      <c r="T60" s="2" t="str" cm="1">
        <f t="array" ref="T60">_xlfn.IFS(N60&lt;=2.5,"Low",N60&lt;=3,"Medium",N60&gt;3,"High")</f>
        <v>Medium</v>
      </c>
    </row>
    <row r="61" spans="1:20" x14ac:dyDescent="0.3">
      <c r="A61" s="2">
        <v>60</v>
      </c>
      <c r="B61" s="2" t="s">
        <v>25</v>
      </c>
      <c r="C61" s="2">
        <v>35</v>
      </c>
      <c r="D61" s="2" t="s">
        <v>16</v>
      </c>
      <c r="E61" s="2">
        <v>44.6</v>
      </c>
      <c r="F61" s="2">
        <v>1.62</v>
      </c>
      <c r="G61" s="2">
        <v>196</v>
      </c>
      <c r="H61" s="2">
        <v>157</v>
      </c>
      <c r="I61" s="2">
        <v>65</v>
      </c>
      <c r="J61" s="2">
        <v>0.56000000000000005</v>
      </c>
      <c r="K61" s="2">
        <v>440</v>
      </c>
      <c r="L61" s="2" t="s">
        <v>18</v>
      </c>
      <c r="M61" s="2">
        <v>32.4</v>
      </c>
      <c r="N61" s="2">
        <v>2</v>
      </c>
      <c r="O61" s="2">
        <v>2</v>
      </c>
      <c r="P61" s="2">
        <v>1</v>
      </c>
      <c r="Q61" s="2">
        <v>16.989999999999998</v>
      </c>
      <c r="R61" s="2" t="str" cm="1">
        <f t="array" ref="R61">_xlfn.IFS(Q61&lt;18.5,"Underweight",
AND(Q61&gt;=18.5,Q61&lt;25),"Normal Weight",
AND(Q61&gt;=25,Q61&lt;30),"Overweight",
Q61&gt;=30,"Obesity")</f>
        <v>Underweight</v>
      </c>
      <c r="S61" s="2">
        <f t="shared" si="0"/>
        <v>785.71428571428567</v>
      </c>
      <c r="T61" s="2" t="str" cm="1">
        <f t="array" ref="T61">_xlfn.IFS(N61&lt;=2.5,"Low",N61&lt;=3,"Medium",N61&gt;3,"High")</f>
        <v>Low</v>
      </c>
    </row>
    <row r="62" spans="1:20" x14ac:dyDescent="0.3">
      <c r="A62" s="2">
        <v>61</v>
      </c>
      <c r="B62" s="2" t="s">
        <v>22</v>
      </c>
      <c r="C62" s="2">
        <v>43</v>
      </c>
      <c r="D62" s="2" t="s">
        <v>16</v>
      </c>
      <c r="E62" s="2">
        <v>58.2</v>
      </c>
      <c r="F62" s="2">
        <v>1.61</v>
      </c>
      <c r="G62" s="2">
        <v>179</v>
      </c>
      <c r="H62" s="2">
        <v>124</v>
      </c>
      <c r="I62" s="2">
        <v>54</v>
      </c>
      <c r="J62" s="2">
        <v>1.04</v>
      </c>
      <c r="K62" s="2">
        <v>580</v>
      </c>
      <c r="L62" s="2" t="s">
        <v>20</v>
      </c>
      <c r="M62" s="2">
        <v>26.4</v>
      </c>
      <c r="N62" s="2">
        <v>2.6</v>
      </c>
      <c r="O62" s="2">
        <v>3</v>
      </c>
      <c r="P62" s="2">
        <v>2</v>
      </c>
      <c r="Q62" s="2">
        <v>22.45</v>
      </c>
      <c r="R62" s="2" t="str" cm="1">
        <f t="array" ref="R62">_xlfn.IFS(Q62&lt;18.5,"Underweight",
AND(Q62&gt;=18.5,Q62&lt;25),"Normal Weight",
AND(Q62&gt;=25,Q62&lt;30),"Overweight",
Q62&gt;=30,"Obesity")</f>
        <v>Normal Weight</v>
      </c>
      <c r="S62" s="2">
        <f t="shared" si="0"/>
        <v>557.69230769230762</v>
      </c>
      <c r="T62" s="2" t="str" cm="1">
        <f t="array" ref="T62">_xlfn.IFS(N62&lt;=2.5,"Low",N62&lt;=3,"Medium",N62&gt;3,"High")</f>
        <v>Medium</v>
      </c>
    </row>
    <row r="63" spans="1:20" x14ac:dyDescent="0.3">
      <c r="A63" s="2">
        <v>62</v>
      </c>
      <c r="B63" s="2" t="s">
        <v>27</v>
      </c>
      <c r="C63" s="2">
        <v>51</v>
      </c>
      <c r="D63" s="2" t="s">
        <v>16</v>
      </c>
      <c r="E63" s="2">
        <v>44.8</v>
      </c>
      <c r="F63" s="2">
        <v>1.63</v>
      </c>
      <c r="G63" s="2">
        <v>198</v>
      </c>
      <c r="H63" s="2">
        <v>137</v>
      </c>
      <c r="I63" s="2">
        <v>69</v>
      </c>
      <c r="J63" s="2">
        <v>1.08</v>
      </c>
      <c r="K63" s="2">
        <v>666</v>
      </c>
      <c r="L63" s="2" t="s">
        <v>17</v>
      </c>
      <c r="M63" s="2">
        <v>33.799999999999997</v>
      </c>
      <c r="N63" s="2">
        <v>2.1</v>
      </c>
      <c r="O63" s="2">
        <v>4</v>
      </c>
      <c r="P63" s="2">
        <v>2</v>
      </c>
      <c r="Q63" s="2">
        <v>16.86</v>
      </c>
      <c r="R63" s="2" t="str" cm="1">
        <f t="array" ref="R63">_xlfn.IFS(Q63&lt;18.5,"Underweight",
AND(Q63&gt;=18.5,Q63&lt;25),"Normal Weight",
AND(Q63&gt;=25,Q63&lt;30),"Overweight",
Q63&gt;=30,"Obesity")</f>
        <v>Underweight</v>
      </c>
      <c r="S63" s="2">
        <f t="shared" si="0"/>
        <v>616.66666666666663</v>
      </c>
      <c r="T63" s="2" t="str" cm="1">
        <f t="array" ref="T63">_xlfn.IFS(N63&lt;=2.5,"Low",N63&lt;=3,"Medium",N63&gt;3,"High")</f>
        <v>Low</v>
      </c>
    </row>
    <row r="64" spans="1:20" x14ac:dyDescent="0.3">
      <c r="A64" s="2">
        <v>63</v>
      </c>
      <c r="B64" s="2" t="s">
        <v>28</v>
      </c>
      <c r="C64" s="2">
        <v>27</v>
      </c>
      <c r="D64" s="2" t="s">
        <v>15</v>
      </c>
      <c r="E64" s="2">
        <v>87.5</v>
      </c>
      <c r="F64" s="2">
        <v>1.63</v>
      </c>
      <c r="G64" s="2">
        <v>183</v>
      </c>
      <c r="H64" s="2">
        <v>135</v>
      </c>
      <c r="I64" s="2">
        <v>74</v>
      </c>
      <c r="J64" s="2">
        <v>1.75</v>
      </c>
      <c r="K64" s="2">
        <v>1299</v>
      </c>
      <c r="L64" s="2" t="s">
        <v>20</v>
      </c>
      <c r="M64" s="2">
        <v>12.9</v>
      </c>
      <c r="N64" s="2">
        <v>3.5</v>
      </c>
      <c r="O64" s="2">
        <v>5</v>
      </c>
      <c r="P64" s="2">
        <v>3</v>
      </c>
      <c r="Q64" s="2">
        <v>32.93</v>
      </c>
      <c r="R64" s="2" t="str" cm="1">
        <f t="array" ref="R64">_xlfn.IFS(Q64&lt;18.5,"Underweight",
AND(Q64&gt;=18.5,Q64&lt;25),"Normal Weight",
AND(Q64&gt;=25,Q64&lt;30),"Overweight",
Q64&gt;=30,"Obesity")</f>
        <v>Obesity</v>
      </c>
      <c r="S64" s="2">
        <f t="shared" si="0"/>
        <v>742.28571428571433</v>
      </c>
      <c r="T64" s="2" t="str" cm="1">
        <f t="array" ref="T64">_xlfn.IFS(N64&lt;=2.5,"Low",N64&lt;=3,"Medium",N64&gt;3,"High")</f>
        <v>High</v>
      </c>
    </row>
    <row r="65" spans="1:20" x14ac:dyDescent="0.3">
      <c r="A65" s="2">
        <v>64</v>
      </c>
      <c r="B65" s="2" t="s">
        <v>25</v>
      </c>
      <c r="C65" s="2">
        <v>53</v>
      </c>
      <c r="D65" s="2" t="s">
        <v>15</v>
      </c>
      <c r="E65" s="2">
        <v>51.8</v>
      </c>
      <c r="F65" s="2">
        <v>1.74</v>
      </c>
      <c r="G65" s="2">
        <v>179</v>
      </c>
      <c r="H65" s="2">
        <v>127</v>
      </c>
      <c r="I65" s="2">
        <v>61</v>
      </c>
      <c r="J65" s="2">
        <v>1.23</v>
      </c>
      <c r="K65" s="2">
        <v>773</v>
      </c>
      <c r="L65" s="2" t="s">
        <v>20</v>
      </c>
      <c r="M65" s="2">
        <v>21.3</v>
      </c>
      <c r="N65" s="2">
        <v>3.7</v>
      </c>
      <c r="O65" s="2">
        <v>3</v>
      </c>
      <c r="P65" s="2">
        <v>2</v>
      </c>
      <c r="Q65" s="2">
        <v>17.11</v>
      </c>
      <c r="R65" s="2" t="str" cm="1">
        <f t="array" ref="R65">_xlfn.IFS(Q65&lt;18.5,"Underweight",
AND(Q65&gt;=18.5,Q65&lt;25),"Normal Weight",
AND(Q65&gt;=25,Q65&lt;30),"Overweight",
Q65&gt;=30,"Obesity")</f>
        <v>Underweight</v>
      </c>
      <c r="S65" s="2">
        <f t="shared" si="0"/>
        <v>628.45528455284557</v>
      </c>
      <c r="T65" s="2" t="str" cm="1">
        <f t="array" ref="T65">_xlfn.IFS(N65&lt;=2.5,"Low",N65&lt;=3,"Medium",N65&gt;3,"High")</f>
        <v>High</v>
      </c>
    </row>
    <row r="66" spans="1:20" x14ac:dyDescent="0.3">
      <c r="A66" s="2">
        <v>65</v>
      </c>
      <c r="B66" s="2" t="s">
        <v>28</v>
      </c>
      <c r="C66" s="2">
        <v>31</v>
      </c>
      <c r="D66" s="2" t="s">
        <v>16</v>
      </c>
      <c r="E66" s="2">
        <v>64.400000000000006</v>
      </c>
      <c r="F66" s="2">
        <v>1.7</v>
      </c>
      <c r="G66" s="2">
        <v>160</v>
      </c>
      <c r="H66" s="2">
        <v>144</v>
      </c>
      <c r="I66" s="2">
        <v>70</v>
      </c>
      <c r="J66" s="2">
        <v>1.97</v>
      </c>
      <c r="K66" s="2">
        <v>1418</v>
      </c>
      <c r="L66" s="2" t="s">
        <v>20</v>
      </c>
      <c r="M66" s="2">
        <v>17.3</v>
      </c>
      <c r="N66" s="2">
        <v>2.7</v>
      </c>
      <c r="O66" s="2">
        <v>5</v>
      </c>
      <c r="P66" s="2">
        <v>3</v>
      </c>
      <c r="Q66" s="2">
        <v>22.28</v>
      </c>
      <c r="R66" s="2" t="str" cm="1">
        <f t="array" ref="R66">_xlfn.IFS(Q66&lt;18.5,"Underweight",
AND(Q66&gt;=18.5,Q66&lt;25),"Normal Weight",
AND(Q66&gt;=25,Q66&lt;30),"Overweight",
Q66&gt;=30,"Obesity")</f>
        <v>Normal Weight</v>
      </c>
      <c r="S66" s="2">
        <f t="shared" si="0"/>
        <v>719.79695431472078</v>
      </c>
      <c r="T66" s="2" t="str" cm="1">
        <f t="array" ref="T66">_xlfn.IFS(N66&lt;=2.5,"Low",N66&lt;=3,"Medium",N66&gt;3,"High")</f>
        <v>Medium</v>
      </c>
    </row>
    <row r="67" spans="1:20" x14ac:dyDescent="0.3">
      <c r="A67" s="2">
        <v>66</v>
      </c>
      <c r="B67" s="2" t="s">
        <v>25</v>
      </c>
      <c r="C67" s="2">
        <v>48</v>
      </c>
      <c r="D67" s="2" t="s">
        <v>16</v>
      </c>
      <c r="E67" s="2">
        <v>67.099999999999994</v>
      </c>
      <c r="F67" s="2">
        <v>1.61</v>
      </c>
      <c r="G67" s="2">
        <v>160</v>
      </c>
      <c r="H67" s="2">
        <v>151</v>
      </c>
      <c r="I67" s="2">
        <v>74</v>
      </c>
      <c r="J67" s="2">
        <v>0.62</v>
      </c>
      <c r="K67" s="2">
        <v>421</v>
      </c>
      <c r="L67" s="2" t="s">
        <v>19</v>
      </c>
      <c r="M67" s="2">
        <v>33.4</v>
      </c>
      <c r="N67" s="2">
        <v>1.5</v>
      </c>
      <c r="O67" s="2">
        <v>2</v>
      </c>
      <c r="P67" s="2">
        <v>1</v>
      </c>
      <c r="Q67" s="2">
        <v>25.89</v>
      </c>
      <c r="R67" s="2" t="str" cm="1">
        <f t="array" ref="R67">_xlfn.IFS(Q67&lt;18.5,"Underweight",
AND(Q67&gt;=18.5,Q67&lt;25),"Normal Weight",
AND(Q67&gt;=25,Q67&lt;30),"Overweight",
Q67&gt;=30,"Obesity")</f>
        <v>Overweight</v>
      </c>
      <c r="S67" s="2">
        <f t="shared" ref="S67:S130" si="1">K67/J67</f>
        <v>679.0322580645161</v>
      </c>
      <c r="T67" s="2" t="str" cm="1">
        <f t="array" ref="T67">_xlfn.IFS(N67&lt;=2.5,"Low",N67&lt;=3,"Medium",N67&gt;3,"High")</f>
        <v>Low</v>
      </c>
    </row>
    <row r="68" spans="1:20" x14ac:dyDescent="0.3">
      <c r="A68" s="2">
        <v>67</v>
      </c>
      <c r="B68" s="2" t="s">
        <v>22</v>
      </c>
      <c r="C68" s="2">
        <v>32</v>
      </c>
      <c r="D68" s="2" t="s">
        <v>15</v>
      </c>
      <c r="E68" s="2">
        <v>85.9</v>
      </c>
      <c r="F68" s="2">
        <v>1.6</v>
      </c>
      <c r="G68" s="2">
        <v>176</v>
      </c>
      <c r="H68" s="2">
        <v>145</v>
      </c>
      <c r="I68" s="2">
        <v>60</v>
      </c>
      <c r="J68" s="2">
        <v>1.99</v>
      </c>
      <c r="K68" s="2">
        <v>1587</v>
      </c>
      <c r="L68" s="2" t="s">
        <v>18</v>
      </c>
      <c r="M68" s="2">
        <v>14.5</v>
      </c>
      <c r="N68" s="2">
        <v>3.5</v>
      </c>
      <c r="O68" s="2">
        <v>5</v>
      </c>
      <c r="P68" s="2">
        <v>3</v>
      </c>
      <c r="Q68" s="2">
        <v>33.549999999999997</v>
      </c>
      <c r="R68" s="2" t="str" cm="1">
        <f t="array" ref="R68">_xlfn.IFS(Q68&lt;18.5,"Underweight",
AND(Q68&gt;=18.5,Q68&lt;25),"Normal Weight",
AND(Q68&gt;=25,Q68&lt;30),"Overweight",
Q68&gt;=30,"Obesity")</f>
        <v>Obesity</v>
      </c>
      <c r="S68" s="2">
        <f t="shared" si="1"/>
        <v>797.48743718592971</v>
      </c>
      <c r="T68" s="2" t="str" cm="1">
        <f t="array" ref="T68">_xlfn.IFS(N68&lt;=2.5,"Low",N68&lt;=3,"Medium",N68&gt;3,"High")</f>
        <v>High</v>
      </c>
    </row>
    <row r="69" spans="1:20" x14ac:dyDescent="0.3">
      <c r="A69" s="2">
        <v>68</v>
      </c>
      <c r="B69" s="2" t="s">
        <v>23</v>
      </c>
      <c r="C69" s="2">
        <v>25</v>
      </c>
      <c r="D69" s="2" t="s">
        <v>16</v>
      </c>
      <c r="E69" s="2">
        <v>65.400000000000006</v>
      </c>
      <c r="F69" s="2">
        <v>1.77</v>
      </c>
      <c r="G69" s="2">
        <v>160</v>
      </c>
      <c r="H69" s="2">
        <v>141</v>
      </c>
      <c r="I69" s="2">
        <v>58</v>
      </c>
      <c r="J69" s="2">
        <v>0.89</v>
      </c>
      <c r="K69" s="2">
        <v>627</v>
      </c>
      <c r="L69" s="2" t="s">
        <v>19</v>
      </c>
      <c r="M69" s="2">
        <v>27.6</v>
      </c>
      <c r="N69" s="2">
        <v>2.6</v>
      </c>
      <c r="O69" s="2">
        <v>3</v>
      </c>
      <c r="P69" s="2">
        <v>1</v>
      </c>
      <c r="Q69" s="2">
        <v>20.88</v>
      </c>
      <c r="R69" s="2" t="str" cm="1">
        <f t="array" ref="R69">_xlfn.IFS(Q69&lt;18.5,"Underweight",
AND(Q69&gt;=18.5,Q69&lt;25),"Normal Weight",
AND(Q69&gt;=25,Q69&lt;30),"Overweight",
Q69&gt;=30,"Obesity")</f>
        <v>Normal Weight</v>
      </c>
      <c r="S69" s="2">
        <f t="shared" si="1"/>
        <v>704.49438202247188</v>
      </c>
      <c r="T69" s="2" t="str" cm="1">
        <f t="array" ref="T69">_xlfn.IFS(N69&lt;=2.5,"Low",N69&lt;=3,"Medium",N69&gt;3,"High")</f>
        <v>Medium</v>
      </c>
    </row>
    <row r="70" spans="1:20" x14ac:dyDescent="0.3">
      <c r="A70" s="2">
        <v>69</v>
      </c>
      <c r="B70" s="2" t="s">
        <v>21</v>
      </c>
      <c r="C70" s="2">
        <v>31</v>
      </c>
      <c r="D70" s="2" t="s">
        <v>16</v>
      </c>
      <c r="E70" s="2">
        <v>61.1</v>
      </c>
      <c r="F70" s="2">
        <v>1.76</v>
      </c>
      <c r="G70" s="2">
        <v>189</v>
      </c>
      <c r="H70" s="2">
        <v>150</v>
      </c>
      <c r="I70" s="2">
        <v>67</v>
      </c>
      <c r="J70" s="2">
        <v>1.81</v>
      </c>
      <c r="K70" s="2">
        <v>1358</v>
      </c>
      <c r="L70" s="2" t="s">
        <v>17</v>
      </c>
      <c r="M70" s="2">
        <v>18.600000000000001</v>
      </c>
      <c r="N70" s="2">
        <v>2.7</v>
      </c>
      <c r="O70" s="2">
        <v>4</v>
      </c>
      <c r="P70" s="2">
        <v>3</v>
      </c>
      <c r="Q70" s="2">
        <v>19.72</v>
      </c>
      <c r="R70" s="2" t="str" cm="1">
        <f t="array" ref="R70">_xlfn.IFS(Q70&lt;18.5,"Underweight",
AND(Q70&gt;=18.5,Q70&lt;25),"Normal Weight",
AND(Q70&gt;=25,Q70&lt;30),"Overweight",
Q70&gt;=30,"Obesity")</f>
        <v>Normal Weight</v>
      </c>
      <c r="S70" s="2">
        <f t="shared" si="1"/>
        <v>750.27624309392263</v>
      </c>
      <c r="T70" s="2" t="str" cm="1">
        <f t="array" ref="T70">_xlfn.IFS(N70&lt;=2.5,"Low",N70&lt;=3,"Medium",N70&gt;3,"High")</f>
        <v>Medium</v>
      </c>
    </row>
    <row r="71" spans="1:20" x14ac:dyDescent="0.3">
      <c r="A71" s="2">
        <v>70</v>
      </c>
      <c r="B71" s="2" t="s">
        <v>30</v>
      </c>
      <c r="C71" s="2">
        <v>40</v>
      </c>
      <c r="D71" s="2" t="s">
        <v>15</v>
      </c>
      <c r="E71" s="2">
        <v>106.5</v>
      </c>
      <c r="F71" s="2">
        <v>1.65</v>
      </c>
      <c r="G71" s="2">
        <v>162</v>
      </c>
      <c r="H71" s="2">
        <v>162</v>
      </c>
      <c r="I71" s="2">
        <v>74</v>
      </c>
      <c r="J71" s="2">
        <v>1.32</v>
      </c>
      <c r="K71" s="2">
        <v>1176</v>
      </c>
      <c r="L71" s="2" t="s">
        <v>18</v>
      </c>
      <c r="M71" s="2">
        <v>21</v>
      </c>
      <c r="N71" s="2">
        <v>3.6</v>
      </c>
      <c r="O71" s="2">
        <v>4</v>
      </c>
      <c r="P71" s="2">
        <v>2</v>
      </c>
      <c r="Q71" s="2">
        <v>39.119999999999997</v>
      </c>
      <c r="R71" s="2" t="str" cm="1">
        <f t="array" ref="R71">_xlfn.IFS(Q71&lt;18.5,"Underweight",
AND(Q71&gt;=18.5,Q71&lt;25),"Normal Weight",
AND(Q71&gt;=25,Q71&lt;30),"Overweight",
Q71&gt;=30,"Obesity")</f>
        <v>Obesity</v>
      </c>
      <c r="S71" s="2">
        <f t="shared" si="1"/>
        <v>890.90909090909088</v>
      </c>
      <c r="T71" s="2" t="str" cm="1">
        <f t="array" ref="T71">_xlfn.IFS(N71&lt;=2.5,"Low",N71&lt;=3,"Medium",N71&gt;3,"High")</f>
        <v>High</v>
      </c>
    </row>
    <row r="72" spans="1:20" x14ac:dyDescent="0.3">
      <c r="A72" s="2">
        <v>71</v>
      </c>
      <c r="B72" s="2" t="s">
        <v>23</v>
      </c>
      <c r="C72" s="2">
        <v>57</v>
      </c>
      <c r="D72" s="2" t="s">
        <v>16</v>
      </c>
      <c r="E72" s="2">
        <v>64</v>
      </c>
      <c r="F72" s="2">
        <v>1.52</v>
      </c>
      <c r="G72" s="2">
        <v>170</v>
      </c>
      <c r="H72" s="2">
        <v>129</v>
      </c>
      <c r="I72" s="2">
        <v>52</v>
      </c>
      <c r="J72" s="2">
        <v>1.73</v>
      </c>
      <c r="K72" s="2">
        <v>1004</v>
      </c>
      <c r="L72" s="2" t="s">
        <v>20</v>
      </c>
      <c r="M72" s="2">
        <v>15.2</v>
      </c>
      <c r="N72" s="2">
        <v>2.7</v>
      </c>
      <c r="O72" s="2">
        <v>5</v>
      </c>
      <c r="P72" s="2">
        <v>3</v>
      </c>
      <c r="Q72" s="2">
        <v>27.7</v>
      </c>
      <c r="R72" s="2" t="str" cm="1">
        <f t="array" ref="R72">_xlfn.IFS(Q72&lt;18.5,"Underweight",
AND(Q72&gt;=18.5,Q72&lt;25),"Normal Weight",
AND(Q72&gt;=25,Q72&lt;30),"Overweight",
Q72&gt;=30,"Obesity")</f>
        <v>Overweight</v>
      </c>
      <c r="S72" s="2">
        <f t="shared" si="1"/>
        <v>580.34682080924858</v>
      </c>
      <c r="T72" s="2" t="str" cm="1">
        <f t="array" ref="T72">_xlfn.IFS(N72&lt;=2.5,"Low",N72&lt;=3,"Medium",N72&gt;3,"High")</f>
        <v>Medium</v>
      </c>
    </row>
    <row r="73" spans="1:20" x14ac:dyDescent="0.3">
      <c r="A73" s="2">
        <v>72</v>
      </c>
      <c r="B73" s="2" t="s">
        <v>24</v>
      </c>
      <c r="C73" s="2">
        <v>38</v>
      </c>
      <c r="D73" s="2" t="s">
        <v>16</v>
      </c>
      <c r="E73" s="2">
        <v>61.4</v>
      </c>
      <c r="F73" s="2">
        <v>1.54</v>
      </c>
      <c r="G73" s="2">
        <v>183</v>
      </c>
      <c r="H73" s="2">
        <v>131</v>
      </c>
      <c r="I73" s="2">
        <v>69</v>
      </c>
      <c r="J73" s="2">
        <v>1.47</v>
      </c>
      <c r="K73" s="2">
        <v>963</v>
      </c>
      <c r="L73" s="2" t="s">
        <v>18</v>
      </c>
      <c r="M73" s="2">
        <v>30.6</v>
      </c>
      <c r="N73" s="2">
        <v>2.7</v>
      </c>
      <c r="O73" s="2">
        <v>3</v>
      </c>
      <c r="P73" s="2">
        <v>2</v>
      </c>
      <c r="Q73" s="2">
        <v>25.89</v>
      </c>
      <c r="R73" s="2" t="str" cm="1">
        <f t="array" ref="R73">_xlfn.IFS(Q73&lt;18.5,"Underweight",
AND(Q73&gt;=18.5,Q73&lt;25),"Normal Weight",
AND(Q73&gt;=25,Q73&lt;30),"Overweight",
Q73&gt;=30,"Obesity")</f>
        <v>Overweight</v>
      </c>
      <c r="S73" s="2">
        <f t="shared" si="1"/>
        <v>655.10204081632651</v>
      </c>
      <c r="T73" s="2" t="str" cm="1">
        <f t="array" ref="T73">_xlfn.IFS(N73&lt;=2.5,"Low",N73&lt;=3,"Medium",N73&gt;3,"High")</f>
        <v>Medium</v>
      </c>
    </row>
    <row r="74" spans="1:20" x14ac:dyDescent="0.3">
      <c r="A74" s="2">
        <v>73</v>
      </c>
      <c r="B74" s="2" t="s">
        <v>28</v>
      </c>
      <c r="C74" s="2">
        <v>33</v>
      </c>
      <c r="D74" s="2" t="s">
        <v>16</v>
      </c>
      <c r="E74" s="2">
        <v>40.5</v>
      </c>
      <c r="F74" s="2">
        <v>1.63</v>
      </c>
      <c r="G74" s="2">
        <v>181</v>
      </c>
      <c r="H74" s="2">
        <v>147</v>
      </c>
      <c r="I74" s="2">
        <v>66</v>
      </c>
      <c r="J74" s="2">
        <v>1.07</v>
      </c>
      <c r="K74" s="2">
        <v>786</v>
      </c>
      <c r="L74" s="2" t="s">
        <v>17</v>
      </c>
      <c r="M74" s="2">
        <v>31.9</v>
      </c>
      <c r="N74" s="2">
        <v>1.5</v>
      </c>
      <c r="O74" s="2">
        <v>4</v>
      </c>
      <c r="P74" s="2">
        <v>2</v>
      </c>
      <c r="Q74" s="2">
        <v>15.24</v>
      </c>
      <c r="R74" s="2" t="str" cm="1">
        <f t="array" ref="R74">_xlfn.IFS(Q74&lt;18.5,"Underweight",
AND(Q74&gt;=18.5,Q74&lt;25),"Normal Weight",
AND(Q74&gt;=25,Q74&lt;30),"Overweight",
Q74&gt;=30,"Obesity")</f>
        <v>Underweight</v>
      </c>
      <c r="S74" s="2">
        <f t="shared" si="1"/>
        <v>734.57943925233644</v>
      </c>
      <c r="T74" s="2" t="str" cm="1">
        <f t="array" ref="T74">_xlfn.IFS(N74&lt;=2.5,"Low",N74&lt;=3,"Medium",N74&gt;3,"High")</f>
        <v>Low</v>
      </c>
    </row>
    <row r="75" spans="1:20" x14ac:dyDescent="0.3">
      <c r="A75" s="2">
        <v>74</v>
      </c>
      <c r="B75" s="2" t="s">
        <v>24</v>
      </c>
      <c r="C75" s="2">
        <v>35</v>
      </c>
      <c r="D75" s="2" t="s">
        <v>15</v>
      </c>
      <c r="E75" s="2">
        <v>70.099999999999994</v>
      </c>
      <c r="F75" s="2">
        <v>1.79</v>
      </c>
      <c r="G75" s="2">
        <v>185</v>
      </c>
      <c r="H75" s="2">
        <v>125</v>
      </c>
      <c r="I75" s="2">
        <v>63</v>
      </c>
      <c r="J75" s="2">
        <v>1.08</v>
      </c>
      <c r="K75" s="2">
        <v>743</v>
      </c>
      <c r="L75" s="2" t="s">
        <v>19</v>
      </c>
      <c r="M75" s="2">
        <v>28</v>
      </c>
      <c r="N75" s="2">
        <v>2.2999999999999998</v>
      </c>
      <c r="O75" s="2">
        <v>3</v>
      </c>
      <c r="P75" s="2">
        <v>2</v>
      </c>
      <c r="Q75" s="2">
        <v>21.88</v>
      </c>
      <c r="R75" s="2" t="str" cm="1">
        <f t="array" ref="R75">_xlfn.IFS(Q75&lt;18.5,"Underweight",
AND(Q75&gt;=18.5,Q75&lt;25),"Normal Weight",
AND(Q75&gt;=25,Q75&lt;30),"Overweight",
Q75&gt;=30,"Obesity")</f>
        <v>Normal Weight</v>
      </c>
      <c r="S75" s="2">
        <f t="shared" si="1"/>
        <v>687.96296296296293</v>
      </c>
      <c r="T75" s="2" t="str" cm="1">
        <f t="array" ref="T75">_xlfn.IFS(N75&lt;=2.5,"Low",N75&lt;=3,"Medium",N75&gt;3,"High")</f>
        <v>Low</v>
      </c>
    </row>
    <row r="76" spans="1:20" x14ac:dyDescent="0.3">
      <c r="A76" s="2">
        <v>75</v>
      </c>
      <c r="B76" s="2" t="s">
        <v>23</v>
      </c>
      <c r="C76" s="2">
        <v>41</v>
      </c>
      <c r="D76" s="2" t="s">
        <v>15</v>
      </c>
      <c r="E76" s="2">
        <v>94.1</v>
      </c>
      <c r="F76" s="2">
        <v>1.62</v>
      </c>
      <c r="G76" s="2">
        <v>172</v>
      </c>
      <c r="H76" s="2">
        <v>139</v>
      </c>
      <c r="I76" s="2">
        <v>50</v>
      </c>
      <c r="J76" s="2">
        <v>1.1299999999999999</v>
      </c>
      <c r="K76" s="2">
        <v>777</v>
      </c>
      <c r="L76" s="2" t="s">
        <v>19</v>
      </c>
      <c r="M76" s="2">
        <v>23.4</v>
      </c>
      <c r="N76" s="2">
        <v>3.1</v>
      </c>
      <c r="O76" s="2">
        <v>4</v>
      </c>
      <c r="P76" s="2">
        <v>2</v>
      </c>
      <c r="Q76" s="2">
        <v>35.86</v>
      </c>
      <c r="R76" s="2" t="str" cm="1">
        <f t="array" ref="R76">_xlfn.IFS(Q76&lt;18.5,"Underweight",
AND(Q76&gt;=18.5,Q76&lt;25),"Normal Weight",
AND(Q76&gt;=25,Q76&lt;30),"Overweight",
Q76&gt;=30,"Obesity")</f>
        <v>Obesity</v>
      </c>
      <c r="S76" s="2">
        <f t="shared" si="1"/>
        <v>687.61061946902657</v>
      </c>
      <c r="T76" s="2" t="str" cm="1">
        <f t="array" ref="T76">_xlfn.IFS(N76&lt;=2.5,"Low",N76&lt;=3,"Medium",N76&gt;3,"High")</f>
        <v>High</v>
      </c>
    </row>
    <row r="77" spans="1:20" x14ac:dyDescent="0.3">
      <c r="A77" s="2">
        <v>76</v>
      </c>
      <c r="B77" s="2" t="s">
        <v>25</v>
      </c>
      <c r="C77" s="2">
        <v>43</v>
      </c>
      <c r="D77" s="2" t="s">
        <v>15</v>
      </c>
      <c r="E77" s="2">
        <v>55.5</v>
      </c>
      <c r="F77" s="2">
        <v>1.82</v>
      </c>
      <c r="G77" s="2">
        <v>160</v>
      </c>
      <c r="H77" s="2">
        <v>124</v>
      </c>
      <c r="I77" s="2">
        <v>66</v>
      </c>
      <c r="J77" s="2">
        <v>1.08</v>
      </c>
      <c r="K77" s="2">
        <v>663</v>
      </c>
      <c r="L77" s="2" t="s">
        <v>20</v>
      </c>
      <c r="M77" s="2">
        <v>20.100000000000001</v>
      </c>
      <c r="N77" s="2">
        <v>2</v>
      </c>
      <c r="O77" s="2">
        <v>3</v>
      </c>
      <c r="P77" s="2">
        <v>1</v>
      </c>
      <c r="Q77" s="2">
        <v>16.760000000000002</v>
      </c>
      <c r="R77" s="2" t="str" cm="1">
        <f t="array" ref="R77">_xlfn.IFS(Q77&lt;18.5,"Underweight",
AND(Q77&gt;=18.5,Q77&lt;25),"Normal Weight",
AND(Q77&gt;=25,Q77&lt;30),"Overweight",
Q77&gt;=30,"Obesity")</f>
        <v>Underweight</v>
      </c>
      <c r="S77" s="2">
        <f t="shared" si="1"/>
        <v>613.8888888888888</v>
      </c>
      <c r="T77" s="2" t="str" cm="1">
        <f t="array" ref="T77">_xlfn.IFS(N77&lt;=2.5,"Low",N77&lt;=3,"Medium",N77&gt;3,"High")</f>
        <v>Low</v>
      </c>
    </row>
    <row r="78" spans="1:20" x14ac:dyDescent="0.3">
      <c r="A78" s="2">
        <v>77</v>
      </c>
      <c r="B78" s="2" t="s">
        <v>30</v>
      </c>
      <c r="C78" s="2">
        <v>42</v>
      </c>
      <c r="D78" s="2" t="s">
        <v>16</v>
      </c>
      <c r="E78" s="2">
        <v>53.7</v>
      </c>
      <c r="F78" s="2">
        <v>1.72</v>
      </c>
      <c r="G78" s="2">
        <v>183</v>
      </c>
      <c r="H78" s="2">
        <v>142</v>
      </c>
      <c r="I78" s="2">
        <v>74</v>
      </c>
      <c r="J78" s="2">
        <v>1.37</v>
      </c>
      <c r="K78" s="2">
        <v>875</v>
      </c>
      <c r="L78" s="2" t="s">
        <v>19</v>
      </c>
      <c r="M78" s="2">
        <v>29.8</v>
      </c>
      <c r="N78" s="2">
        <v>1.6</v>
      </c>
      <c r="O78" s="2">
        <v>3</v>
      </c>
      <c r="P78" s="2">
        <v>1</v>
      </c>
      <c r="Q78" s="2">
        <v>18.149999999999999</v>
      </c>
      <c r="R78" s="2" t="str" cm="1">
        <f t="array" ref="R78">_xlfn.IFS(Q78&lt;18.5,"Underweight",
AND(Q78&gt;=18.5,Q78&lt;25),"Normal Weight",
AND(Q78&gt;=25,Q78&lt;30),"Overweight",
Q78&gt;=30,"Obesity")</f>
        <v>Underweight</v>
      </c>
      <c r="S78" s="2">
        <f t="shared" si="1"/>
        <v>638.68613138686123</v>
      </c>
      <c r="T78" s="2" t="str" cm="1">
        <f t="array" ref="T78">_xlfn.IFS(N78&lt;=2.5,"Low",N78&lt;=3,"Medium",N78&gt;3,"High")</f>
        <v>Low</v>
      </c>
    </row>
    <row r="79" spans="1:20" x14ac:dyDescent="0.3">
      <c r="A79" s="2">
        <v>78</v>
      </c>
      <c r="B79" s="2" t="s">
        <v>30</v>
      </c>
      <c r="C79" s="2">
        <v>58</v>
      </c>
      <c r="D79" s="2" t="s">
        <v>16</v>
      </c>
      <c r="E79" s="2">
        <v>66.099999999999994</v>
      </c>
      <c r="F79" s="2">
        <v>1.75</v>
      </c>
      <c r="G79" s="2">
        <v>169</v>
      </c>
      <c r="H79" s="2">
        <v>128</v>
      </c>
      <c r="I79" s="2">
        <v>57</v>
      </c>
      <c r="J79" s="2">
        <v>0.63</v>
      </c>
      <c r="K79" s="2">
        <v>363</v>
      </c>
      <c r="L79" s="2" t="s">
        <v>19</v>
      </c>
      <c r="M79" s="2">
        <v>25.2</v>
      </c>
      <c r="N79" s="2">
        <v>1.8</v>
      </c>
      <c r="O79" s="2">
        <v>2</v>
      </c>
      <c r="P79" s="2">
        <v>1</v>
      </c>
      <c r="Q79" s="2">
        <v>21.58</v>
      </c>
      <c r="R79" s="2" t="str" cm="1">
        <f t="array" ref="R79">_xlfn.IFS(Q79&lt;18.5,"Underweight",
AND(Q79&gt;=18.5,Q79&lt;25),"Normal Weight",
AND(Q79&gt;=25,Q79&lt;30),"Overweight",
Q79&gt;=30,"Obesity")</f>
        <v>Normal Weight</v>
      </c>
      <c r="S79" s="2">
        <f t="shared" si="1"/>
        <v>576.19047619047615</v>
      </c>
      <c r="T79" s="2" t="str" cm="1">
        <f t="array" ref="T79">_xlfn.IFS(N79&lt;=2.5,"Low",N79&lt;=3,"Medium",N79&gt;3,"High")</f>
        <v>Low</v>
      </c>
    </row>
    <row r="80" spans="1:20" x14ac:dyDescent="0.3">
      <c r="A80" s="2">
        <v>79</v>
      </c>
      <c r="B80" s="2" t="s">
        <v>29</v>
      </c>
      <c r="C80" s="2">
        <v>46</v>
      </c>
      <c r="D80" s="2" t="s">
        <v>15</v>
      </c>
      <c r="E80" s="2">
        <v>103.9</v>
      </c>
      <c r="F80" s="2">
        <v>1.77</v>
      </c>
      <c r="G80" s="2">
        <v>194</v>
      </c>
      <c r="H80" s="2">
        <v>148</v>
      </c>
      <c r="I80" s="2">
        <v>54</v>
      </c>
      <c r="J80" s="2">
        <v>1.18</v>
      </c>
      <c r="K80" s="2">
        <v>864</v>
      </c>
      <c r="L80" s="2" t="s">
        <v>17</v>
      </c>
      <c r="M80" s="2">
        <v>20.9</v>
      </c>
      <c r="N80" s="2">
        <v>2.9</v>
      </c>
      <c r="O80" s="2">
        <v>2</v>
      </c>
      <c r="P80" s="2">
        <v>1</v>
      </c>
      <c r="Q80" s="2">
        <v>33.159999999999997</v>
      </c>
      <c r="R80" s="2" t="str" cm="1">
        <f t="array" ref="R80">_xlfn.IFS(Q80&lt;18.5,"Underweight",
AND(Q80&gt;=18.5,Q80&lt;25),"Normal Weight",
AND(Q80&gt;=25,Q80&lt;30),"Overweight",
Q80&gt;=30,"Obesity")</f>
        <v>Obesity</v>
      </c>
      <c r="S80" s="2">
        <f t="shared" si="1"/>
        <v>732.20338983050851</v>
      </c>
      <c r="T80" s="2" t="str" cm="1">
        <f t="array" ref="T80">_xlfn.IFS(N80&lt;=2.5,"Low",N80&lt;=3,"Medium",N80&gt;3,"High")</f>
        <v>Medium</v>
      </c>
    </row>
    <row r="81" spans="1:20" x14ac:dyDescent="0.3">
      <c r="A81" s="2">
        <v>80</v>
      </c>
      <c r="B81" s="2" t="s">
        <v>30</v>
      </c>
      <c r="C81" s="2">
        <v>32</v>
      </c>
      <c r="D81" s="2" t="s">
        <v>16</v>
      </c>
      <c r="E81" s="2">
        <v>61.7</v>
      </c>
      <c r="F81" s="2">
        <v>1.58</v>
      </c>
      <c r="G81" s="2">
        <v>183</v>
      </c>
      <c r="H81" s="2">
        <v>135</v>
      </c>
      <c r="I81" s="2">
        <v>54</v>
      </c>
      <c r="J81" s="2">
        <v>1.87</v>
      </c>
      <c r="K81" s="2">
        <v>1262</v>
      </c>
      <c r="L81" s="2" t="s">
        <v>18</v>
      </c>
      <c r="M81" s="2">
        <v>16.600000000000001</v>
      </c>
      <c r="N81" s="2">
        <v>2.7</v>
      </c>
      <c r="O81" s="2">
        <v>5</v>
      </c>
      <c r="P81" s="2">
        <v>3</v>
      </c>
      <c r="Q81" s="2">
        <v>24.72</v>
      </c>
      <c r="R81" s="2" t="str" cm="1">
        <f t="array" ref="R81">_xlfn.IFS(Q81&lt;18.5,"Underweight",
AND(Q81&gt;=18.5,Q81&lt;25),"Normal Weight",
AND(Q81&gt;=25,Q81&lt;30),"Overweight",
Q81&gt;=30,"Obesity")</f>
        <v>Normal Weight</v>
      </c>
      <c r="S81" s="2">
        <f t="shared" si="1"/>
        <v>674.86631016042782</v>
      </c>
      <c r="T81" s="2" t="str" cm="1">
        <f t="array" ref="T81">_xlfn.IFS(N81&lt;=2.5,"Low",N81&lt;=3,"Medium",N81&gt;3,"High")</f>
        <v>Medium</v>
      </c>
    </row>
    <row r="82" spans="1:20" x14ac:dyDescent="0.3">
      <c r="A82" s="2">
        <v>81</v>
      </c>
      <c r="B82" s="2" t="s">
        <v>21</v>
      </c>
      <c r="C82" s="2">
        <v>18</v>
      </c>
      <c r="D82" s="2" t="s">
        <v>16</v>
      </c>
      <c r="E82" s="2">
        <v>52.3</v>
      </c>
      <c r="F82" s="2">
        <v>1.74</v>
      </c>
      <c r="G82" s="2">
        <v>187</v>
      </c>
      <c r="H82" s="2">
        <v>165</v>
      </c>
      <c r="I82" s="2">
        <v>58</v>
      </c>
      <c r="J82" s="2">
        <v>1.2</v>
      </c>
      <c r="K82" s="2">
        <v>990</v>
      </c>
      <c r="L82" s="2" t="s">
        <v>19</v>
      </c>
      <c r="M82" s="2">
        <v>29.4</v>
      </c>
      <c r="N82" s="2">
        <v>2.2000000000000002</v>
      </c>
      <c r="O82" s="2">
        <v>2</v>
      </c>
      <c r="P82" s="2">
        <v>1</v>
      </c>
      <c r="Q82" s="2">
        <v>17.27</v>
      </c>
      <c r="R82" s="2" t="str" cm="1">
        <f t="array" ref="R82">_xlfn.IFS(Q82&lt;18.5,"Underweight",
AND(Q82&gt;=18.5,Q82&lt;25),"Normal Weight",
AND(Q82&gt;=25,Q82&lt;30),"Overweight",
Q82&gt;=30,"Obesity")</f>
        <v>Underweight</v>
      </c>
      <c r="S82" s="2">
        <f t="shared" si="1"/>
        <v>825</v>
      </c>
      <c r="T82" s="2" t="str" cm="1">
        <f t="array" ref="T82">_xlfn.IFS(N82&lt;=2.5,"Low",N82&lt;=3,"Medium",N82&gt;3,"High")</f>
        <v>Low</v>
      </c>
    </row>
    <row r="83" spans="1:20" x14ac:dyDescent="0.3">
      <c r="A83" s="2">
        <v>82</v>
      </c>
      <c r="B83" s="2" t="s">
        <v>30</v>
      </c>
      <c r="C83" s="2">
        <v>42</v>
      </c>
      <c r="D83" s="2" t="s">
        <v>16</v>
      </c>
      <c r="E83" s="2">
        <v>59.5</v>
      </c>
      <c r="F83" s="2">
        <v>1.74</v>
      </c>
      <c r="G83" s="2">
        <v>195</v>
      </c>
      <c r="H83" s="2">
        <v>141</v>
      </c>
      <c r="I83" s="2">
        <v>52</v>
      </c>
      <c r="J83" s="2">
        <v>1.78</v>
      </c>
      <c r="K83" s="2">
        <v>1129</v>
      </c>
      <c r="L83" s="2" t="s">
        <v>17</v>
      </c>
      <c r="M83" s="2">
        <v>16.399999999999999</v>
      </c>
      <c r="N83" s="2">
        <v>2.7</v>
      </c>
      <c r="O83" s="2">
        <v>5</v>
      </c>
      <c r="P83" s="2">
        <v>3</v>
      </c>
      <c r="Q83" s="2">
        <v>19.649999999999999</v>
      </c>
      <c r="R83" s="2" t="str" cm="1">
        <f t="array" ref="R83">_xlfn.IFS(Q83&lt;18.5,"Underweight",
AND(Q83&gt;=18.5,Q83&lt;25),"Normal Weight",
AND(Q83&gt;=25,Q83&lt;30),"Overweight",
Q83&gt;=30,"Obesity")</f>
        <v>Normal Weight</v>
      </c>
      <c r="S83" s="2">
        <f t="shared" si="1"/>
        <v>634.2696629213483</v>
      </c>
      <c r="T83" s="2" t="str" cm="1">
        <f t="array" ref="T83">_xlfn.IFS(N83&lt;=2.5,"Low",N83&lt;=3,"Medium",N83&gt;3,"High")</f>
        <v>Medium</v>
      </c>
    </row>
    <row r="84" spans="1:20" x14ac:dyDescent="0.3">
      <c r="A84" s="2">
        <v>83</v>
      </c>
      <c r="B84" s="2" t="s">
        <v>23</v>
      </c>
      <c r="C84" s="2">
        <v>24</v>
      </c>
      <c r="D84" s="2" t="s">
        <v>16</v>
      </c>
      <c r="E84" s="2">
        <v>72.900000000000006</v>
      </c>
      <c r="F84" s="2">
        <v>1.76</v>
      </c>
      <c r="G84" s="2">
        <v>175</v>
      </c>
      <c r="H84" s="2">
        <v>127</v>
      </c>
      <c r="I84" s="2">
        <v>68</v>
      </c>
      <c r="J84" s="2">
        <v>0.86</v>
      </c>
      <c r="K84" s="2">
        <v>546</v>
      </c>
      <c r="L84" s="2" t="s">
        <v>17</v>
      </c>
      <c r="M84" s="2">
        <v>30.8</v>
      </c>
      <c r="N84" s="2">
        <v>1.5</v>
      </c>
      <c r="O84" s="2">
        <v>3</v>
      </c>
      <c r="P84" s="2">
        <v>1</v>
      </c>
      <c r="Q84" s="2">
        <v>23.53</v>
      </c>
      <c r="R84" s="2" t="str" cm="1">
        <f t="array" ref="R84">_xlfn.IFS(Q84&lt;18.5,"Underweight",
AND(Q84&gt;=18.5,Q84&lt;25),"Normal Weight",
AND(Q84&gt;=25,Q84&lt;30),"Overweight",
Q84&gt;=30,"Obesity")</f>
        <v>Normal Weight</v>
      </c>
      <c r="S84" s="2">
        <f t="shared" si="1"/>
        <v>634.88372093023258</v>
      </c>
      <c r="T84" s="2" t="str" cm="1">
        <f t="array" ref="T84">_xlfn.IFS(N84&lt;=2.5,"Low",N84&lt;=3,"Medium",N84&gt;3,"High")</f>
        <v>Low</v>
      </c>
    </row>
    <row r="85" spans="1:20" x14ac:dyDescent="0.3">
      <c r="A85" s="2">
        <v>84</v>
      </c>
      <c r="B85" s="2" t="s">
        <v>29</v>
      </c>
      <c r="C85" s="2">
        <v>26</v>
      </c>
      <c r="D85" s="2" t="s">
        <v>16</v>
      </c>
      <c r="E85" s="2">
        <v>76.7</v>
      </c>
      <c r="F85" s="2">
        <v>1.63</v>
      </c>
      <c r="G85" s="2">
        <v>199</v>
      </c>
      <c r="H85" s="2">
        <v>139</v>
      </c>
      <c r="I85" s="2">
        <v>72</v>
      </c>
      <c r="J85" s="2">
        <v>1.08</v>
      </c>
      <c r="K85" s="2">
        <v>751</v>
      </c>
      <c r="L85" s="2" t="s">
        <v>20</v>
      </c>
      <c r="M85" s="2">
        <v>25.6</v>
      </c>
      <c r="N85" s="2">
        <v>1.7</v>
      </c>
      <c r="O85" s="2">
        <v>2</v>
      </c>
      <c r="P85" s="2">
        <v>1</v>
      </c>
      <c r="Q85" s="2">
        <v>28.87</v>
      </c>
      <c r="R85" s="2" t="str" cm="1">
        <f t="array" ref="R85">_xlfn.IFS(Q85&lt;18.5,"Underweight",
AND(Q85&gt;=18.5,Q85&lt;25),"Normal Weight",
AND(Q85&gt;=25,Q85&lt;30),"Overweight",
Q85&gt;=30,"Obesity")</f>
        <v>Overweight</v>
      </c>
      <c r="S85" s="2">
        <f t="shared" si="1"/>
        <v>695.37037037037032</v>
      </c>
      <c r="T85" s="2" t="str" cm="1">
        <f t="array" ref="T85">_xlfn.IFS(N85&lt;=2.5,"Low",N85&lt;=3,"Medium",N85&gt;3,"High")</f>
        <v>Low</v>
      </c>
    </row>
    <row r="86" spans="1:20" x14ac:dyDescent="0.3">
      <c r="A86" s="2">
        <v>85</v>
      </c>
      <c r="B86" s="2" t="s">
        <v>23</v>
      </c>
      <c r="C86" s="2">
        <v>41</v>
      </c>
      <c r="D86" s="2" t="s">
        <v>15</v>
      </c>
      <c r="E86" s="2">
        <v>72.099999999999994</v>
      </c>
      <c r="F86" s="2">
        <v>1.83</v>
      </c>
      <c r="G86" s="2">
        <v>175</v>
      </c>
      <c r="H86" s="2">
        <v>133</v>
      </c>
      <c r="I86" s="2">
        <v>58</v>
      </c>
      <c r="J86" s="2">
        <v>1.1299999999999999</v>
      </c>
      <c r="K86" s="2">
        <v>744</v>
      </c>
      <c r="L86" s="2" t="s">
        <v>17</v>
      </c>
      <c r="M86" s="2">
        <v>21.4</v>
      </c>
      <c r="N86" s="2">
        <v>2.8</v>
      </c>
      <c r="O86" s="2">
        <v>3</v>
      </c>
      <c r="P86" s="2">
        <v>2</v>
      </c>
      <c r="Q86" s="2">
        <v>21.53</v>
      </c>
      <c r="R86" s="2" t="str" cm="1">
        <f t="array" ref="R86">_xlfn.IFS(Q86&lt;18.5,"Underweight",
AND(Q86&gt;=18.5,Q86&lt;25),"Normal Weight",
AND(Q86&gt;=25,Q86&lt;30),"Overweight",
Q86&gt;=30,"Obesity")</f>
        <v>Normal Weight</v>
      </c>
      <c r="S86" s="2">
        <f t="shared" si="1"/>
        <v>658.40707964601779</v>
      </c>
      <c r="T86" s="2" t="str" cm="1">
        <f t="array" ref="T86">_xlfn.IFS(N86&lt;=2.5,"Low",N86&lt;=3,"Medium",N86&gt;3,"High")</f>
        <v>Medium</v>
      </c>
    </row>
    <row r="87" spans="1:20" x14ac:dyDescent="0.3">
      <c r="A87" s="2">
        <v>86</v>
      </c>
      <c r="B87" s="2" t="s">
        <v>23</v>
      </c>
      <c r="C87" s="2">
        <v>18</v>
      </c>
      <c r="D87" s="2" t="s">
        <v>16</v>
      </c>
      <c r="E87" s="2">
        <v>54.8</v>
      </c>
      <c r="F87" s="2">
        <v>1.68</v>
      </c>
      <c r="G87" s="2">
        <v>176</v>
      </c>
      <c r="H87" s="2">
        <v>158</v>
      </c>
      <c r="I87" s="2">
        <v>71</v>
      </c>
      <c r="J87" s="2">
        <v>1.27</v>
      </c>
      <c r="K87" s="2">
        <v>1003</v>
      </c>
      <c r="L87" s="2" t="s">
        <v>20</v>
      </c>
      <c r="M87" s="2">
        <v>32</v>
      </c>
      <c r="N87" s="2">
        <v>2.2000000000000002</v>
      </c>
      <c r="O87" s="2">
        <v>4</v>
      </c>
      <c r="P87" s="2">
        <v>2</v>
      </c>
      <c r="Q87" s="2">
        <v>19.420000000000002</v>
      </c>
      <c r="R87" s="2" t="str" cm="1">
        <f t="array" ref="R87">_xlfn.IFS(Q87&lt;18.5,"Underweight",
AND(Q87&gt;=18.5,Q87&lt;25),"Normal Weight",
AND(Q87&gt;=25,Q87&lt;30),"Overweight",
Q87&gt;=30,"Obesity")</f>
        <v>Normal Weight</v>
      </c>
      <c r="S87" s="2">
        <f t="shared" si="1"/>
        <v>789.763779527559</v>
      </c>
      <c r="T87" s="2" t="str" cm="1">
        <f t="array" ref="T87">_xlfn.IFS(N87&lt;=2.5,"Low",N87&lt;=3,"Medium",N87&gt;3,"High")</f>
        <v>Low</v>
      </c>
    </row>
    <row r="88" spans="1:20" x14ac:dyDescent="0.3">
      <c r="A88" s="2">
        <v>87</v>
      </c>
      <c r="B88" s="2" t="s">
        <v>26</v>
      </c>
      <c r="C88" s="2">
        <v>25</v>
      </c>
      <c r="D88" s="2" t="s">
        <v>15</v>
      </c>
      <c r="E88" s="2">
        <v>105</v>
      </c>
      <c r="F88" s="2">
        <v>1.88</v>
      </c>
      <c r="G88" s="2">
        <v>174</v>
      </c>
      <c r="H88" s="2">
        <v>156</v>
      </c>
      <c r="I88" s="2">
        <v>67</v>
      </c>
      <c r="J88" s="2">
        <v>1.34</v>
      </c>
      <c r="K88" s="2">
        <v>1150</v>
      </c>
      <c r="L88" s="2" t="s">
        <v>19</v>
      </c>
      <c r="M88" s="2">
        <v>21.4</v>
      </c>
      <c r="N88" s="2">
        <v>2.2999999999999998</v>
      </c>
      <c r="O88" s="2">
        <v>3</v>
      </c>
      <c r="P88" s="2">
        <v>2</v>
      </c>
      <c r="Q88" s="2">
        <v>29.71</v>
      </c>
      <c r="R88" s="2" t="str" cm="1">
        <f t="array" ref="R88">_xlfn.IFS(Q88&lt;18.5,"Underweight",
AND(Q88&gt;=18.5,Q88&lt;25),"Normal Weight",
AND(Q88&gt;=25,Q88&lt;30),"Overweight",
Q88&gt;=30,"Obesity")</f>
        <v>Overweight</v>
      </c>
      <c r="S88" s="2">
        <f t="shared" si="1"/>
        <v>858.20895522388059</v>
      </c>
      <c r="T88" s="2" t="str" cm="1">
        <f t="array" ref="T88">_xlfn.IFS(N88&lt;=2.5,"Low",N88&lt;=3,"Medium",N88&gt;3,"High")</f>
        <v>Low</v>
      </c>
    </row>
    <row r="89" spans="1:20" x14ac:dyDescent="0.3">
      <c r="A89" s="2">
        <v>88</v>
      </c>
      <c r="B89" s="2" t="s">
        <v>29</v>
      </c>
      <c r="C89" s="2">
        <v>41</v>
      </c>
      <c r="D89" s="2" t="s">
        <v>16</v>
      </c>
      <c r="E89" s="2">
        <v>55</v>
      </c>
      <c r="F89" s="2">
        <v>1.55</v>
      </c>
      <c r="G89" s="2">
        <v>175</v>
      </c>
      <c r="H89" s="2">
        <v>169</v>
      </c>
      <c r="I89" s="2">
        <v>65</v>
      </c>
      <c r="J89" s="2">
        <v>1.45</v>
      </c>
      <c r="K89" s="2">
        <v>1103</v>
      </c>
      <c r="L89" s="2" t="s">
        <v>20</v>
      </c>
      <c r="M89" s="2">
        <v>31.4</v>
      </c>
      <c r="N89" s="2">
        <v>2</v>
      </c>
      <c r="O89" s="2">
        <v>4</v>
      </c>
      <c r="P89" s="2">
        <v>2</v>
      </c>
      <c r="Q89" s="2">
        <v>22.89</v>
      </c>
      <c r="R89" s="2" t="str" cm="1">
        <f t="array" ref="R89">_xlfn.IFS(Q89&lt;18.5,"Underweight",
AND(Q89&gt;=18.5,Q89&lt;25),"Normal Weight",
AND(Q89&gt;=25,Q89&lt;30),"Overweight",
Q89&gt;=30,"Obesity")</f>
        <v>Normal Weight</v>
      </c>
      <c r="S89" s="2">
        <f t="shared" si="1"/>
        <v>760.68965517241384</v>
      </c>
      <c r="T89" s="2" t="str" cm="1">
        <f t="array" ref="T89">_xlfn.IFS(N89&lt;=2.5,"Low",N89&lt;=3,"Medium",N89&gt;3,"High")</f>
        <v>Low</v>
      </c>
    </row>
    <row r="90" spans="1:20" x14ac:dyDescent="0.3">
      <c r="A90" s="2">
        <v>89</v>
      </c>
      <c r="B90" s="2" t="s">
        <v>23</v>
      </c>
      <c r="C90" s="2">
        <v>28</v>
      </c>
      <c r="D90" s="2" t="s">
        <v>15</v>
      </c>
      <c r="E90" s="2">
        <v>81.599999999999994</v>
      </c>
      <c r="F90" s="2">
        <v>1.66</v>
      </c>
      <c r="G90" s="2">
        <v>174</v>
      </c>
      <c r="H90" s="2">
        <v>153</v>
      </c>
      <c r="I90" s="2">
        <v>50</v>
      </c>
      <c r="J90" s="2">
        <v>1.0900000000000001</v>
      </c>
      <c r="K90" s="2">
        <v>917</v>
      </c>
      <c r="L90" s="2" t="s">
        <v>17</v>
      </c>
      <c r="M90" s="2">
        <v>20.5</v>
      </c>
      <c r="N90" s="2">
        <v>3.5</v>
      </c>
      <c r="O90" s="2">
        <v>4</v>
      </c>
      <c r="P90" s="2">
        <v>2</v>
      </c>
      <c r="Q90" s="2">
        <v>29.61</v>
      </c>
      <c r="R90" s="2" t="str" cm="1">
        <f t="array" ref="R90">_xlfn.IFS(Q90&lt;18.5,"Underweight",
AND(Q90&gt;=18.5,Q90&lt;25),"Normal Weight",
AND(Q90&gt;=25,Q90&lt;30),"Overweight",
Q90&gt;=30,"Obesity")</f>
        <v>Overweight</v>
      </c>
      <c r="S90" s="2">
        <f t="shared" si="1"/>
        <v>841.28440366972472</v>
      </c>
      <c r="T90" s="2" t="str" cm="1">
        <f t="array" ref="T90">_xlfn.IFS(N90&lt;=2.5,"Low",N90&lt;=3,"Medium",N90&gt;3,"High")</f>
        <v>High</v>
      </c>
    </row>
    <row r="91" spans="1:20" x14ac:dyDescent="0.3">
      <c r="A91" s="2">
        <v>90</v>
      </c>
      <c r="B91" s="2" t="s">
        <v>26</v>
      </c>
      <c r="C91" s="2">
        <v>34</v>
      </c>
      <c r="D91" s="2" t="s">
        <v>16</v>
      </c>
      <c r="E91" s="2">
        <v>75.599999999999994</v>
      </c>
      <c r="F91" s="2">
        <v>1.6</v>
      </c>
      <c r="G91" s="2">
        <v>193</v>
      </c>
      <c r="H91" s="2">
        <v>130</v>
      </c>
      <c r="I91" s="2">
        <v>51</v>
      </c>
      <c r="J91" s="2">
        <v>0.64</v>
      </c>
      <c r="K91" s="2">
        <v>416</v>
      </c>
      <c r="L91" s="2" t="s">
        <v>18</v>
      </c>
      <c r="M91" s="2">
        <v>29.1</v>
      </c>
      <c r="N91" s="2">
        <v>2.7</v>
      </c>
      <c r="O91" s="2">
        <v>2</v>
      </c>
      <c r="P91" s="2">
        <v>1</v>
      </c>
      <c r="Q91" s="2">
        <v>29.53</v>
      </c>
      <c r="R91" s="2" t="str" cm="1">
        <f t="array" ref="R91">_xlfn.IFS(Q91&lt;18.5,"Underweight",
AND(Q91&gt;=18.5,Q91&lt;25),"Normal Weight",
AND(Q91&gt;=25,Q91&lt;30),"Overweight",
Q91&gt;=30,"Obesity")</f>
        <v>Overweight</v>
      </c>
      <c r="S91" s="2">
        <f t="shared" si="1"/>
        <v>650</v>
      </c>
      <c r="T91" s="2" t="str" cm="1">
        <f t="array" ref="T91">_xlfn.IFS(N91&lt;=2.5,"Low",N91&lt;=3,"Medium",N91&gt;3,"High")</f>
        <v>Medium</v>
      </c>
    </row>
    <row r="92" spans="1:20" x14ac:dyDescent="0.3">
      <c r="A92" s="2">
        <v>91</v>
      </c>
      <c r="B92" s="2" t="s">
        <v>26</v>
      </c>
      <c r="C92" s="2">
        <v>25</v>
      </c>
      <c r="D92" s="2" t="s">
        <v>15</v>
      </c>
      <c r="E92" s="2">
        <v>81.5</v>
      </c>
      <c r="F92" s="2">
        <v>1.61</v>
      </c>
      <c r="G92" s="2">
        <v>170</v>
      </c>
      <c r="H92" s="2">
        <v>159</v>
      </c>
      <c r="I92" s="2">
        <v>63</v>
      </c>
      <c r="J92" s="2">
        <v>1.93</v>
      </c>
      <c r="K92" s="2">
        <v>1688</v>
      </c>
      <c r="L92" s="2" t="s">
        <v>18</v>
      </c>
      <c r="M92" s="2">
        <v>10.9</v>
      </c>
      <c r="N92" s="2">
        <v>3.5</v>
      </c>
      <c r="O92" s="2">
        <v>4</v>
      </c>
      <c r="P92" s="2">
        <v>3</v>
      </c>
      <c r="Q92" s="2">
        <v>31.44</v>
      </c>
      <c r="R92" s="2" t="str" cm="1">
        <f t="array" ref="R92">_xlfn.IFS(Q92&lt;18.5,"Underweight",
AND(Q92&gt;=18.5,Q92&lt;25),"Normal Weight",
AND(Q92&gt;=25,Q92&lt;30),"Overweight",
Q92&gt;=30,"Obesity")</f>
        <v>Obesity</v>
      </c>
      <c r="S92" s="2">
        <f t="shared" si="1"/>
        <v>874.61139896373061</v>
      </c>
      <c r="T92" s="2" t="str" cm="1">
        <f t="array" ref="T92">_xlfn.IFS(N92&lt;=2.5,"Low",N92&lt;=3,"Medium",N92&gt;3,"High")</f>
        <v>High</v>
      </c>
    </row>
    <row r="93" spans="1:20" x14ac:dyDescent="0.3">
      <c r="A93" s="2">
        <v>92</v>
      </c>
      <c r="B93" s="2" t="s">
        <v>29</v>
      </c>
      <c r="C93" s="2">
        <v>52</v>
      </c>
      <c r="D93" s="2" t="s">
        <v>16</v>
      </c>
      <c r="E93" s="2">
        <v>61.5</v>
      </c>
      <c r="F93" s="2">
        <v>1.69</v>
      </c>
      <c r="G93" s="2">
        <v>160</v>
      </c>
      <c r="H93" s="2">
        <v>152</v>
      </c>
      <c r="I93" s="2">
        <v>63</v>
      </c>
      <c r="J93" s="2">
        <v>1.8</v>
      </c>
      <c r="K93" s="2">
        <v>1231</v>
      </c>
      <c r="L93" s="2" t="s">
        <v>19</v>
      </c>
      <c r="M93" s="2">
        <v>15.5</v>
      </c>
      <c r="N93" s="2">
        <v>2.7</v>
      </c>
      <c r="O93" s="2">
        <v>4</v>
      </c>
      <c r="P93" s="2">
        <v>3</v>
      </c>
      <c r="Q93" s="2">
        <v>21.53</v>
      </c>
      <c r="R93" s="2" t="str" cm="1">
        <f t="array" ref="R93">_xlfn.IFS(Q93&lt;18.5,"Underweight",
AND(Q93&gt;=18.5,Q93&lt;25),"Normal Weight",
AND(Q93&gt;=25,Q93&lt;30),"Overweight",
Q93&gt;=30,"Obesity")</f>
        <v>Normal Weight</v>
      </c>
      <c r="S93" s="2">
        <f t="shared" si="1"/>
        <v>683.88888888888891</v>
      </c>
      <c r="T93" s="2" t="str" cm="1">
        <f t="array" ref="T93">_xlfn.IFS(N93&lt;=2.5,"Low",N93&lt;=3,"Medium",N93&gt;3,"High")</f>
        <v>Medium</v>
      </c>
    </row>
    <row r="94" spans="1:20" x14ac:dyDescent="0.3">
      <c r="A94" s="2">
        <v>93</v>
      </c>
      <c r="B94" s="2" t="s">
        <v>24</v>
      </c>
      <c r="C94" s="2">
        <v>52</v>
      </c>
      <c r="D94" s="2" t="s">
        <v>15</v>
      </c>
      <c r="E94" s="2">
        <v>74</v>
      </c>
      <c r="F94" s="2">
        <v>1.63</v>
      </c>
      <c r="G94" s="2">
        <v>174</v>
      </c>
      <c r="H94" s="2">
        <v>150</v>
      </c>
      <c r="I94" s="2">
        <v>50</v>
      </c>
      <c r="J94" s="2">
        <v>1.26</v>
      </c>
      <c r="K94" s="2">
        <v>936</v>
      </c>
      <c r="L94" s="2" t="s">
        <v>19</v>
      </c>
      <c r="M94" s="2">
        <v>25.7</v>
      </c>
      <c r="N94" s="2">
        <v>3.7</v>
      </c>
      <c r="O94" s="2">
        <v>3</v>
      </c>
      <c r="P94" s="2">
        <v>2</v>
      </c>
      <c r="Q94" s="2">
        <v>27.85</v>
      </c>
      <c r="R94" s="2" t="str" cm="1">
        <f t="array" ref="R94">_xlfn.IFS(Q94&lt;18.5,"Underweight",
AND(Q94&gt;=18.5,Q94&lt;25),"Normal Weight",
AND(Q94&gt;=25,Q94&lt;30),"Overweight",
Q94&gt;=30,"Obesity")</f>
        <v>Overweight</v>
      </c>
      <c r="S94" s="2">
        <f t="shared" si="1"/>
        <v>742.85714285714289</v>
      </c>
      <c r="T94" s="2" t="str" cm="1">
        <f t="array" ref="T94">_xlfn.IFS(N94&lt;=2.5,"Low",N94&lt;=3,"Medium",N94&gt;3,"High")</f>
        <v>High</v>
      </c>
    </row>
    <row r="95" spans="1:20" x14ac:dyDescent="0.3">
      <c r="A95" s="2">
        <v>94</v>
      </c>
      <c r="B95" s="2" t="s">
        <v>25</v>
      </c>
      <c r="C95" s="2">
        <v>50</v>
      </c>
      <c r="D95" s="2" t="s">
        <v>16</v>
      </c>
      <c r="E95" s="2">
        <v>56.4</v>
      </c>
      <c r="F95" s="2">
        <v>1.59</v>
      </c>
      <c r="G95" s="2">
        <v>185</v>
      </c>
      <c r="H95" s="2">
        <v>163</v>
      </c>
      <c r="I95" s="2">
        <v>74</v>
      </c>
      <c r="J95" s="2">
        <v>1.26</v>
      </c>
      <c r="K95" s="2">
        <v>924</v>
      </c>
      <c r="L95" s="2" t="s">
        <v>18</v>
      </c>
      <c r="M95" s="2">
        <v>34.299999999999997</v>
      </c>
      <c r="N95" s="2">
        <v>2.6</v>
      </c>
      <c r="O95" s="2">
        <v>3</v>
      </c>
      <c r="P95" s="2">
        <v>1</v>
      </c>
      <c r="Q95" s="2">
        <v>22.31</v>
      </c>
      <c r="R95" s="2" t="str" cm="1">
        <f t="array" ref="R95">_xlfn.IFS(Q95&lt;18.5,"Underweight",
AND(Q95&gt;=18.5,Q95&lt;25),"Normal Weight",
AND(Q95&gt;=25,Q95&lt;30),"Overweight",
Q95&gt;=30,"Obesity")</f>
        <v>Normal Weight</v>
      </c>
      <c r="S95" s="2">
        <f t="shared" si="1"/>
        <v>733.33333333333337</v>
      </c>
      <c r="T95" s="2" t="str" cm="1">
        <f t="array" ref="T95">_xlfn.IFS(N95&lt;=2.5,"Low",N95&lt;=3,"Medium",N95&gt;3,"High")</f>
        <v>Medium</v>
      </c>
    </row>
    <row r="96" spans="1:20" x14ac:dyDescent="0.3">
      <c r="A96" s="2">
        <v>95</v>
      </c>
      <c r="B96" s="2" t="s">
        <v>21</v>
      </c>
      <c r="C96" s="2">
        <v>22</v>
      </c>
      <c r="D96" s="2" t="s">
        <v>15</v>
      </c>
      <c r="E96" s="2">
        <v>102.6</v>
      </c>
      <c r="F96" s="2">
        <v>1.84</v>
      </c>
      <c r="G96" s="2">
        <v>163</v>
      </c>
      <c r="H96" s="2">
        <v>153</v>
      </c>
      <c r="I96" s="2">
        <v>65</v>
      </c>
      <c r="J96" s="2">
        <v>1.25</v>
      </c>
      <c r="K96" s="2">
        <v>1052</v>
      </c>
      <c r="L96" s="2" t="s">
        <v>20</v>
      </c>
      <c r="M96" s="2">
        <v>20.5</v>
      </c>
      <c r="N96" s="2">
        <v>2.7</v>
      </c>
      <c r="O96" s="2">
        <v>3</v>
      </c>
      <c r="P96" s="2">
        <v>2</v>
      </c>
      <c r="Q96" s="2">
        <v>30.3</v>
      </c>
      <c r="R96" s="2" t="str" cm="1">
        <f t="array" ref="R96">_xlfn.IFS(Q96&lt;18.5,"Underweight",
AND(Q96&gt;=18.5,Q96&lt;25),"Normal Weight",
AND(Q96&gt;=25,Q96&lt;30),"Overweight",
Q96&gt;=30,"Obesity")</f>
        <v>Obesity</v>
      </c>
      <c r="S96" s="2">
        <f t="shared" si="1"/>
        <v>841.6</v>
      </c>
      <c r="T96" s="2" t="str" cm="1">
        <f t="array" ref="T96">_xlfn.IFS(N96&lt;=2.5,"Low",N96&lt;=3,"Medium",N96&gt;3,"High")</f>
        <v>Medium</v>
      </c>
    </row>
    <row r="97" spans="1:20" x14ac:dyDescent="0.3">
      <c r="A97" s="2">
        <v>96</v>
      </c>
      <c r="B97" s="2" t="s">
        <v>25</v>
      </c>
      <c r="C97" s="2">
        <v>59</v>
      </c>
      <c r="D97" s="2" t="s">
        <v>16</v>
      </c>
      <c r="E97" s="2">
        <v>54.6</v>
      </c>
      <c r="F97" s="2">
        <v>1.57</v>
      </c>
      <c r="G97" s="2">
        <v>164</v>
      </c>
      <c r="H97" s="2">
        <v>169</v>
      </c>
      <c r="I97" s="2">
        <v>64</v>
      </c>
      <c r="J97" s="2">
        <v>0.57999999999999996</v>
      </c>
      <c r="K97" s="2">
        <v>441</v>
      </c>
      <c r="L97" s="2" t="s">
        <v>19</v>
      </c>
      <c r="M97" s="2">
        <v>29.2</v>
      </c>
      <c r="N97" s="2">
        <v>2.2999999999999998</v>
      </c>
      <c r="O97" s="2">
        <v>3</v>
      </c>
      <c r="P97" s="2">
        <v>1</v>
      </c>
      <c r="Q97" s="2">
        <v>22.15</v>
      </c>
      <c r="R97" s="2" t="str" cm="1">
        <f t="array" ref="R97">_xlfn.IFS(Q97&lt;18.5,"Underweight",
AND(Q97&gt;=18.5,Q97&lt;25),"Normal Weight",
AND(Q97&gt;=25,Q97&lt;30),"Overweight",
Q97&gt;=30,"Obesity")</f>
        <v>Normal Weight</v>
      </c>
      <c r="S97" s="2">
        <f t="shared" si="1"/>
        <v>760.34482758620697</v>
      </c>
      <c r="T97" s="2" t="str" cm="1">
        <f t="array" ref="T97">_xlfn.IFS(N97&lt;=2.5,"Low",N97&lt;=3,"Medium",N97&gt;3,"High")</f>
        <v>Low</v>
      </c>
    </row>
    <row r="98" spans="1:20" x14ac:dyDescent="0.3">
      <c r="A98" s="2">
        <v>97</v>
      </c>
      <c r="B98" s="2" t="s">
        <v>30</v>
      </c>
      <c r="C98" s="2">
        <v>56</v>
      </c>
      <c r="D98" s="2" t="s">
        <v>15</v>
      </c>
      <c r="E98" s="2">
        <v>129</v>
      </c>
      <c r="F98" s="2">
        <v>1.78</v>
      </c>
      <c r="G98" s="2">
        <v>194</v>
      </c>
      <c r="H98" s="2">
        <v>126</v>
      </c>
      <c r="I98" s="2">
        <v>64</v>
      </c>
      <c r="J98" s="2">
        <v>1.29</v>
      </c>
      <c r="K98" s="2">
        <v>805</v>
      </c>
      <c r="L98" s="2" t="s">
        <v>17</v>
      </c>
      <c r="M98" s="2">
        <v>27.1</v>
      </c>
      <c r="N98" s="2">
        <v>2.7</v>
      </c>
      <c r="O98" s="2">
        <v>2</v>
      </c>
      <c r="P98" s="2">
        <v>1</v>
      </c>
      <c r="Q98" s="2">
        <v>40.71</v>
      </c>
      <c r="R98" s="2" t="str" cm="1">
        <f t="array" ref="R98">_xlfn.IFS(Q98&lt;18.5,"Underweight",
AND(Q98&gt;=18.5,Q98&lt;25),"Normal Weight",
AND(Q98&gt;=25,Q98&lt;30),"Overweight",
Q98&gt;=30,"Obesity")</f>
        <v>Obesity</v>
      </c>
      <c r="S98" s="2">
        <f t="shared" si="1"/>
        <v>624.03100775193798</v>
      </c>
      <c r="T98" s="2" t="str" cm="1">
        <f t="array" ref="T98">_xlfn.IFS(N98&lt;=2.5,"Low",N98&lt;=3,"Medium",N98&gt;3,"High")</f>
        <v>Medium</v>
      </c>
    </row>
    <row r="99" spans="1:20" x14ac:dyDescent="0.3">
      <c r="A99" s="2">
        <v>98</v>
      </c>
      <c r="B99" s="2" t="s">
        <v>21</v>
      </c>
      <c r="C99" s="2">
        <v>58</v>
      </c>
      <c r="D99" s="2" t="s">
        <v>15</v>
      </c>
      <c r="E99" s="2">
        <v>103.5</v>
      </c>
      <c r="F99" s="2">
        <v>1.66</v>
      </c>
      <c r="G99" s="2">
        <v>172</v>
      </c>
      <c r="H99" s="2">
        <v>168</v>
      </c>
      <c r="I99" s="2">
        <v>61</v>
      </c>
      <c r="J99" s="2">
        <v>1.33</v>
      </c>
      <c r="K99" s="2">
        <v>1106</v>
      </c>
      <c r="L99" s="2" t="s">
        <v>19</v>
      </c>
      <c r="M99" s="2">
        <v>24.6</v>
      </c>
      <c r="N99" s="2">
        <v>3.1</v>
      </c>
      <c r="O99" s="2">
        <v>3</v>
      </c>
      <c r="P99" s="2">
        <v>1</v>
      </c>
      <c r="Q99" s="2">
        <v>37.56</v>
      </c>
      <c r="R99" s="2" t="str" cm="1">
        <f t="array" ref="R99">_xlfn.IFS(Q99&lt;18.5,"Underweight",
AND(Q99&gt;=18.5,Q99&lt;25),"Normal Weight",
AND(Q99&gt;=25,Q99&lt;30),"Overweight",
Q99&gt;=30,"Obesity")</f>
        <v>Obesity</v>
      </c>
      <c r="S99" s="2">
        <f t="shared" si="1"/>
        <v>831.57894736842104</v>
      </c>
      <c r="T99" s="2" t="str" cm="1">
        <f t="array" ref="T99">_xlfn.IFS(N99&lt;=2.5,"Low",N99&lt;=3,"Medium",N99&gt;3,"High")</f>
        <v>High</v>
      </c>
    </row>
    <row r="100" spans="1:20" x14ac:dyDescent="0.3">
      <c r="A100" s="2">
        <v>99</v>
      </c>
      <c r="B100" s="2" t="s">
        <v>30</v>
      </c>
      <c r="C100" s="2">
        <v>45</v>
      </c>
      <c r="D100" s="2" t="s">
        <v>16</v>
      </c>
      <c r="E100" s="2">
        <v>59.4</v>
      </c>
      <c r="F100" s="2">
        <v>1.51</v>
      </c>
      <c r="G100" s="2">
        <v>169</v>
      </c>
      <c r="H100" s="2">
        <v>142</v>
      </c>
      <c r="I100" s="2">
        <v>65</v>
      </c>
      <c r="J100" s="2">
        <v>1.1499999999999999</v>
      </c>
      <c r="K100" s="2">
        <v>735</v>
      </c>
      <c r="L100" s="2" t="s">
        <v>20</v>
      </c>
      <c r="M100" s="2">
        <v>33.1</v>
      </c>
      <c r="N100" s="2">
        <v>1.9</v>
      </c>
      <c r="O100" s="2">
        <v>4</v>
      </c>
      <c r="P100" s="2">
        <v>2</v>
      </c>
      <c r="Q100" s="2">
        <v>26.05</v>
      </c>
      <c r="R100" s="2" t="str" cm="1">
        <f t="array" ref="R100">_xlfn.IFS(Q100&lt;18.5,"Underweight",
AND(Q100&gt;=18.5,Q100&lt;25),"Normal Weight",
AND(Q100&gt;=25,Q100&lt;30),"Overweight",
Q100&gt;=30,"Obesity")</f>
        <v>Overweight</v>
      </c>
      <c r="S100" s="2">
        <f t="shared" si="1"/>
        <v>639.13043478260875</v>
      </c>
      <c r="T100" s="2" t="str" cm="1">
        <f t="array" ref="T100">_xlfn.IFS(N100&lt;=2.5,"Low",N100&lt;=3,"Medium",N100&gt;3,"High")</f>
        <v>Low</v>
      </c>
    </row>
    <row r="101" spans="1:20" x14ac:dyDescent="0.3">
      <c r="A101" s="2">
        <v>100</v>
      </c>
      <c r="B101" s="2" t="s">
        <v>23</v>
      </c>
      <c r="C101" s="2">
        <v>24</v>
      </c>
      <c r="D101" s="2" t="s">
        <v>16</v>
      </c>
      <c r="E101" s="2">
        <v>60.1</v>
      </c>
      <c r="F101" s="2">
        <v>1.79</v>
      </c>
      <c r="G101" s="2">
        <v>170</v>
      </c>
      <c r="H101" s="2">
        <v>165</v>
      </c>
      <c r="I101" s="2">
        <v>63</v>
      </c>
      <c r="J101" s="2">
        <v>1.97</v>
      </c>
      <c r="K101" s="2">
        <v>1625</v>
      </c>
      <c r="L101" s="2" t="s">
        <v>19</v>
      </c>
      <c r="M101" s="2">
        <v>15.9</v>
      </c>
      <c r="N101" s="2">
        <v>2.7</v>
      </c>
      <c r="O101" s="2">
        <v>4</v>
      </c>
      <c r="P101" s="2">
        <v>3</v>
      </c>
      <c r="Q101" s="2">
        <v>18.760000000000002</v>
      </c>
      <c r="R101" s="2" t="str" cm="1">
        <f t="array" ref="R101">_xlfn.IFS(Q101&lt;18.5,"Underweight",
AND(Q101&gt;=18.5,Q101&lt;25),"Normal Weight",
AND(Q101&gt;=25,Q101&lt;30),"Overweight",
Q101&gt;=30,"Obesity")</f>
        <v>Normal Weight</v>
      </c>
      <c r="S101" s="2">
        <f t="shared" si="1"/>
        <v>824.87309644670052</v>
      </c>
      <c r="T101" s="2" t="str" cm="1">
        <f t="array" ref="T101">_xlfn.IFS(N101&lt;=2.5,"Low",N101&lt;=3,"Medium",N101&gt;3,"High")</f>
        <v>Medium</v>
      </c>
    </row>
    <row r="102" spans="1:20" x14ac:dyDescent="0.3">
      <c r="A102" s="2">
        <v>101</v>
      </c>
      <c r="B102" s="2" t="s">
        <v>28</v>
      </c>
      <c r="C102" s="2">
        <v>26</v>
      </c>
      <c r="D102" s="2" t="s">
        <v>15</v>
      </c>
      <c r="E102" s="2">
        <v>77.7</v>
      </c>
      <c r="F102" s="2">
        <v>1.62</v>
      </c>
      <c r="G102" s="2">
        <v>177</v>
      </c>
      <c r="H102" s="2">
        <v>126</v>
      </c>
      <c r="I102" s="2">
        <v>73</v>
      </c>
      <c r="J102" s="2">
        <v>1.1599999999999999</v>
      </c>
      <c r="K102" s="2">
        <v>804</v>
      </c>
      <c r="L102" s="2" t="s">
        <v>17</v>
      </c>
      <c r="M102" s="2">
        <v>29.6</v>
      </c>
      <c r="N102" s="2">
        <v>3</v>
      </c>
      <c r="O102" s="2">
        <v>3</v>
      </c>
      <c r="P102" s="2">
        <v>2</v>
      </c>
      <c r="Q102" s="2">
        <v>29.61</v>
      </c>
      <c r="R102" s="2" t="str" cm="1">
        <f t="array" ref="R102">_xlfn.IFS(Q102&lt;18.5,"Underweight",
AND(Q102&gt;=18.5,Q102&lt;25),"Normal Weight",
AND(Q102&gt;=25,Q102&lt;30),"Overweight",
Q102&gt;=30,"Obesity")</f>
        <v>Overweight</v>
      </c>
      <c r="S102" s="2">
        <f t="shared" si="1"/>
        <v>693.10344827586209</v>
      </c>
      <c r="T102" s="2" t="str" cm="1">
        <f t="array" ref="T102">_xlfn.IFS(N102&lt;=2.5,"Low",N102&lt;=3,"Medium",N102&gt;3,"High")</f>
        <v>Medium</v>
      </c>
    </row>
    <row r="103" spans="1:20" x14ac:dyDescent="0.3">
      <c r="A103" s="2">
        <v>102</v>
      </c>
      <c r="B103" s="2" t="s">
        <v>29</v>
      </c>
      <c r="C103" s="2">
        <v>25</v>
      </c>
      <c r="D103" s="2" t="s">
        <v>16</v>
      </c>
      <c r="E103" s="2">
        <v>41.2</v>
      </c>
      <c r="F103" s="2">
        <v>1.62</v>
      </c>
      <c r="G103" s="2">
        <v>193</v>
      </c>
      <c r="H103" s="2">
        <v>144</v>
      </c>
      <c r="I103" s="2">
        <v>64</v>
      </c>
      <c r="J103" s="2">
        <v>1.49</v>
      </c>
      <c r="K103" s="2">
        <v>1073</v>
      </c>
      <c r="L103" s="2" t="s">
        <v>17</v>
      </c>
      <c r="M103" s="2">
        <v>28.9</v>
      </c>
      <c r="N103" s="2">
        <v>2.1</v>
      </c>
      <c r="O103" s="2">
        <v>4</v>
      </c>
      <c r="P103" s="2">
        <v>2</v>
      </c>
      <c r="Q103" s="2">
        <v>15.7</v>
      </c>
      <c r="R103" s="2" t="str" cm="1">
        <f t="array" ref="R103">_xlfn.IFS(Q103&lt;18.5,"Underweight",
AND(Q103&gt;=18.5,Q103&lt;25),"Normal Weight",
AND(Q103&gt;=25,Q103&lt;30),"Overweight",
Q103&gt;=30,"Obesity")</f>
        <v>Underweight</v>
      </c>
      <c r="S103" s="2">
        <f t="shared" si="1"/>
        <v>720.13422818791946</v>
      </c>
      <c r="T103" s="2" t="str" cm="1">
        <f t="array" ref="T103">_xlfn.IFS(N103&lt;=2.5,"Low",N103&lt;=3,"Medium",N103&gt;3,"High")</f>
        <v>Low</v>
      </c>
    </row>
    <row r="104" spans="1:20" x14ac:dyDescent="0.3">
      <c r="A104" s="2">
        <v>103</v>
      </c>
      <c r="B104" s="2" t="s">
        <v>21</v>
      </c>
      <c r="C104" s="2">
        <v>29</v>
      </c>
      <c r="D104" s="2" t="s">
        <v>15</v>
      </c>
      <c r="E104" s="2">
        <v>58.6</v>
      </c>
      <c r="F104" s="2">
        <v>1.61</v>
      </c>
      <c r="G104" s="2">
        <v>198</v>
      </c>
      <c r="H104" s="2">
        <v>122</v>
      </c>
      <c r="I104" s="2">
        <v>72</v>
      </c>
      <c r="J104" s="2">
        <v>1.2</v>
      </c>
      <c r="K104" s="2">
        <v>805</v>
      </c>
      <c r="L104" s="2" t="s">
        <v>17</v>
      </c>
      <c r="M104" s="2">
        <v>23.4</v>
      </c>
      <c r="N104" s="2">
        <v>2</v>
      </c>
      <c r="O104" s="2">
        <v>3</v>
      </c>
      <c r="P104" s="2">
        <v>2</v>
      </c>
      <c r="Q104" s="2">
        <v>22.61</v>
      </c>
      <c r="R104" s="2" t="str" cm="1">
        <f t="array" ref="R104">_xlfn.IFS(Q104&lt;18.5,"Underweight",
AND(Q104&gt;=18.5,Q104&lt;25),"Normal Weight",
AND(Q104&gt;=25,Q104&lt;30),"Overweight",
Q104&gt;=30,"Obesity")</f>
        <v>Normal Weight</v>
      </c>
      <c r="S104" s="2">
        <f t="shared" si="1"/>
        <v>670.83333333333337</v>
      </c>
      <c r="T104" s="2" t="str" cm="1">
        <f t="array" ref="T104">_xlfn.IFS(N104&lt;=2.5,"Low",N104&lt;=3,"Medium",N104&gt;3,"High")</f>
        <v>Low</v>
      </c>
    </row>
    <row r="105" spans="1:20" x14ac:dyDescent="0.3">
      <c r="A105" s="2">
        <v>104</v>
      </c>
      <c r="B105" s="2" t="s">
        <v>21</v>
      </c>
      <c r="C105" s="2">
        <v>51</v>
      </c>
      <c r="D105" s="2" t="s">
        <v>15</v>
      </c>
      <c r="E105" s="2">
        <v>109.3</v>
      </c>
      <c r="F105" s="2">
        <v>1.78</v>
      </c>
      <c r="G105" s="2">
        <v>182</v>
      </c>
      <c r="H105" s="2">
        <v>157</v>
      </c>
      <c r="I105" s="2">
        <v>64</v>
      </c>
      <c r="J105" s="2">
        <v>0.54</v>
      </c>
      <c r="K105" s="2">
        <v>420</v>
      </c>
      <c r="L105" s="2" t="s">
        <v>20</v>
      </c>
      <c r="M105" s="2">
        <v>28.7</v>
      </c>
      <c r="N105" s="2">
        <v>3.3</v>
      </c>
      <c r="O105" s="2">
        <v>3</v>
      </c>
      <c r="P105" s="2">
        <v>1</v>
      </c>
      <c r="Q105" s="2">
        <v>34.5</v>
      </c>
      <c r="R105" s="2" t="str" cm="1">
        <f t="array" ref="R105">_xlfn.IFS(Q105&lt;18.5,"Underweight",
AND(Q105&gt;=18.5,Q105&lt;25),"Normal Weight",
AND(Q105&gt;=25,Q105&lt;30),"Overweight",
Q105&gt;=30,"Obesity")</f>
        <v>Obesity</v>
      </c>
      <c r="S105" s="2">
        <f t="shared" si="1"/>
        <v>777.77777777777771</v>
      </c>
      <c r="T105" s="2" t="str" cm="1">
        <f t="array" ref="T105">_xlfn.IFS(N105&lt;=2.5,"Low",N105&lt;=3,"Medium",N105&gt;3,"High")</f>
        <v>High</v>
      </c>
    </row>
    <row r="106" spans="1:20" x14ac:dyDescent="0.3">
      <c r="A106" s="2">
        <v>105</v>
      </c>
      <c r="B106" s="2" t="s">
        <v>23</v>
      </c>
      <c r="C106" s="2">
        <v>50</v>
      </c>
      <c r="D106" s="2" t="s">
        <v>15</v>
      </c>
      <c r="E106" s="2">
        <v>69.599999999999994</v>
      </c>
      <c r="F106" s="2">
        <v>1.96</v>
      </c>
      <c r="G106" s="2">
        <v>166</v>
      </c>
      <c r="H106" s="2">
        <v>139</v>
      </c>
      <c r="I106" s="2">
        <v>68</v>
      </c>
      <c r="J106" s="2">
        <v>0.97</v>
      </c>
      <c r="K106" s="2">
        <v>667</v>
      </c>
      <c r="L106" s="2" t="s">
        <v>20</v>
      </c>
      <c r="M106" s="2">
        <v>25.6</v>
      </c>
      <c r="N106" s="2">
        <v>2</v>
      </c>
      <c r="O106" s="2">
        <v>3</v>
      </c>
      <c r="P106" s="2">
        <v>1</v>
      </c>
      <c r="Q106" s="2">
        <v>18.12</v>
      </c>
      <c r="R106" s="2" t="str" cm="1">
        <f t="array" ref="R106">_xlfn.IFS(Q106&lt;18.5,"Underweight",
AND(Q106&gt;=18.5,Q106&lt;25),"Normal Weight",
AND(Q106&gt;=25,Q106&lt;30),"Overweight",
Q106&gt;=30,"Obesity")</f>
        <v>Underweight</v>
      </c>
      <c r="S106" s="2">
        <f t="shared" si="1"/>
        <v>687.62886597938143</v>
      </c>
      <c r="T106" s="2" t="str" cm="1">
        <f t="array" ref="T106">_xlfn.IFS(N106&lt;=2.5,"Low",N106&lt;=3,"Medium",N106&gt;3,"High")</f>
        <v>Low</v>
      </c>
    </row>
    <row r="107" spans="1:20" x14ac:dyDescent="0.3">
      <c r="A107" s="2">
        <v>106</v>
      </c>
      <c r="B107" s="2" t="s">
        <v>24</v>
      </c>
      <c r="C107" s="2">
        <v>40</v>
      </c>
      <c r="D107" s="2" t="s">
        <v>16</v>
      </c>
      <c r="E107" s="2">
        <v>56.2</v>
      </c>
      <c r="F107" s="2">
        <v>1.79</v>
      </c>
      <c r="G107" s="2">
        <v>198</v>
      </c>
      <c r="H107" s="2">
        <v>153</v>
      </c>
      <c r="I107" s="2">
        <v>57</v>
      </c>
      <c r="J107" s="2">
        <v>1.79</v>
      </c>
      <c r="K107" s="2">
        <v>1369</v>
      </c>
      <c r="L107" s="2" t="s">
        <v>17</v>
      </c>
      <c r="M107" s="2">
        <v>17.600000000000001</v>
      </c>
      <c r="N107" s="2">
        <v>2.7</v>
      </c>
      <c r="O107" s="2">
        <v>5</v>
      </c>
      <c r="P107" s="2">
        <v>3</v>
      </c>
      <c r="Q107" s="2">
        <v>17.54</v>
      </c>
      <c r="R107" s="2" t="str" cm="1">
        <f t="array" ref="R107">_xlfn.IFS(Q107&lt;18.5,"Underweight",
AND(Q107&gt;=18.5,Q107&lt;25),"Normal Weight",
AND(Q107&gt;=25,Q107&lt;30),"Overweight",
Q107&gt;=30,"Obesity")</f>
        <v>Underweight</v>
      </c>
      <c r="S107" s="2">
        <f t="shared" si="1"/>
        <v>764.80446927374305</v>
      </c>
      <c r="T107" s="2" t="str" cm="1">
        <f t="array" ref="T107">_xlfn.IFS(N107&lt;=2.5,"Low",N107&lt;=3,"Medium",N107&gt;3,"High")</f>
        <v>Medium</v>
      </c>
    </row>
    <row r="108" spans="1:20" x14ac:dyDescent="0.3">
      <c r="A108" s="2">
        <v>107</v>
      </c>
      <c r="B108" s="2" t="s">
        <v>26</v>
      </c>
      <c r="C108" s="2">
        <v>41</v>
      </c>
      <c r="D108" s="2" t="s">
        <v>15</v>
      </c>
      <c r="E108" s="2">
        <v>71.7</v>
      </c>
      <c r="F108" s="2">
        <v>1.96</v>
      </c>
      <c r="G108" s="2">
        <v>162</v>
      </c>
      <c r="H108" s="2">
        <v>168</v>
      </c>
      <c r="I108" s="2">
        <v>51</v>
      </c>
      <c r="J108" s="2">
        <v>0.51</v>
      </c>
      <c r="K108" s="2">
        <v>424</v>
      </c>
      <c r="L108" s="2" t="s">
        <v>17</v>
      </c>
      <c r="M108" s="2">
        <v>27.3</v>
      </c>
      <c r="N108" s="2">
        <v>2.5</v>
      </c>
      <c r="O108" s="2">
        <v>2</v>
      </c>
      <c r="P108" s="2">
        <v>1</v>
      </c>
      <c r="Q108" s="2">
        <v>18.66</v>
      </c>
      <c r="R108" s="2" t="str" cm="1">
        <f t="array" ref="R108">_xlfn.IFS(Q108&lt;18.5,"Underweight",
AND(Q108&gt;=18.5,Q108&lt;25),"Normal Weight",
AND(Q108&gt;=25,Q108&lt;30),"Overweight",
Q108&gt;=30,"Obesity")</f>
        <v>Normal Weight</v>
      </c>
      <c r="S108" s="2">
        <f t="shared" si="1"/>
        <v>831.37254901960785</v>
      </c>
      <c r="T108" s="2" t="str" cm="1">
        <f t="array" ref="T108">_xlfn.IFS(N108&lt;=2.5,"Low",N108&lt;=3,"Medium",N108&gt;3,"High")</f>
        <v>Low</v>
      </c>
    </row>
    <row r="109" spans="1:20" x14ac:dyDescent="0.3">
      <c r="A109" s="2">
        <v>108</v>
      </c>
      <c r="B109" s="2" t="s">
        <v>23</v>
      </c>
      <c r="C109" s="2">
        <v>54</v>
      </c>
      <c r="D109" s="2" t="s">
        <v>15</v>
      </c>
      <c r="E109" s="2">
        <v>86</v>
      </c>
      <c r="F109" s="2">
        <v>1.93</v>
      </c>
      <c r="G109" s="2">
        <v>171</v>
      </c>
      <c r="H109" s="2">
        <v>163</v>
      </c>
      <c r="I109" s="2">
        <v>51</v>
      </c>
      <c r="J109" s="2">
        <v>1.74</v>
      </c>
      <c r="K109" s="2">
        <v>1404</v>
      </c>
      <c r="L109" s="2" t="s">
        <v>20</v>
      </c>
      <c r="M109" s="2">
        <v>12.9</v>
      </c>
      <c r="N109" s="2">
        <v>3.5</v>
      </c>
      <c r="O109" s="2">
        <v>5</v>
      </c>
      <c r="P109" s="2">
        <v>3</v>
      </c>
      <c r="Q109" s="2">
        <v>23.09</v>
      </c>
      <c r="R109" s="2" t="str" cm="1">
        <f t="array" ref="R109">_xlfn.IFS(Q109&lt;18.5,"Underweight",
AND(Q109&gt;=18.5,Q109&lt;25),"Normal Weight",
AND(Q109&gt;=25,Q109&lt;30),"Overweight",
Q109&gt;=30,"Obesity")</f>
        <v>Normal Weight</v>
      </c>
      <c r="S109" s="2">
        <f t="shared" si="1"/>
        <v>806.89655172413791</v>
      </c>
      <c r="T109" s="2" t="str" cm="1">
        <f t="array" ref="T109">_xlfn.IFS(N109&lt;=2.5,"Low",N109&lt;=3,"Medium",N109&gt;3,"High")</f>
        <v>High</v>
      </c>
    </row>
    <row r="110" spans="1:20" x14ac:dyDescent="0.3">
      <c r="A110" s="2">
        <v>109</v>
      </c>
      <c r="B110" s="2" t="s">
        <v>27</v>
      </c>
      <c r="C110" s="2">
        <v>52</v>
      </c>
      <c r="D110" s="2" t="s">
        <v>16</v>
      </c>
      <c r="E110" s="2">
        <v>79.400000000000006</v>
      </c>
      <c r="F110" s="2">
        <v>1.59</v>
      </c>
      <c r="G110" s="2">
        <v>166</v>
      </c>
      <c r="H110" s="2">
        <v>163</v>
      </c>
      <c r="I110" s="2">
        <v>59</v>
      </c>
      <c r="J110" s="2">
        <v>1.39</v>
      </c>
      <c r="K110" s="2">
        <v>1020</v>
      </c>
      <c r="L110" s="2" t="s">
        <v>20</v>
      </c>
      <c r="M110" s="2">
        <v>26.6</v>
      </c>
      <c r="N110" s="2">
        <v>1.5</v>
      </c>
      <c r="O110" s="2">
        <v>3</v>
      </c>
      <c r="P110" s="2">
        <v>2</v>
      </c>
      <c r="Q110" s="2">
        <v>31.41</v>
      </c>
      <c r="R110" s="2" t="str" cm="1">
        <f t="array" ref="R110">_xlfn.IFS(Q110&lt;18.5,"Underweight",
AND(Q110&gt;=18.5,Q110&lt;25),"Normal Weight",
AND(Q110&gt;=25,Q110&lt;30),"Overweight",
Q110&gt;=30,"Obesity")</f>
        <v>Obesity</v>
      </c>
      <c r="S110" s="2">
        <f t="shared" si="1"/>
        <v>733.8129496402878</v>
      </c>
      <c r="T110" s="2" t="str" cm="1">
        <f t="array" ref="T110">_xlfn.IFS(N110&lt;=2.5,"Low",N110&lt;=3,"Medium",N110&gt;3,"High")</f>
        <v>Low</v>
      </c>
    </row>
    <row r="111" spans="1:20" x14ac:dyDescent="0.3">
      <c r="A111" s="2">
        <v>110</v>
      </c>
      <c r="B111" s="2" t="s">
        <v>26</v>
      </c>
      <c r="C111" s="2">
        <v>57</v>
      </c>
      <c r="D111" s="2" t="s">
        <v>16</v>
      </c>
      <c r="E111" s="2">
        <v>78.400000000000006</v>
      </c>
      <c r="F111" s="2">
        <v>1.62</v>
      </c>
      <c r="G111" s="2">
        <v>185</v>
      </c>
      <c r="H111" s="2">
        <v>149</v>
      </c>
      <c r="I111" s="2">
        <v>52</v>
      </c>
      <c r="J111" s="2">
        <v>1.01</v>
      </c>
      <c r="K111" s="2">
        <v>677</v>
      </c>
      <c r="L111" s="2" t="s">
        <v>20</v>
      </c>
      <c r="M111" s="2">
        <v>31.7</v>
      </c>
      <c r="N111" s="2">
        <v>2</v>
      </c>
      <c r="O111" s="2">
        <v>4</v>
      </c>
      <c r="P111" s="2">
        <v>2</v>
      </c>
      <c r="Q111" s="2">
        <v>29.87</v>
      </c>
      <c r="R111" s="2" t="str" cm="1">
        <f t="array" ref="R111">_xlfn.IFS(Q111&lt;18.5,"Underweight",
AND(Q111&gt;=18.5,Q111&lt;25),"Normal Weight",
AND(Q111&gt;=25,Q111&lt;30),"Overweight",
Q111&gt;=30,"Obesity")</f>
        <v>Overweight</v>
      </c>
      <c r="S111" s="2">
        <f t="shared" si="1"/>
        <v>670.29702970297024</v>
      </c>
      <c r="T111" s="2" t="str" cm="1">
        <f t="array" ref="T111">_xlfn.IFS(N111&lt;=2.5,"Low",N111&lt;=3,"Medium",N111&gt;3,"High")</f>
        <v>Low</v>
      </c>
    </row>
    <row r="112" spans="1:20" x14ac:dyDescent="0.3">
      <c r="A112" s="2">
        <v>111</v>
      </c>
      <c r="B112" s="2" t="s">
        <v>29</v>
      </c>
      <c r="C112" s="2">
        <v>39</v>
      </c>
      <c r="D112" s="2" t="s">
        <v>16</v>
      </c>
      <c r="E112" s="2">
        <v>55.4</v>
      </c>
      <c r="F112" s="2">
        <v>1.6</v>
      </c>
      <c r="G112" s="2">
        <v>192</v>
      </c>
      <c r="H112" s="2">
        <v>136</v>
      </c>
      <c r="I112" s="2">
        <v>72</v>
      </c>
      <c r="J112" s="2">
        <v>1.44</v>
      </c>
      <c r="K112" s="2">
        <v>979</v>
      </c>
      <c r="L112" s="2" t="s">
        <v>18</v>
      </c>
      <c r="M112" s="2">
        <v>26.3</v>
      </c>
      <c r="N112" s="2">
        <v>1.6</v>
      </c>
      <c r="O112" s="2">
        <v>3</v>
      </c>
      <c r="P112" s="2">
        <v>2</v>
      </c>
      <c r="Q112" s="2">
        <v>21.64</v>
      </c>
      <c r="R112" s="2" t="str" cm="1">
        <f t="array" ref="R112">_xlfn.IFS(Q112&lt;18.5,"Underweight",
AND(Q112&gt;=18.5,Q112&lt;25),"Normal Weight",
AND(Q112&gt;=25,Q112&lt;30),"Overweight",
Q112&gt;=30,"Obesity")</f>
        <v>Normal Weight</v>
      </c>
      <c r="S112" s="2">
        <f t="shared" si="1"/>
        <v>679.86111111111109</v>
      </c>
      <c r="T112" s="2" t="str" cm="1">
        <f t="array" ref="T112">_xlfn.IFS(N112&lt;=2.5,"Low",N112&lt;=3,"Medium",N112&gt;3,"High")</f>
        <v>Low</v>
      </c>
    </row>
    <row r="113" spans="1:20" x14ac:dyDescent="0.3">
      <c r="A113" s="2">
        <v>112</v>
      </c>
      <c r="B113" s="2" t="s">
        <v>26</v>
      </c>
      <c r="C113" s="2">
        <v>44</v>
      </c>
      <c r="D113" s="2" t="s">
        <v>16</v>
      </c>
      <c r="E113" s="2">
        <v>61.7</v>
      </c>
      <c r="F113" s="2">
        <v>1.55</v>
      </c>
      <c r="G113" s="2">
        <v>196</v>
      </c>
      <c r="H113" s="2">
        <v>129</v>
      </c>
      <c r="I113" s="2">
        <v>66</v>
      </c>
      <c r="J113" s="2">
        <v>1.41</v>
      </c>
      <c r="K113" s="2">
        <v>819</v>
      </c>
      <c r="L113" s="2" t="s">
        <v>20</v>
      </c>
      <c r="M113" s="2">
        <v>33.1</v>
      </c>
      <c r="N113" s="2">
        <v>2.6</v>
      </c>
      <c r="O113" s="2">
        <v>4</v>
      </c>
      <c r="P113" s="2">
        <v>2</v>
      </c>
      <c r="Q113" s="2">
        <v>25.68</v>
      </c>
      <c r="R113" s="2" t="str" cm="1">
        <f t="array" ref="R113">_xlfn.IFS(Q113&lt;18.5,"Underweight",
AND(Q113&gt;=18.5,Q113&lt;25),"Normal Weight",
AND(Q113&gt;=25,Q113&lt;30),"Overweight",
Q113&gt;=30,"Obesity")</f>
        <v>Overweight</v>
      </c>
      <c r="S113" s="2">
        <f t="shared" si="1"/>
        <v>580.85106382978722</v>
      </c>
      <c r="T113" s="2" t="str" cm="1">
        <f t="array" ref="T113">_xlfn.IFS(N113&lt;=2.5,"Low",N113&lt;=3,"Medium",N113&gt;3,"High")</f>
        <v>Medium</v>
      </c>
    </row>
    <row r="114" spans="1:20" x14ac:dyDescent="0.3">
      <c r="A114" s="2">
        <v>113</v>
      </c>
      <c r="B114" s="2" t="s">
        <v>24</v>
      </c>
      <c r="C114" s="2">
        <v>52</v>
      </c>
      <c r="D114" s="2" t="s">
        <v>15</v>
      </c>
      <c r="E114" s="2">
        <v>85.5</v>
      </c>
      <c r="F114" s="2">
        <v>1.82</v>
      </c>
      <c r="G114" s="2">
        <v>174</v>
      </c>
      <c r="H114" s="2">
        <v>154</v>
      </c>
      <c r="I114" s="2">
        <v>57</v>
      </c>
      <c r="J114" s="2">
        <v>1.78</v>
      </c>
      <c r="K114" s="2">
        <v>1357</v>
      </c>
      <c r="L114" s="2" t="s">
        <v>17</v>
      </c>
      <c r="M114" s="2">
        <v>14.9</v>
      </c>
      <c r="N114" s="2">
        <v>3.5</v>
      </c>
      <c r="O114" s="2">
        <v>4</v>
      </c>
      <c r="P114" s="2">
        <v>3</v>
      </c>
      <c r="Q114" s="2">
        <v>25.81</v>
      </c>
      <c r="R114" s="2" t="str" cm="1">
        <f t="array" ref="R114">_xlfn.IFS(Q114&lt;18.5,"Underweight",
AND(Q114&gt;=18.5,Q114&lt;25),"Normal Weight",
AND(Q114&gt;=25,Q114&lt;30),"Overweight",
Q114&gt;=30,"Obesity")</f>
        <v>Overweight</v>
      </c>
      <c r="S114" s="2">
        <f t="shared" si="1"/>
        <v>762.35955056179773</v>
      </c>
      <c r="T114" s="2" t="str" cm="1">
        <f t="array" ref="T114">_xlfn.IFS(N114&lt;=2.5,"Low",N114&lt;=3,"Medium",N114&gt;3,"High")</f>
        <v>High</v>
      </c>
    </row>
    <row r="115" spans="1:20" x14ac:dyDescent="0.3">
      <c r="A115" s="2">
        <v>114</v>
      </c>
      <c r="B115" s="2" t="s">
        <v>26</v>
      </c>
      <c r="C115" s="2">
        <v>18</v>
      </c>
      <c r="D115" s="2" t="s">
        <v>15</v>
      </c>
      <c r="E115" s="2">
        <v>87.6</v>
      </c>
      <c r="F115" s="2">
        <v>1.93</v>
      </c>
      <c r="G115" s="2">
        <v>161</v>
      </c>
      <c r="H115" s="2">
        <v>139</v>
      </c>
      <c r="I115" s="2">
        <v>72</v>
      </c>
      <c r="J115" s="2">
        <v>1.72</v>
      </c>
      <c r="K115" s="2">
        <v>1315</v>
      </c>
      <c r="L115" s="2" t="s">
        <v>18</v>
      </c>
      <c r="M115" s="2">
        <v>11.9</v>
      </c>
      <c r="N115" s="2">
        <v>3.5</v>
      </c>
      <c r="O115" s="2">
        <v>4</v>
      </c>
      <c r="P115" s="2">
        <v>3</v>
      </c>
      <c r="Q115" s="2">
        <v>23.52</v>
      </c>
      <c r="R115" s="2" t="str" cm="1">
        <f t="array" ref="R115">_xlfn.IFS(Q115&lt;18.5,"Underweight",
AND(Q115&gt;=18.5,Q115&lt;25),"Normal Weight",
AND(Q115&gt;=25,Q115&lt;30),"Overweight",
Q115&gt;=30,"Obesity")</f>
        <v>Normal Weight</v>
      </c>
      <c r="S115" s="2">
        <f t="shared" si="1"/>
        <v>764.53488372093022</v>
      </c>
      <c r="T115" s="2" t="str" cm="1">
        <f t="array" ref="T115">_xlfn.IFS(N115&lt;=2.5,"Low",N115&lt;=3,"Medium",N115&gt;3,"High")</f>
        <v>High</v>
      </c>
    </row>
    <row r="116" spans="1:20" x14ac:dyDescent="0.3">
      <c r="A116" s="2">
        <v>115</v>
      </c>
      <c r="B116" s="2" t="s">
        <v>29</v>
      </c>
      <c r="C116" s="2">
        <v>52</v>
      </c>
      <c r="D116" s="2" t="s">
        <v>15</v>
      </c>
      <c r="E116" s="2">
        <v>82.4</v>
      </c>
      <c r="F116" s="2">
        <v>1.72</v>
      </c>
      <c r="G116" s="2">
        <v>166</v>
      </c>
      <c r="H116" s="2">
        <v>137</v>
      </c>
      <c r="I116" s="2">
        <v>53</v>
      </c>
      <c r="J116" s="2">
        <v>1.01</v>
      </c>
      <c r="K116" s="2">
        <v>685</v>
      </c>
      <c r="L116" s="2" t="s">
        <v>20</v>
      </c>
      <c r="M116" s="2">
        <v>24.4</v>
      </c>
      <c r="N116" s="2">
        <v>2.7</v>
      </c>
      <c r="O116" s="2">
        <v>4</v>
      </c>
      <c r="P116" s="2">
        <v>2</v>
      </c>
      <c r="Q116" s="2">
        <v>27.85</v>
      </c>
      <c r="R116" s="2" t="str" cm="1">
        <f t="array" ref="R116">_xlfn.IFS(Q116&lt;18.5,"Underweight",
AND(Q116&gt;=18.5,Q116&lt;25),"Normal Weight",
AND(Q116&gt;=25,Q116&lt;30),"Overweight",
Q116&gt;=30,"Obesity")</f>
        <v>Overweight</v>
      </c>
      <c r="S116" s="2">
        <f t="shared" si="1"/>
        <v>678.21782178217825</v>
      </c>
      <c r="T116" s="2" t="str" cm="1">
        <f t="array" ref="T116">_xlfn.IFS(N116&lt;=2.5,"Low",N116&lt;=3,"Medium",N116&gt;3,"High")</f>
        <v>Medium</v>
      </c>
    </row>
    <row r="117" spans="1:20" x14ac:dyDescent="0.3">
      <c r="A117" s="2">
        <v>116</v>
      </c>
      <c r="B117" s="2" t="s">
        <v>24</v>
      </c>
      <c r="C117" s="2">
        <v>54</v>
      </c>
      <c r="D117" s="2" t="s">
        <v>15</v>
      </c>
      <c r="E117" s="2">
        <v>67</v>
      </c>
      <c r="F117" s="2">
        <v>1.68</v>
      </c>
      <c r="G117" s="2">
        <v>191</v>
      </c>
      <c r="H117" s="2">
        <v>164</v>
      </c>
      <c r="I117" s="2">
        <v>63</v>
      </c>
      <c r="J117" s="2">
        <v>0.55000000000000004</v>
      </c>
      <c r="K117" s="2">
        <v>446</v>
      </c>
      <c r="L117" s="2" t="s">
        <v>17</v>
      </c>
      <c r="M117" s="2">
        <v>20.5</v>
      </c>
      <c r="N117" s="2">
        <v>2.8</v>
      </c>
      <c r="O117" s="2">
        <v>3</v>
      </c>
      <c r="P117" s="2">
        <v>1</v>
      </c>
      <c r="Q117" s="2">
        <v>23.74</v>
      </c>
      <c r="R117" s="2" t="str" cm="1">
        <f t="array" ref="R117">_xlfn.IFS(Q117&lt;18.5,"Underweight",
AND(Q117&gt;=18.5,Q117&lt;25),"Normal Weight",
AND(Q117&gt;=25,Q117&lt;30),"Overweight",
Q117&gt;=30,"Obesity")</f>
        <v>Normal Weight</v>
      </c>
      <c r="S117" s="2">
        <f t="shared" si="1"/>
        <v>810.90909090909088</v>
      </c>
      <c r="T117" s="2" t="str" cm="1">
        <f t="array" ref="T117">_xlfn.IFS(N117&lt;=2.5,"Low",N117&lt;=3,"Medium",N117&gt;3,"High")</f>
        <v>Medium</v>
      </c>
    </row>
    <row r="118" spans="1:20" x14ac:dyDescent="0.3">
      <c r="A118" s="2">
        <v>117</v>
      </c>
      <c r="B118" s="2" t="s">
        <v>25</v>
      </c>
      <c r="C118" s="2">
        <v>31</v>
      </c>
      <c r="D118" s="2" t="s">
        <v>16</v>
      </c>
      <c r="E118" s="2">
        <v>42.3</v>
      </c>
      <c r="F118" s="2">
        <v>1.6</v>
      </c>
      <c r="G118" s="2">
        <v>163</v>
      </c>
      <c r="H118" s="2">
        <v>163</v>
      </c>
      <c r="I118" s="2">
        <v>70</v>
      </c>
      <c r="J118" s="2">
        <v>1.0900000000000001</v>
      </c>
      <c r="K118" s="2">
        <v>888</v>
      </c>
      <c r="L118" s="2" t="s">
        <v>19</v>
      </c>
      <c r="M118" s="2">
        <v>25.1</v>
      </c>
      <c r="N118" s="2">
        <v>1.9</v>
      </c>
      <c r="O118" s="2">
        <v>3</v>
      </c>
      <c r="P118" s="2">
        <v>2</v>
      </c>
      <c r="Q118" s="2">
        <v>16.52</v>
      </c>
      <c r="R118" s="2" t="str" cm="1">
        <f t="array" ref="R118">_xlfn.IFS(Q118&lt;18.5,"Underweight",
AND(Q118&gt;=18.5,Q118&lt;25),"Normal Weight",
AND(Q118&gt;=25,Q118&lt;30),"Overweight",
Q118&gt;=30,"Obesity")</f>
        <v>Underweight</v>
      </c>
      <c r="S118" s="2">
        <f t="shared" si="1"/>
        <v>814.67889908256871</v>
      </c>
      <c r="T118" s="2" t="str" cm="1">
        <f t="array" ref="T118">_xlfn.IFS(N118&lt;=2.5,"Low",N118&lt;=3,"Medium",N118&gt;3,"High")</f>
        <v>Low</v>
      </c>
    </row>
    <row r="119" spans="1:20" x14ac:dyDescent="0.3">
      <c r="A119" s="2">
        <v>118</v>
      </c>
      <c r="B119" s="2" t="s">
        <v>21</v>
      </c>
      <c r="C119" s="2">
        <v>20</v>
      </c>
      <c r="D119" s="2" t="s">
        <v>15</v>
      </c>
      <c r="E119" s="2">
        <v>82.7</v>
      </c>
      <c r="F119" s="2">
        <v>1.99</v>
      </c>
      <c r="G119" s="2">
        <v>179</v>
      </c>
      <c r="H119" s="2">
        <v>146</v>
      </c>
      <c r="I119" s="2">
        <v>59</v>
      </c>
      <c r="J119" s="2">
        <v>1.69</v>
      </c>
      <c r="K119" s="2">
        <v>1357</v>
      </c>
      <c r="L119" s="2" t="s">
        <v>18</v>
      </c>
      <c r="M119" s="2">
        <v>14.6</v>
      </c>
      <c r="N119" s="2">
        <v>3.5</v>
      </c>
      <c r="O119" s="2">
        <v>5</v>
      </c>
      <c r="P119" s="2">
        <v>3</v>
      </c>
      <c r="Q119" s="2">
        <v>20.88</v>
      </c>
      <c r="R119" s="2" t="str" cm="1">
        <f t="array" ref="R119">_xlfn.IFS(Q119&lt;18.5,"Underweight",
AND(Q119&gt;=18.5,Q119&lt;25),"Normal Weight",
AND(Q119&gt;=25,Q119&lt;30),"Overweight",
Q119&gt;=30,"Obesity")</f>
        <v>Normal Weight</v>
      </c>
      <c r="S119" s="2">
        <f t="shared" si="1"/>
        <v>802.95857988165687</v>
      </c>
      <c r="T119" s="2" t="str" cm="1">
        <f t="array" ref="T119">_xlfn.IFS(N119&lt;=2.5,"Low",N119&lt;=3,"Medium",N119&gt;3,"High")</f>
        <v>High</v>
      </c>
    </row>
    <row r="120" spans="1:20" x14ac:dyDescent="0.3">
      <c r="A120" s="2">
        <v>119</v>
      </c>
      <c r="B120" s="2" t="s">
        <v>21</v>
      </c>
      <c r="C120" s="2">
        <v>18</v>
      </c>
      <c r="D120" s="2" t="s">
        <v>15</v>
      </c>
      <c r="E120" s="2">
        <v>92.4</v>
      </c>
      <c r="F120" s="2">
        <v>1.74</v>
      </c>
      <c r="G120" s="2">
        <v>195</v>
      </c>
      <c r="H120" s="2">
        <v>168</v>
      </c>
      <c r="I120" s="2">
        <v>50</v>
      </c>
      <c r="J120" s="2">
        <v>1.41</v>
      </c>
      <c r="K120" s="2">
        <v>1303</v>
      </c>
      <c r="L120" s="2" t="s">
        <v>17</v>
      </c>
      <c r="M120" s="2">
        <v>21.3</v>
      </c>
      <c r="N120" s="2">
        <v>3.1</v>
      </c>
      <c r="O120" s="2">
        <v>2</v>
      </c>
      <c r="P120" s="2">
        <v>1</v>
      </c>
      <c r="Q120" s="2">
        <v>30.52</v>
      </c>
      <c r="R120" s="2" t="str" cm="1">
        <f t="array" ref="R120">_xlfn.IFS(Q120&lt;18.5,"Underweight",
AND(Q120&gt;=18.5,Q120&lt;25),"Normal Weight",
AND(Q120&gt;=25,Q120&lt;30),"Overweight",
Q120&gt;=30,"Obesity")</f>
        <v>Obesity</v>
      </c>
      <c r="S120" s="2">
        <f t="shared" si="1"/>
        <v>924.11347517730496</v>
      </c>
      <c r="T120" s="2" t="str" cm="1">
        <f t="array" ref="T120">_xlfn.IFS(N120&lt;=2.5,"Low",N120&lt;=3,"Medium",N120&gt;3,"High")</f>
        <v>High</v>
      </c>
    </row>
    <row r="121" spans="1:20" x14ac:dyDescent="0.3">
      <c r="A121" s="2">
        <v>120</v>
      </c>
      <c r="B121" s="2" t="s">
        <v>30</v>
      </c>
      <c r="C121" s="2">
        <v>22</v>
      </c>
      <c r="D121" s="2" t="s">
        <v>16</v>
      </c>
      <c r="E121" s="2">
        <v>63.2</v>
      </c>
      <c r="F121" s="2">
        <v>1.54</v>
      </c>
      <c r="G121" s="2">
        <v>191</v>
      </c>
      <c r="H121" s="2">
        <v>155</v>
      </c>
      <c r="I121" s="2">
        <v>53</v>
      </c>
      <c r="J121" s="2">
        <v>1.02</v>
      </c>
      <c r="K121" s="2">
        <v>790</v>
      </c>
      <c r="L121" s="2" t="s">
        <v>19</v>
      </c>
      <c r="M121" s="2">
        <v>29.5</v>
      </c>
      <c r="N121" s="2">
        <v>2.4</v>
      </c>
      <c r="O121" s="2">
        <v>4</v>
      </c>
      <c r="P121" s="2">
        <v>2</v>
      </c>
      <c r="Q121" s="2">
        <v>26.65</v>
      </c>
      <c r="R121" s="2" t="str" cm="1">
        <f t="array" ref="R121">_xlfn.IFS(Q121&lt;18.5,"Underweight",
AND(Q121&gt;=18.5,Q121&lt;25),"Normal Weight",
AND(Q121&gt;=25,Q121&lt;30),"Overweight",
Q121&gt;=30,"Obesity")</f>
        <v>Overweight</v>
      </c>
      <c r="S121" s="2">
        <f t="shared" si="1"/>
        <v>774.50980392156862</v>
      </c>
      <c r="T121" s="2" t="str" cm="1">
        <f t="array" ref="T121">_xlfn.IFS(N121&lt;=2.5,"Low",N121&lt;=3,"Medium",N121&gt;3,"High")</f>
        <v>Low</v>
      </c>
    </row>
    <row r="122" spans="1:20" x14ac:dyDescent="0.3">
      <c r="A122" s="2">
        <v>121</v>
      </c>
      <c r="B122" s="2" t="s">
        <v>25</v>
      </c>
      <c r="C122" s="2">
        <v>43</v>
      </c>
      <c r="D122" s="2" t="s">
        <v>15</v>
      </c>
      <c r="E122" s="2">
        <v>82.7</v>
      </c>
      <c r="F122" s="2">
        <v>1.85</v>
      </c>
      <c r="G122" s="2">
        <v>187</v>
      </c>
      <c r="H122" s="2">
        <v>142</v>
      </c>
      <c r="I122" s="2">
        <v>50</v>
      </c>
      <c r="J122" s="2">
        <v>1.22</v>
      </c>
      <c r="K122" s="2">
        <v>858</v>
      </c>
      <c r="L122" s="2" t="s">
        <v>17</v>
      </c>
      <c r="M122" s="2">
        <v>28.2</v>
      </c>
      <c r="N122" s="2">
        <v>3.1</v>
      </c>
      <c r="O122" s="2">
        <v>4</v>
      </c>
      <c r="P122" s="2">
        <v>2</v>
      </c>
      <c r="Q122" s="2">
        <v>24.16</v>
      </c>
      <c r="R122" s="2" t="str" cm="1">
        <f t="array" ref="R122">_xlfn.IFS(Q122&lt;18.5,"Underweight",
AND(Q122&gt;=18.5,Q122&lt;25),"Normal Weight",
AND(Q122&gt;=25,Q122&lt;30),"Overweight",
Q122&gt;=30,"Obesity")</f>
        <v>Normal Weight</v>
      </c>
      <c r="S122" s="2">
        <f t="shared" si="1"/>
        <v>703.27868852459017</v>
      </c>
      <c r="T122" s="2" t="str" cm="1">
        <f t="array" ref="T122">_xlfn.IFS(N122&lt;=2.5,"Low",N122&lt;=3,"Medium",N122&gt;3,"High")</f>
        <v>High</v>
      </c>
    </row>
    <row r="123" spans="1:20" x14ac:dyDescent="0.3">
      <c r="A123" s="2">
        <v>122</v>
      </c>
      <c r="B123" s="2" t="s">
        <v>25</v>
      </c>
      <c r="C123" s="2">
        <v>31</v>
      </c>
      <c r="D123" s="2" t="s">
        <v>15</v>
      </c>
      <c r="E123" s="2">
        <v>86.6</v>
      </c>
      <c r="F123" s="2">
        <v>1.76</v>
      </c>
      <c r="G123" s="2">
        <v>172</v>
      </c>
      <c r="H123" s="2">
        <v>151</v>
      </c>
      <c r="I123" s="2">
        <v>66</v>
      </c>
      <c r="J123" s="2">
        <v>1.29</v>
      </c>
      <c r="K123" s="2">
        <v>1071</v>
      </c>
      <c r="L123" s="2" t="s">
        <v>20</v>
      </c>
      <c r="M123" s="2">
        <v>28.9</v>
      </c>
      <c r="N123" s="2">
        <v>3.3</v>
      </c>
      <c r="O123" s="2">
        <v>3</v>
      </c>
      <c r="P123" s="2">
        <v>2</v>
      </c>
      <c r="Q123" s="2">
        <v>27.96</v>
      </c>
      <c r="R123" s="2" t="str" cm="1">
        <f t="array" ref="R123">_xlfn.IFS(Q123&lt;18.5,"Underweight",
AND(Q123&gt;=18.5,Q123&lt;25),"Normal Weight",
AND(Q123&gt;=25,Q123&lt;30),"Overweight",
Q123&gt;=30,"Obesity")</f>
        <v>Overweight</v>
      </c>
      <c r="S123" s="2">
        <f t="shared" si="1"/>
        <v>830.23255813953483</v>
      </c>
      <c r="T123" s="2" t="str" cm="1">
        <f t="array" ref="T123">_xlfn.IFS(N123&lt;=2.5,"Low",N123&lt;=3,"Medium",N123&gt;3,"High")</f>
        <v>High</v>
      </c>
    </row>
    <row r="124" spans="1:20" x14ac:dyDescent="0.3">
      <c r="A124" s="2">
        <v>123</v>
      </c>
      <c r="B124" s="2" t="s">
        <v>26</v>
      </c>
      <c r="C124" s="2">
        <v>56</v>
      </c>
      <c r="D124" s="2" t="s">
        <v>15</v>
      </c>
      <c r="E124" s="2">
        <v>129.5</v>
      </c>
      <c r="F124" s="2">
        <v>1.95</v>
      </c>
      <c r="G124" s="2">
        <v>160</v>
      </c>
      <c r="H124" s="2">
        <v>129</v>
      </c>
      <c r="I124" s="2">
        <v>66</v>
      </c>
      <c r="J124" s="2">
        <v>1</v>
      </c>
      <c r="K124" s="2">
        <v>639</v>
      </c>
      <c r="L124" s="2" t="s">
        <v>20</v>
      </c>
      <c r="M124" s="2">
        <v>25.2</v>
      </c>
      <c r="N124" s="2">
        <v>3.5</v>
      </c>
      <c r="O124" s="2">
        <v>2</v>
      </c>
      <c r="P124" s="2">
        <v>1</v>
      </c>
      <c r="Q124" s="2">
        <v>34.06</v>
      </c>
      <c r="R124" s="2" t="str" cm="1">
        <f t="array" ref="R124">_xlfn.IFS(Q124&lt;18.5,"Underweight",
AND(Q124&gt;=18.5,Q124&lt;25),"Normal Weight",
AND(Q124&gt;=25,Q124&lt;30),"Overweight",
Q124&gt;=30,"Obesity")</f>
        <v>Obesity</v>
      </c>
      <c r="S124" s="2">
        <f t="shared" si="1"/>
        <v>639</v>
      </c>
      <c r="T124" s="2" t="str" cm="1">
        <f t="array" ref="T124">_xlfn.IFS(N124&lt;=2.5,"Low",N124&lt;=3,"Medium",N124&gt;3,"High")</f>
        <v>High</v>
      </c>
    </row>
    <row r="125" spans="1:20" x14ac:dyDescent="0.3">
      <c r="A125" s="2">
        <v>124</v>
      </c>
      <c r="B125" s="2" t="s">
        <v>21</v>
      </c>
      <c r="C125" s="2">
        <v>44</v>
      </c>
      <c r="D125" s="2" t="s">
        <v>15</v>
      </c>
      <c r="E125" s="2">
        <v>98</v>
      </c>
      <c r="F125" s="2">
        <v>1.83</v>
      </c>
      <c r="G125" s="2">
        <v>194</v>
      </c>
      <c r="H125" s="2">
        <v>130</v>
      </c>
      <c r="I125" s="2">
        <v>56</v>
      </c>
      <c r="J125" s="2">
        <v>1.28</v>
      </c>
      <c r="K125" s="2">
        <v>824</v>
      </c>
      <c r="L125" s="2" t="s">
        <v>19</v>
      </c>
      <c r="M125" s="2">
        <v>25.7</v>
      </c>
      <c r="N125" s="2">
        <v>3.5</v>
      </c>
      <c r="O125" s="2">
        <v>4</v>
      </c>
      <c r="P125" s="2">
        <v>2</v>
      </c>
      <c r="Q125" s="2">
        <v>29.26</v>
      </c>
      <c r="R125" s="2" t="str" cm="1">
        <f t="array" ref="R125">_xlfn.IFS(Q125&lt;18.5,"Underweight",
AND(Q125&gt;=18.5,Q125&lt;25),"Normal Weight",
AND(Q125&gt;=25,Q125&lt;30),"Overweight",
Q125&gt;=30,"Obesity")</f>
        <v>Overweight</v>
      </c>
      <c r="S125" s="2">
        <f t="shared" si="1"/>
        <v>643.75</v>
      </c>
      <c r="T125" s="2" t="str" cm="1">
        <f t="array" ref="T125">_xlfn.IFS(N125&lt;=2.5,"Low",N125&lt;=3,"Medium",N125&gt;3,"High")</f>
        <v>High</v>
      </c>
    </row>
    <row r="126" spans="1:20" x14ac:dyDescent="0.3">
      <c r="A126" s="2">
        <v>125</v>
      </c>
      <c r="B126" s="2" t="s">
        <v>29</v>
      </c>
      <c r="C126" s="2">
        <v>26</v>
      </c>
      <c r="D126" s="2" t="s">
        <v>15</v>
      </c>
      <c r="E126" s="2">
        <v>86.2</v>
      </c>
      <c r="F126" s="2">
        <v>1.68</v>
      </c>
      <c r="G126" s="2">
        <v>189</v>
      </c>
      <c r="H126" s="2">
        <v>157</v>
      </c>
      <c r="I126" s="2">
        <v>72</v>
      </c>
      <c r="J126" s="2">
        <v>1.97</v>
      </c>
      <c r="K126" s="2">
        <v>1701</v>
      </c>
      <c r="L126" s="2" t="s">
        <v>20</v>
      </c>
      <c r="M126" s="2">
        <v>13.3</v>
      </c>
      <c r="N126" s="2">
        <v>3.5</v>
      </c>
      <c r="O126" s="2">
        <v>5</v>
      </c>
      <c r="P126" s="2">
        <v>3</v>
      </c>
      <c r="Q126" s="2">
        <v>30.54</v>
      </c>
      <c r="R126" s="2" t="str" cm="1">
        <f t="array" ref="R126">_xlfn.IFS(Q126&lt;18.5,"Underweight",
AND(Q126&gt;=18.5,Q126&lt;25),"Normal Weight",
AND(Q126&gt;=25,Q126&lt;30),"Overweight",
Q126&gt;=30,"Obesity")</f>
        <v>Obesity</v>
      </c>
      <c r="S126" s="2">
        <f t="shared" si="1"/>
        <v>863.45177664974619</v>
      </c>
      <c r="T126" s="2" t="str" cm="1">
        <f t="array" ref="T126">_xlfn.IFS(N126&lt;=2.5,"Low",N126&lt;=3,"Medium",N126&gt;3,"High")</f>
        <v>High</v>
      </c>
    </row>
    <row r="127" spans="1:20" x14ac:dyDescent="0.3">
      <c r="A127" s="2">
        <v>126</v>
      </c>
      <c r="B127" s="2" t="s">
        <v>22</v>
      </c>
      <c r="C127" s="2">
        <v>32</v>
      </c>
      <c r="D127" s="2" t="s">
        <v>15</v>
      </c>
      <c r="E127" s="2">
        <v>78.599999999999994</v>
      </c>
      <c r="F127" s="2">
        <v>1.62</v>
      </c>
      <c r="G127" s="2">
        <v>195</v>
      </c>
      <c r="H127" s="2">
        <v>125</v>
      </c>
      <c r="I127" s="2">
        <v>69</v>
      </c>
      <c r="J127" s="2">
        <v>1.28</v>
      </c>
      <c r="K127" s="2">
        <v>880</v>
      </c>
      <c r="L127" s="2" t="s">
        <v>17</v>
      </c>
      <c r="M127" s="2">
        <v>29.6</v>
      </c>
      <c r="N127" s="2">
        <v>3.1</v>
      </c>
      <c r="O127" s="2">
        <v>3</v>
      </c>
      <c r="P127" s="2">
        <v>1</v>
      </c>
      <c r="Q127" s="2">
        <v>29.95</v>
      </c>
      <c r="R127" s="2" t="str" cm="1">
        <f t="array" ref="R127">_xlfn.IFS(Q127&lt;18.5,"Underweight",
AND(Q127&gt;=18.5,Q127&lt;25),"Normal Weight",
AND(Q127&gt;=25,Q127&lt;30),"Overweight",
Q127&gt;=30,"Obesity")</f>
        <v>Overweight</v>
      </c>
      <c r="S127" s="2">
        <f t="shared" si="1"/>
        <v>687.5</v>
      </c>
      <c r="T127" s="2" t="str" cm="1">
        <f t="array" ref="T127">_xlfn.IFS(N127&lt;=2.5,"Low",N127&lt;=3,"Medium",N127&gt;3,"High")</f>
        <v>High</v>
      </c>
    </row>
    <row r="128" spans="1:20" x14ac:dyDescent="0.3">
      <c r="A128" s="2">
        <v>127</v>
      </c>
      <c r="B128" s="2" t="s">
        <v>22</v>
      </c>
      <c r="C128" s="2">
        <v>32</v>
      </c>
      <c r="D128" s="2" t="s">
        <v>16</v>
      </c>
      <c r="E128" s="2">
        <v>59</v>
      </c>
      <c r="F128" s="2">
        <v>1.66</v>
      </c>
      <c r="G128" s="2">
        <v>184</v>
      </c>
      <c r="H128" s="2">
        <v>160</v>
      </c>
      <c r="I128" s="2">
        <v>64</v>
      </c>
      <c r="J128" s="2">
        <v>0.51</v>
      </c>
      <c r="K128" s="2">
        <v>408</v>
      </c>
      <c r="L128" s="2" t="s">
        <v>19</v>
      </c>
      <c r="M128" s="2">
        <v>31</v>
      </c>
      <c r="N128" s="2">
        <v>1.8</v>
      </c>
      <c r="O128" s="2">
        <v>2</v>
      </c>
      <c r="P128" s="2">
        <v>1</v>
      </c>
      <c r="Q128" s="2">
        <v>21.41</v>
      </c>
      <c r="R128" s="2" t="str" cm="1">
        <f t="array" ref="R128">_xlfn.IFS(Q128&lt;18.5,"Underweight",
AND(Q128&gt;=18.5,Q128&lt;25),"Normal Weight",
AND(Q128&gt;=25,Q128&lt;30),"Overweight",
Q128&gt;=30,"Obesity")</f>
        <v>Normal Weight</v>
      </c>
      <c r="S128" s="2">
        <f t="shared" si="1"/>
        <v>800</v>
      </c>
      <c r="T128" s="2" t="str" cm="1">
        <f t="array" ref="T128">_xlfn.IFS(N128&lt;=2.5,"Low",N128&lt;=3,"Medium",N128&gt;3,"High")</f>
        <v>Low</v>
      </c>
    </row>
    <row r="129" spans="1:20" x14ac:dyDescent="0.3">
      <c r="A129" s="2">
        <v>128</v>
      </c>
      <c r="B129" s="2" t="s">
        <v>24</v>
      </c>
      <c r="C129" s="2">
        <v>43</v>
      </c>
      <c r="D129" s="2" t="s">
        <v>16</v>
      </c>
      <c r="E129" s="2">
        <v>57.3</v>
      </c>
      <c r="F129" s="2">
        <v>1.79</v>
      </c>
      <c r="G129" s="2">
        <v>175</v>
      </c>
      <c r="H129" s="2">
        <v>166</v>
      </c>
      <c r="I129" s="2">
        <v>62</v>
      </c>
      <c r="J129" s="2">
        <v>1.98</v>
      </c>
      <c r="K129" s="2">
        <v>1479</v>
      </c>
      <c r="L129" s="2" t="s">
        <v>17</v>
      </c>
      <c r="M129" s="2">
        <v>17.8</v>
      </c>
      <c r="N129" s="2">
        <v>2.7</v>
      </c>
      <c r="O129" s="2">
        <v>4</v>
      </c>
      <c r="P129" s="2">
        <v>3</v>
      </c>
      <c r="Q129" s="2">
        <v>17.88</v>
      </c>
      <c r="R129" s="2" t="str" cm="1">
        <f t="array" ref="R129">_xlfn.IFS(Q129&lt;18.5,"Underweight",
AND(Q129&gt;=18.5,Q129&lt;25),"Normal Weight",
AND(Q129&gt;=25,Q129&lt;30),"Overweight",
Q129&gt;=30,"Obesity")</f>
        <v>Underweight</v>
      </c>
      <c r="S129" s="2">
        <f t="shared" si="1"/>
        <v>746.969696969697</v>
      </c>
      <c r="T129" s="2" t="str" cm="1">
        <f t="array" ref="T129">_xlfn.IFS(N129&lt;=2.5,"Low",N129&lt;=3,"Medium",N129&gt;3,"High")</f>
        <v>Medium</v>
      </c>
    </row>
    <row r="130" spans="1:20" x14ac:dyDescent="0.3">
      <c r="A130" s="2">
        <v>129</v>
      </c>
      <c r="B130" s="2" t="s">
        <v>21</v>
      </c>
      <c r="C130" s="2">
        <v>59</v>
      </c>
      <c r="D130" s="2" t="s">
        <v>15</v>
      </c>
      <c r="E130" s="2">
        <v>122.3</v>
      </c>
      <c r="F130" s="2">
        <v>1.89</v>
      </c>
      <c r="G130" s="2">
        <v>178</v>
      </c>
      <c r="H130" s="2">
        <v>153</v>
      </c>
      <c r="I130" s="2">
        <v>51</v>
      </c>
      <c r="J130" s="2">
        <v>0.66</v>
      </c>
      <c r="K130" s="2">
        <v>500</v>
      </c>
      <c r="L130" s="2" t="s">
        <v>17</v>
      </c>
      <c r="M130" s="2">
        <v>20.100000000000001</v>
      </c>
      <c r="N130" s="2">
        <v>3.1</v>
      </c>
      <c r="O130" s="2">
        <v>3</v>
      </c>
      <c r="P130" s="2">
        <v>1</v>
      </c>
      <c r="Q130" s="2">
        <v>34.24</v>
      </c>
      <c r="R130" s="2" t="str" cm="1">
        <f t="array" ref="R130">_xlfn.IFS(Q130&lt;18.5,"Underweight",
AND(Q130&gt;=18.5,Q130&lt;25),"Normal Weight",
AND(Q130&gt;=25,Q130&lt;30),"Overweight",
Q130&gt;=30,"Obesity")</f>
        <v>Obesity</v>
      </c>
      <c r="S130" s="2">
        <f t="shared" si="1"/>
        <v>757.57575757575751</v>
      </c>
      <c r="T130" s="2" t="str" cm="1">
        <f t="array" ref="T130">_xlfn.IFS(N130&lt;=2.5,"Low",N130&lt;=3,"Medium",N130&gt;3,"High")</f>
        <v>High</v>
      </c>
    </row>
    <row r="131" spans="1:20" x14ac:dyDescent="0.3">
      <c r="A131" s="2">
        <v>130</v>
      </c>
      <c r="B131" s="2" t="s">
        <v>21</v>
      </c>
      <c r="C131" s="2">
        <v>30</v>
      </c>
      <c r="D131" s="2" t="s">
        <v>15</v>
      </c>
      <c r="E131" s="2">
        <v>85.3</v>
      </c>
      <c r="F131" s="2">
        <v>1.95</v>
      </c>
      <c r="G131" s="2">
        <v>160</v>
      </c>
      <c r="H131" s="2">
        <v>155</v>
      </c>
      <c r="I131" s="2">
        <v>68</v>
      </c>
      <c r="J131" s="2">
        <v>1.61</v>
      </c>
      <c r="K131" s="2">
        <v>1373</v>
      </c>
      <c r="L131" s="2" t="s">
        <v>17</v>
      </c>
      <c r="M131" s="2">
        <v>10.4</v>
      </c>
      <c r="N131" s="2">
        <v>3.5</v>
      </c>
      <c r="O131" s="2">
        <v>5</v>
      </c>
      <c r="P131" s="2">
        <v>3</v>
      </c>
      <c r="Q131" s="2">
        <v>22.43</v>
      </c>
      <c r="R131" s="2" t="str" cm="1">
        <f t="array" ref="R131">_xlfn.IFS(Q131&lt;18.5,"Underweight",
AND(Q131&gt;=18.5,Q131&lt;25),"Normal Weight",
AND(Q131&gt;=25,Q131&lt;30),"Overweight",
Q131&gt;=30,"Obesity")</f>
        <v>Normal Weight</v>
      </c>
      <c r="S131" s="2">
        <f t="shared" ref="S131:S194" si="2">K131/J131</f>
        <v>852.79503105590061</v>
      </c>
      <c r="T131" s="2" t="str" cm="1">
        <f t="array" ref="T131">_xlfn.IFS(N131&lt;=2.5,"Low",N131&lt;=3,"Medium",N131&gt;3,"High")</f>
        <v>High</v>
      </c>
    </row>
    <row r="132" spans="1:20" x14ac:dyDescent="0.3">
      <c r="A132" s="2">
        <v>131</v>
      </c>
      <c r="B132" s="2" t="s">
        <v>22</v>
      </c>
      <c r="C132" s="2">
        <v>49</v>
      </c>
      <c r="D132" s="2" t="s">
        <v>16</v>
      </c>
      <c r="E132" s="2">
        <v>45.2</v>
      </c>
      <c r="F132" s="2">
        <v>1.74</v>
      </c>
      <c r="G132" s="2">
        <v>164</v>
      </c>
      <c r="H132" s="2">
        <v>156</v>
      </c>
      <c r="I132" s="2">
        <v>73</v>
      </c>
      <c r="J132" s="2">
        <v>1.24</v>
      </c>
      <c r="K132" s="2">
        <v>870</v>
      </c>
      <c r="L132" s="2" t="s">
        <v>20</v>
      </c>
      <c r="M132" s="2">
        <v>30.8</v>
      </c>
      <c r="N132" s="2">
        <v>2.1</v>
      </c>
      <c r="O132" s="2">
        <v>3</v>
      </c>
      <c r="P132" s="2">
        <v>2</v>
      </c>
      <c r="Q132" s="2">
        <v>14.93</v>
      </c>
      <c r="R132" s="2" t="str" cm="1">
        <f t="array" ref="R132">_xlfn.IFS(Q132&lt;18.5,"Underweight",
AND(Q132&gt;=18.5,Q132&lt;25),"Normal Weight",
AND(Q132&gt;=25,Q132&lt;30),"Overweight",
Q132&gt;=30,"Obesity")</f>
        <v>Underweight</v>
      </c>
      <c r="S132" s="2">
        <f t="shared" si="2"/>
        <v>701.61290322580646</v>
      </c>
      <c r="T132" s="2" t="str" cm="1">
        <f t="array" ref="T132">_xlfn.IFS(N132&lt;=2.5,"Low",N132&lt;=3,"Medium",N132&gt;3,"High")</f>
        <v>Low</v>
      </c>
    </row>
    <row r="133" spans="1:20" x14ac:dyDescent="0.3">
      <c r="A133" s="2">
        <v>132</v>
      </c>
      <c r="B133" s="2" t="s">
        <v>21</v>
      </c>
      <c r="C133" s="2">
        <v>56</v>
      </c>
      <c r="D133" s="2" t="s">
        <v>15</v>
      </c>
      <c r="E133" s="2">
        <v>55.6</v>
      </c>
      <c r="F133" s="2">
        <v>1.92</v>
      </c>
      <c r="G133" s="2">
        <v>181</v>
      </c>
      <c r="H133" s="2">
        <v>136</v>
      </c>
      <c r="I133" s="2">
        <v>62</v>
      </c>
      <c r="J133" s="2">
        <v>0.68</v>
      </c>
      <c r="K133" s="2">
        <v>458</v>
      </c>
      <c r="L133" s="2" t="s">
        <v>20</v>
      </c>
      <c r="M133" s="2">
        <v>29.4</v>
      </c>
      <c r="N133" s="2">
        <v>3.2</v>
      </c>
      <c r="O133" s="2">
        <v>3</v>
      </c>
      <c r="P133" s="2">
        <v>1</v>
      </c>
      <c r="Q133" s="2">
        <v>15.08</v>
      </c>
      <c r="R133" s="2" t="str" cm="1">
        <f t="array" ref="R133">_xlfn.IFS(Q133&lt;18.5,"Underweight",
AND(Q133&gt;=18.5,Q133&lt;25),"Normal Weight",
AND(Q133&gt;=25,Q133&lt;30),"Overweight",
Q133&gt;=30,"Obesity")</f>
        <v>Underweight</v>
      </c>
      <c r="S133" s="2">
        <f t="shared" si="2"/>
        <v>673.52941176470586</v>
      </c>
      <c r="T133" s="2" t="str" cm="1">
        <f t="array" ref="T133">_xlfn.IFS(N133&lt;=2.5,"Low",N133&lt;=3,"Medium",N133&gt;3,"High")</f>
        <v>High</v>
      </c>
    </row>
    <row r="134" spans="1:20" x14ac:dyDescent="0.3">
      <c r="A134" s="2">
        <v>133</v>
      </c>
      <c r="B134" s="2" t="s">
        <v>26</v>
      </c>
      <c r="C134" s="2">
        <v>49</v>
      </c>
      <c r="D134" s="2" t="s">
        <v>15</v>
      </c>
      <c r="E134" s="2">
        <v>82.8</v>
      </c>
      <c r="F134" s="2">
        <v>1.95</v>
      </c>
      <c r="G134" s="2">
        <v>183</v>
      </c>
      <c r="H134" s="2">
        <v>159</v>
      </c>
      <c r="I134" s="2">
        <v>73</v>
      </c>
      <c r="J134" s="2">
        <v>1.91</v>
      </c>
      <c r="K134" s="2">
        <v>1503</v>
      </c>
      <c r="L134" s="2" t="s">
        <v>17</v>
      </c>
      <c r="M134" s="2">
        <v>14.3</v>
      </c>
      <c r="N134" s="2">
        <v>3.5</v>
      </c>
      <c r="O134" s="2">
        <v>5</v>
      </c>
      <c r="P134" s="2">
        <v>3</v>
      </c>
      <c r="Q134" s="2">
        <v>21.78</v>
      </c>
      <c r="R134" s="2" t="str" cm="1">
        <f t="array" ref="R134">_xlfn.IFS(Q134&lt;18.5,"Underweight",
AND(Q134&gt;=18.5,Q134&lt;25),"Normal Weight",
AND(Q134&gt;=25,Q134&lt;30),"Overweight",
Q134&gt;=30,"Obesity")</f>
        <v>Normal Weight</v>
      </c>
      <c r="S134" s="2">
        <f t="shared" si="2"/>
        <v>786.91099476439797</v>
      </c>
      <c r="T134" s="2" t="str" cm="1">
        <f t="array" ref="T134">_xlfn.IFS(N134&lt;=2.5,"Low",N134&lt;=3,"Medium",N134&gt;3,"High")</f>
        <v>High</v>
      </c>
    </row>
    <row r="135" spans="1:20" x14ac:dyDescent="0.3">
      <c r="A135" s="2">
        <v>134</v>
      </c>
      <c r="B135" s="2" t="s">
        <v>27</v>
      </c>
      <c r="C135" s="2">
        <v>21</v>
      </c>
      <c r="D135" s="2" t="s">
        <v>15</v>
      </c>
      <c r="E135" s="2">
        <v>125.2</v>
      </c>
      <c r="F135" s="2">
        <v>1.66</v>
      </c>
      <c r="G135" s="2">
        <v>196</v>
      </c>
      <c r="H135" s="2">
        <v>159</v>
      </c>
      <c r="I135" s="2">
        <v>60</v>
      </c>
      <c r="J135" s="2">
        <v>1.38</v>
      </c>
      <c r="K135" s="2">
        <v>1207</v>
      </c>
      <c r="L135" s="2" t="s">
        <v>18</v>
      </c>
      <c r="M135" s="2">
        <v>29.8</v>
      </c>
      <c r="N135" s="2">
        <v>3.4</v>
      </c>
      <c r="O135" s="2">
        <v>3</v>
      </c>
      <c r="P135" s="2">
        <v>2</v>
      </c>
      <c r="Q135" s="2">
        <v>45.43</v>
      </c>
      <c r="R135" s="2" t="str" cm="1">
        <f t="array" ref="R135">_xlfn.IFS(Q135&lt;18.5,"Underweight",
AND(Q135&gt;=18.5,Q135&lt;25),"Normal Weight",
AND(Q135&gt;=25,Q135&lt;30),"Overweight",
Q135&gt;=30,"Obesity")</f>
        <v>Obesity</v>
      </c>
      <c r="S135" s="2">
        <f t="shared" si="2"/>
        <v>874.63768115942037</v>
      </c>
      <c r="T135" s="2" t="str" cm="1">
        <f t="array" ref="T135">_xlfn.IFS(N135&lt;=2.5,"Low",N135&lt;=3,"Medium",N135&gt;3,"High")</f>
        <v>High</v>
      </c>
    </row>
    <row r="136" spans="1:20" x14ac:dyDescent="0.3">
      <c r="A136" s="2">
        <v>135</v>
      </c>
      <c r="B136" s="2" t="s">
        <v>28</v>
      </c>
      <c r="C136" s="2">
        <v>47</v>
      </c>
      <c r="D136" s="2" t="s">
        <v>16</v>
      </c>
      <c r="E136" s="2">
        <v>58.5</v>
      </c>
      <c r="F136" s="2">
        <v>1.79</v>
      </c>
      <c r="G136" s="2">
        <v>195</v>
      </c>
      <c r="H136" s="2">
        <v>131</v>
      </c>
      <c r="I136" s="2">
        <v>71</v>
      </c>
      <c r="J136" s="2">
        <v>1.42</v>
      </c>
      <c r="K136" s="2">
        <v>837</v>
      </c>
      <c r="L136" s="2" t="s">
        <v>17</v>
      </c>
      <c r="M136" s="2">
        <v>30.3</v>
      </c>
      <c r="N136" s="2">
        <v>2.4</v>
      </c>
      <c r="O136" s="2">
        <v>4</v>
      </c>
      <c r="P136" s="2">
        <v>2</v>
      </c>
      <c r="Q136" s="2">
        <v>18.260000000000002</v>
      </c>
      <c r="R136" s="2" t="str" cm="1">
        <f t="array" ref="R136">_xlfn.IFS(Q136&lt;18.5,"Underweight",
AND(Q136&gt;=18.5,Q136&lt;25),"Normal Weight",
AND(Q136&gt;=25,Q136&lt;30),"Overweight",
Q136&gt;=30,"Obesity")</f>
        <v>Underweight</v>
      </c>
      <c r="S136" s="2">
        <f t="shared" si="2"/>
        <v>589.43661971830988</v>
      </c>
      <c r="T136" s="2" t="str" cm="1">
        <f t="array" ref="T136">_xlfn.IFS(N136&lt;=2.5,"Low",N136&lt;=3,"Medium",N136&gt;3,"High")</f>
        <v>Low</v>
      </c>
    </row>
    <row r="137" spans="1:20" x14ac:dyDescent="0.3">
      <c r="A137" s="2">
        <v>136</v>
      </c>
      <c r="B137" s="2" t="s">
        <v>25</v>
      </c>
      <c r="C137" s="2">
        <v>54</v>
      </c>
      <c r="D137" s="2" t="s">
        <v>15</v>
      </c>
      <c r="E137" s="2">
        <v>86.1</v>
      </c>
      <c r="F137" s="2">
        <v>1.95</v>
      </c>
      <c r="G137" s="2">
        <v>195</v>
      </c>
      <c r="H137" s="2">
        <v>140</v>
      </c>
      <c r="I137" s="2">
        <v>64</v>
      </c>
      <c r="J137" s="2">
        <v>1.17</v>
      </c>
      <c r="K137" s="2">
        <v>811</v>
      </c>
      <c r="L137" s="2" t="s">
        <v>17</v>
      </c>
      <c r="M137" s="2">
        <v>27.9</v>
      </c>
      <c r="N137" s="2">
        <v>3.4</v>
      </c>
      <c r="O137" s="2">
        <v>2</v>
      </c>
      <c r="P137" s="2">
        <v>1</v>
      </c>
      <c r="Q137" s="2">
        <v>22.64</v>
      </c>
      <c r="R137" s="2" t="str" cm="1">
        <f t="array" ref="R137">_xlfn.IFS(Q137&lt;18.5,"Underweight",
AND(Q137&gt;=18.5,Q137&lt;25),"Normal Weight",
AND(Q137&gt;=25,Q137&lt;30),"Overweight",
Q137&gt;=30,"Obesity")</f>
        <v>Normal Weight</v>
      </c>
      <c r="S137" s="2">
        <f t="shared" si="2"/>
        <v>693.16239316239319</v>
      </c>
      <c r="T137" s="2" t="str" cm="1">
        <f t="array" ref="T137">_xlfn.IFS(N137&lt;=2.5,"Low",N137&lt;=3,"Medium",N137&gt;3,"High")</f>
        <v>High</v>
      </c>
    </row>
    <row r="138" spans="1:20" x14ac:dyDescent="0.3">
      <c r="A138" s="2">
        <v>137</v>
      </c>
      <c r="B138" s="2" t="s">
        <v>30</v>
      </c>
      <c r="C138" s="2">
        <v>40</v>
      </c>
      <c r="D138" s="2" t="s">
        <v>16</v>
      </c>
      <c r="E138" s="2">
        <v>63.5</v>
      </c>
      <c r="F138" s="2">
        <v>1.61</v>
      </c>
      <c r="G138" s="2">
        <v>163</v>
      </c>
      <c r="H138" s="2">
        <v>159</v>
      </c>
      <c r="I138" s="2">
        <v>59</v>
      </c>
      <c r="J138" s="2">
        <v>1.31</v>
      </c>
      <c r="K138" s="2">
        <v>1041</v>
      </c>
      <c r="L138" s="2" t="s">
        <v>19</v>
      </c>
      <c r="M138" s="2">
        <v>33.4</v>
      </c>
      <c r="N138" s="2">
        <v>1.6</v>
      </c>
      <c r="O138" s="2">
        <v>3</v>
      </c>
      <c r="P138" s="2">
        <v>2</v>
      </c>
      <c r="Q138" s="2">
        <v>24.5</v>
      </c>
      <c r="R138" s="2" t="str" cm="1">
        <f t="array" ref="R138">_xlfn.IFS(Q138&lt;18.5,"Underweight",
AND(Q138&gt;=18.5,Q138&lt;25),"Normal Weight",
AND(Q138&gt;=25,Q138&lt;30),"Overweight",
Q138&gt;=30,"Obesity")</f>
        <v>Normal Weight</v>
      </c>
      <c r="S138" s="2">
        <f t="shared" si="2"/>
        <v>794.6564885496183</v>
      </c>
      <c r="T138" s="2" t="str" cm="1">
        <f t="array" ref="T138">_xlfn.IFS(N138&lt;=2.5,"Low",N138&lt;=3,"Medium",N138&gt;3,"High")</f>
        <v>Low</v>
      </c>
    </row>
    <row r="139" spans="1:20" x14ac:dyDescent="0.3">
      <c r="A139" s="2">
        <v>138</v>
      </c>
      <c r="B139" s="2" t="s">
        <v>24</v>
      </c>
      <c r="C139" s="2">
        <v>56</v>
      </c>
      <c r="D139" s="2" t="s">
        <v>15</v>
      </c>
      <c r="E139" s="2">
        <v>69.3</v>
      </c>
      <c r="F139" s="2">
        <v>1.68</v>
      </c>
      <c r="G139" s="2">
        <v>195</v>
      </c>
      <c r="H139" s="2">
        <v>138</v>
      </c>
      <c r="I139" s="2">
        <v>58</v>
      </c>
      <c r="J139" s="2">
        <v>0.66</v>
      </c>
      <c r="K139" s="2">
        <v>451</v>
      </c>
      <c r="L139" s="2" t="s">
        <v>17</v>
      </c>
      <c r="M139" s="2">
        <v>26.5</v>
      </c>
      <c r="N139" s="2">
        <v>2.1</v>
      </c>
      <c r="O139" s="2">
        <v>2</v>
      </c>
      <c r="P139" s="2">
        <v>1</v>
      </c>
      <c r="Q139" s="2">
        <v>24.55</v>
      </c>
      <c r="R139" s="2" t="str" cm="1">
        <f t="array" ref="R139">_xlfn.IFS(Q139&lt;18.5,"Underweight",
AND(Q139&gt;=18.5,Q139&lt;25),"Normal Weight",
AND(Q139&gt;=25,Q139&lt;30),"Overweight",
Q139&gt;=30,"Obesity")</f>
        <v>Normal Weight</v>
      </c>
      <c r="S139" s="2">
        <f t="shared" si="2"/>
        <v>683.33333333333326</v>
      </c>
      <c r="T139" s="2" t="str" cm="1">
        <f t="array" ref="T139">_xlfn.IFS(N139&lt;=2.5,"Low",N139&lt;=3,"Medium",N139&gt;3,"High")</f>
        <v>Low</v>
      </c>
    </row>
    <row r="140" spans="1:20" x14ac:dyDescent="0.3">
      <c r="A140" s="2">
        <v>139</v>
      </c>
      <c r="B140" s="2" t="s">
        <v>27</v>
      </c>
      <c r="C140" s="2">
        <v>32</v>
      </c>
      <c r="D140" s="2" t="s">
        <v>16</v>
      </c>
      <c r="E140" s="2">
        <v>70.5</v>
      </c>
      <c r="F140" s="2">
        <v>1.62</v>
      </c>
      <c r="G140" s="2">
        <v>177</v>
      </c>
      <c r="H140" s="2">
        <v>122</v>
      </c>
      <c r="I140" s="2">
        <v>58</v>
      </c>
      <c r="J140" s="2">
        <v>1.24</v>
      </c>
      <c r="K140" s="2">
        <v>756</v>
      </c>
      <c r="L140" s="2" t="s">
        <v>20</v>
      </c>
      <c r="M140" s="2">
        <v>28.4</v>
      </c>
      <c r="N140" s="2">
        <v>1.8</v>
      </c>
      <c r="O140" s="2">
        <v>2</v>
      </c>
      <c r="P140" s="2">
        <v>1</v>
      </c>
      <c r="Q140" s="2">
        <v>26.86</v>
      </c>
      <c r="R140" s="2" t="str" cm="1">
        <f t="array" ref="R140">_xlfn.IFS(Q140&lt;18.5,"Underweight",
AND(Q140&gt;=18.5,Q140&lt;25),"Normal Weight",
AND(Q140&gt;=25,Q140&lt;30),"Overweight",
Q140&gt;=30,"Obesity")</f>
        <v>Overweight</v>
      </c>
      <c r="S140" s="2">
        <f t="shared" si="2"/>
        <v>609.67741935483866</v>
      </c>
      <c r="T140" s="2" t="str" cm="1">
        <f t="array" ref="T140">_xlfn.IFS(N140&lt;=2.5,"Low",N140&lt;=3,"Medium",N140&gt;3,"High")</f>
        <v>Low</v>
      </c>
    </row>
    <row r="141" spans="1:20" x14ac:dyDescent="0.3">
      <c r="A141" s="2">
        <v>140</v>
      </c>
      <c r="B141" s="2" t="s">
        <v>22</v>
      </c>
      <c r="C141" s="2">
        <v>46</v>
      </c>
      <c r="D141" s="2" t="s">
        <v>16</v>
      </c>
      <c r="E141" s="2">
        <v>60.1</v>
      </c>
      <c r="F141" s="2">
        <v>1.65</v>
      </c>
      <c r="G141" s="2">
        <v>175</v>
      </c>
      <c r="H141" s="2">
        <v>137</v>
      </c>
      <c r="I141" s="2">
        <v>69</v>
      </c>
      <c r="J141" s="2">
        <v>1.69</v>
      </c>
      <c r="K141" s="2">
        <v>1042</v>
      </c>
      <c r="L141" s="2" t="s">
        <v>19</v>
      </c>
      <c r="M141" s="2">
        <v>17.3</v>
      </c>
      <c r="N141" s="2">
        <v>2.7</v>
      </c>
      <c r="O141" s="2">
        <v>4</v>
      </c>
      <c r="P141" s="2">
        <v>3</v>
      </c>
      <c r="Q141" s="2">
        <v>22.08</v>
      </c>
      <c r="R141" s="2" t="str" cm="1">
        <f t="array" ref="R141">_xlfn.IFS(Q141&lt;18.5,"Underweight",
AND(Q141&gt;=18.5,Q141&lt;25),"Normal Weight",
AND(Q141&gt;=25,Q141&lt;30),"Overweight",
Q141&gt;=30,"Obesity")</f>
        <v>Normal Weight</v>
      </c>
      <c r="S141" s="2">
        <f t="shared" si="2"/>
        <v>616.56804733727813</v>
      </c>
      <c r="T141" s="2" t="str" cm="1">
        <f t="array" ref="T141">_xlfn.IFS(N141&lt;=2.5,"Low",N141&lt;=3,"Medium",N141&gt;3,"High")</f>
        <v>Medium</v>
      </c>
    </row>
    <row r="142" spans="1:20" x14ac:dyDescent="0.3">
      <c r="A142" s="2">
        <v>141</v>
      </c>
      <c r="B142" s="2" t="s">
        <v>25</v>
      </c>
      <c r="C142" s="2">
        <v>53</v>
      </c>
      <c r="D142" s="2" t="s">
        <v>15</v>
      </c>
      <c r="E142" s="2">
        <v>94.1</v>
      </c>
      <c r="F142" s="2">
        <v>1.95</v>
      </c>
      <c r="G142" s="2">
        <v>177</v>
      </c>
      <c r="H142" s="2">
        <v>138</v>
      </c>
      <c r="I142" s="2">
        <v>50</v>
      </c>
      <c r="J142" s="2">
        <v>0.89</v>
      </c>
      <c r="K142" s="2">
        <v>608</v>
      </c>
      <c r="L142" s="2" t="s">
        <v>18</v>
      </c>
      <c r="M142" s="2">
        <v>28.6</v>
      </c>
      <c r="N142" s="2">
        <v>3.5</v>
      </c>
      <c r="O142" s="2">
        <v>3</v>
      </c>
      <c r="P142" s="2">
        <v>1</v>
      </c>
      <c r="Q142" s="2">
        <v>24.75</v>
      </c>
      <c r="R142" s="2" t="str" cm="1">
        <f t="array" ref="R142">_xlfn.IFS(Q142&lt;18.5,"Underweight",
AND(Q142&gt;=18.5,Q142&lt;25),"Normal Weight",
AND(Q142&gt;=25,Q142&lt;30),"Overweight",
Q142&gt;=30,"Obesity")</f>
        <v>Normal Weight</v>
      </c>
      <c r="S142" s="2">
        <f t="shared" si="2"/>
        <v>683.14606741573027</v>
      </c>
      <c r="T142" s="2" t="str" cm="1">
        <f t="array" ref="T142">_xlfn.IFS(N142&lt;=2.5,"Low",N142&lt;=3,"Medium",N142&gt;3,"High")</f>
        <v>High</v>
      </c>
    </row>
    <row r="143" spans="1:20" x14ac:dyDescent="0.3">
      <c r="A143" s="2">
        <v>142</v>
      </c>
      <c r="B143" s="2" t="s">
        <v>21</v>
      </c>
      <c r="C143" s="2">
        <v>30</v>
      </c>
      <c r="D143" s="2" t="s">
        <v>16</v>
      </c>
      <c r="E143" s="2">
        <v>79.2</v>
      </c>
      <c r="F143" s="2">
        <v>1.62</v>
      </c>
      <c r="G143" s="2">
        <v>181</v>
      </c>
      <c r="H143" s="2">
        <v>166</v>
      </c>
      <c r="I143" s="2">
        <v>66</v>
      </c>
      <c r="J143" s="2">
        <v>1.26</v>
      </c>
      <c r="K143" s="2">
        <v>1046</v>
      </c>
      <c r="L143" s="2" t="s">
        <v>19</v>
      </c>
      <c r="M143" s="2">
        <v>28</v>
      </c>
      <c r="N143" s="2">
        <v>2.5</v>
      </c>
      <c r="O143" s="2">
        <v>4</v>
      </c>
      <c r="P143" s="2">
        <v>2</v>
      </c>
      <c r="Q143" s="2">
        <v>30.18</v>
      </c>
      <c r="R143" s="2" t="str" cm="1">
        <f t="array" ref="R143">_xlfn.IFS(Q143&lt;18.5,"Underweight",
AND(Q143&gt;=18.5,Q143&lt;25),"Normal Weight",
AND(Q143&gt;=25,Q143&lt;30),"Overweight",
Q143&gt;=30,"Obesity")</f>
        <v>Obesity</v>
      </c>
      <c r="S143" s="2">
        <f t="shared" si="2"/>
        <v>830.15873015873012</v>
      </c>
      <c r="T143" s="2" t="str" cm="1">
        <f t="array" ref="T143">_xlfn.IFS(N143&lt;=2.5,"Low",N143&lt;=3,"Medium",N143&gt;3,"High")</f>
        <v>Low</v>
      </c>
    </row>
    <row r="144" spans="1:20" x14ac:dyDescent="0.3">
      <c r="A144" s="2">
        <v>143</v>
      </c>
      <c r="B144" s="2" t="s">
        <v>30</v>
      </c>
      <c r="C144" s="2">
        <v>49</v>
      </c>
      <c r="D144" s="2" t="s">
        <v>15</v>
      </c>
      <c r="E144" s="2">
        <v>115.3</v>
      </c>
      <c r="F144" s="2">
        <v>1.91</v>
      </c>
      <c r="G144" s="2">
        <v>161</v>
      </c>
      <c r="H144" s="2">
        <v>125</v>
      </c>
      <c r="I144" s="2">
        <v>61</v>
      </c>
      <c r="J144" s="2">
        <v>1.38</v>
      </c>
      <c r="K144" s="2">
        <v>854</v>
      </c>
      <c r="L144" s="2" t="s">
        <v>18</v>
      </c>
      <c r="M144" s="2">
        <v>29.2</v>
      </c>
      <c r="N144" s="2">
        <v>3.2</v>
      </c>
      <c r="O144" s="2">
        <v>2</v>
      </c>
      <c r="P144" s="2">
        <v>1</v>
      </c>
      <c r="Q144" s="2">
        <v>31.61</v>
      </c>
      <c r="R144" s="2" t="str" cm="1">
        <f t="array" ref="R144">_xlfn.IFS(Q144&lt;18.5,"Underweight",
AND(Q144&gt;=18.5,Q144&lt;25),"Normal Weight",
AND(Q144&gt;=25,Q144&lt;30),"Overweight",
Q144&gt;=30,"Obesity")</f>
        <v>Obesity</v>
      </c>
      <c r="S144" s="2">
        <f t="shared" si="2"/>
        <v>618.84057971014499</v>
      </c>
      <c r="T144" s="2" t="str" cm="1">
        <f t="array" ref="T144">_xlfn.IFS(N144&lt;=2.5,"Low",N144&lt;=3,"Medium",N144&gt;3,"High")</f>
        <v>High</v>
      </c>
    </row>
    <row r="145" spans="1:20" x14ac:dyDescent="0.3">
      <c r="A145" s="2">
        <v>144</v>
      </c>
      <c r="B145" s="2" t="s">
        <v>21</v>
      </c>
      <c r="C145" s="2">
        <v>24</v>
      </c>
      <c r="D145" s="2" t="s">
        <v>16</v>
      </c>
      <c r="E145" s="2">
        <v>62.9</v>
      </c>
      <c r="F145" s="2">
        <v>1.79</v>
      </c>
      <c r="G145" s="2">
        <v>180</v>
      </c>
      <c r="H145" s="2">
        <v>135</v>
      </c>
      <c r="I145" s="2">
        <v>59</v>
      </c>
      <c r="J145" s="2">
        <v>1.42</v>
      </c>
      <c r="K145" s="2">
        <v>958</v>
      </c>
      <c r="L145" s="2" t="s">
        <v>19</v>
      </c>
      <c r="M145" s="2">
        <v>27.3</v>
      </c>
      <c r="N145" s="2">
        <v>2.2999999999999998</v>
      </c>
      <c r="O145" s="2">
        <v>4</v>
      </c>
      <c r="P145" s="2">
        <v>2</v>
      </c>
      <c r="Q145" s="2">
        <v>19.63</v>
      </c>
      <c r="R145" s="2" t="str" cm="1">
        <f t="array" ref="R145">_xlfn.IFS(Q145&lt;18.5,"Underweight",
AND(Q145&gt;=18.5,Q145&lt;25),"Normal Weight",
AND(Q145&gt;=25,Q145&lt;30),"Overweight",
Q145&gt;=30,"Obesity")</f>
        <v>Normal Weight</v>
      </c>
      <c r="S145" s="2">
        <f t="shared" si="2"/>
        <v>674.64788732394368</v>
      </c>
      <c r="T145" s="2" t="str" cm="1">
        <f t="array" ref="T145">_xlfn.IFS(N145&lt;=2.5,"Low",N145&lt;=3,"Medium",N145&gt;3,"High")</f>
        <v>Low</v>
      </c>
    </row>
    <row r="146" spans="1:20" x14ac:dyDescent="0.3">
      <c r="A146" s="2">
        <v>145</v>
      </c>
      <c r="B146" s="2" t="s">
        <v>29</v>
      </c>
      <c r="C146" s="2">
        <v>39</v>
      </c>
      <c r="D146" s="2" t="s">
        <v>15</v>
      </c>
      <c r="E146" s="2">
        <v>62</v>
      </c>
      <c r="F146" s="2">
        <v>1.64</v>
      </c>
      <c r="G146" s="2">
        <v>195</v>
      </c>
      <c r="H146" s="2">
        <v>127</v>
      </c>
      <c r="I146" s="2">
        <v>54</v>
      </c>
      <c r="J146" s="2">
        <v>0.97</v>
      </c>
      <c r="K146" s="2">
        <v>678</v>
      </c>
      <c r="L146" s="2" t="s">
        <v>19</v>
      </c>
      <c r="M146" s="2">
        <v>27.5</v>
      </c>
      <c r="N146" s="2">
        <v>3.2</v>
      </c>
      <c r="O146" s="2">
        <v>3</v>
      </c>
      <c r="P146" s="2">
        <v>1</v>
      </c>
      <c r="Q146" s="2">
        <v>23.05</v>
      </c>
      <c r="R146" s="2" t="str" cm="1">
        <f t="array" ref="R146">_xlfn.IFS(Q146&lt;18.5,"Underweight",
AND(Q146&gt;=18.5,Q146&lt;25),"Normal Weight",
AND(Q146&gt;=25,Q146&lt;30),"Overweight",
Q146&gt;=30,"Obesity")</f>
        <v>Normal Weight</v>
      </c>
      <c r="S146" s="2">
        <f t="shared" si="2"/>
        <v>698.96907216494844</v>
      </c>
      <c r="T146" s="2" t="str" cm="1">
        <f t="array" ref="T146">_xlfn.IFS(N146&lt;=2.5,"Low",N146&lt;=3,"Medium",N146&gt;3,"High")</f>
        <v>High</v>
      </c>
    </row>
    <row r="147" spans="1:20" x14ac:dyDescent="0.3">
      <c r="A147" s="2">
        <v>146</v>
      </c>
      <c r="B147" s="2" t="s">
        <v>29</v>
      </c>
      <c r="C147" s="2">
        <v>45</v>
      </c>
      <c r="D147" s="2" t="s">
        <v>15</v>
      </c>
      <c r="E147" s="2">
        <v>88.5</v>
      </c>
      <c r="F147" s="2">
        <v>1.78</v>
      </c>
      <c r="G147" s="2">
        <v>198</v>
      </c>
      <c r="H147" s="2">
        <v>167</v>
      </c>
      <c r="I147" s="2">
        <v>67</v>
      </c>
      <c r="J147" s="2">
        <v>1.53</v>
      </c>
      <c r="K147" s="2">
        <v>1265</v>
      </c>
      <c r="L147" s="2" t="s">
        <v>18</v>
      </c>
      <c r="M147" s="2">
        <v>13.2</v>
      </c>
      <c r="N147" s="2">
        <v>3.5</v>
      </c>
      <c r="O147" s="2">
        <v>4</v>
      </c>
      <c r="P147" s="2">
        <v>3</v>
      </c>
      <c r="Q147" s="2">
        <v>27.93</v>
      </c>
      <c r="R147" s="2" t="str" cm="1">
        <f t="array" ref="R147">_xlfn.IFS(Q147&lt;18.5,"Underweight",
AND(Q147&gt;=18.5,Q147&lt;25),"Normal Weight",
AND(Q147&gt;=25,Q147&lt;30),"Overweight",
Q147&gt;=30,"Obesity")</f>
        <v>Overweight</v>
      </c>
      <c r="S147" s="2">
        <f t="shared" si="2"/>
        <v>826.79738562091507</v>
      </c>
      <c r="T147" s="2" t="str" cm="1">
        <f t="array" ref="T147">_xlfn.IFS(N147&lt;=2.5,"Low",N147&lt;=3,"Medium",N147&gt;3,"High")</f>
        <v>High</v>
      </c>
    </row>
    <row r="148" spans="1:20" x14ac:dyDescent="0.3">
      <c r="A148" s="2">
        <v>147</v>
      </c>
      <c r="B148" s="2" t="s">
        <v>30</v>
      </c>
      <c r="C148" s="2">
        <v>19</v>
      </c>
      <c r="D148" s="2" t="s">
        <v>16</v>
      </c>
      <c r="E148" s="2">
        <v>73.900000000000006</v>
      </c>
      <c r="F148" s="2">
        <v>1.77</v>
      </c>
      <c r="G148" s="2">
        <v>198</v>
      </c>
      <c r="H148" s="2">
        <v>137</v>
      </c>
      <c r="I148" s="2">
        <v>64</v>
      </c>
      <c r="J148" s="2">
        <v>1.28</v>
      </c>
      <c r="K148" s="2">
        <v>877</v>
      </c>
      <c r="L148" s="2" t="s">
        <v>20</v>
      </c>
      <c r="M148" s="2">
        <v>32.5</v>
      </c>
      <c r="N148" s="2">
        <v>2.6</v>
      </c>
      <c r="O148" s="2">
        <v>3</v>
      </c>
      <c r="P148" s="2">
        <v>2</v>
      </c>
      <c r="Q148" s="2">
        <v>23.59</v>
      </c>
      <c r="R148" s="2" t="str" cm="1">
        <f t="array" ref="R148">_xlfn.IFS(Q148&lt;18.5,"Underweight",
AND(Q148&gt;=18.5,Q148&lt;25),"Normal Weight",
AND(Q148&gt;=25,Q148&lt;30),"Overweight",
Q148&gt;=30,"Obesity")</f>
        <v>Normal Weight</v>
      </c>
      <c r="S148" s="2">
        <f t="shared" si="2"/>
        <v>685.15625</v>
      </c>
      <c r="T148" s="2" t="str" cm="1">
        <f t="array" ref="T148">_xlfn.IFS(N148&lt;=2.5,"Low",N148&lt;=3,"Medium",N148&gt;3,"High")</f>
        <v>Medium</v>
      </c>
    </row>
    <row r="149" spans="1:20" x14ac:dyDescent="0.3">
      <c r="A149" s="2">
        <v>148</v>
      </c>
      <c r="B149" s="2" t="s">
        <v>30</v>
      </c>
      <c r="C149" s="2">
        <v>59</v>
      </c>
      <c r="D149" s="2" t="s">
        <v>15</v>
      </c>
      <c r="E149" s="2">
        <v>50.3</v>
      </c>
      <c r="F149" s="2">
        <v>1.95</v>
      </c>
      <c r="G149" s="2">
        <v>188</v>
      </c>
      <c r="H149" s="2">
        <v>167</v>
      </c>
      <c r="I149" s="2">
        <v>55</v>
      </c>
      <c r="J149" s="2">
        <v>1.07</v>
      </c>
      <c r="K149" s="2">
        <v>885</v>
      </c>
      <c r="L149" s="2" t="s">
        <v>20</v>
      </c>
      <c r="M149" s="2">
        <v>24.4</v>
      </c>
      <c r="N149" s="2">
        <v>3.4</v>
      </c>
      <c r="O149" s="2">
        <v>3</v>
      </c>
      <c r="P149" s="2">
        <v>1</v>
      </c>
      <c r="Q149" s="2">
        <v>13.23</v>
      </c>
      <c r="R149" s="2" t="str" cm="1">
        <f t="array" ref="R149">_xlfn.IFS(Q149&lt;18.5,"Underweight",
AND(Q149&gt;=18.5,Q149&lt;25),"Normal Weight",
AND(Q149&gt;=25,Q149&lt;30),"Overweight",
Q149&gt;=30,"Obesity")</f>
        <v>Underweight</v>
      </c>
      <c r="S149" s="2">
        <f t="shared" si="2"/>
        <v>827.10280373831768</v>
      </c>
      <c r="T149" s="2" t="str" cm="1">
        <f t="array" ref="T149">_xlfn.IFS(N149&lt;=2.5,"Low",N149&lt;=3,"Medium",N149&gt;3,"High")</f>
        <v>High</v>
      </c>
    </row>
    <row r="150" spans="1:20" x14ac:dyDescent="0.3">
      <c r="A150" s="2">
        <v>149</v>
      </c>
      <c r="B150" s="2" t="s">
        <v>22</v>
      </c>
      <c r="C150" s="2">
        <v>23</v>
      </c>
      <c r="D150" s="2" t="s">
        <v>15</v>
      </c>
      <c r="E150" s="2">
        <v>83.1</v>
      </c>
      <c r="F150" s="2">
        <v>1.8</v>
      </c>
      <c r="G150" s="2">
        <v>185</v>
      </c>
      <c r="H150" s="2">
        <v>162</v>
      </c>
      <c r="I150" s="2">
        <v>56</v>
      </c>
      <c r="J150" s="2">
        <v>0.7</v>
      </c>
      <c r="K150" s="2">
        <v>624</v>
      </c>
      <c r="L150" s="2" t="s">
        <v>20</v>
      </c>
      <c r="M150" s="2">
        <v>29.3</v>
      </c>
      <c r="N150" s="2">
        <v>3.1</v>
      </c>
      <c r="O150" s="2">
        <v>3</v>
      </c>
      <c r="P150" s="2">
        <v>1</v>
      </c>
      <c r="Q150" s="2">
        <v>25.65</v>
      </c>
      <c r="R150" s="2" t="str" cm="1">
        <f t="array" ref="R150">_xlfn.IFS(Q150&lt;18.5,"Underweight",
AND(Q150&gt;=18.5,Q150&lt;25),"Normal Weight",
AND(Q150&gt;=25,Q150&lt;30),"Overweight",
Q150&gt;=30,"Obesity")</f>
        <v>Overweight</v>
      </c>
      <c r="S150" s="2">
        <f t="shared" si="2"/>
        <v>891.42857142857144</v>
      </c>
      <c r="T150" s="2" t="str" cm="1">
        <f t="array" ref="T150">_xlfn.IFS(N150&lt;=2.5,"Low",N150&lt;=3,"Medium",N150&gt;3,"High")</f>
        <v>High</v>
      </c>
    </row>
    <row r="151" spans="1:20" x14ac:dyDescent="0.3">
      <c r="A151" s="2">
        <v>150</v>
      </c>
      <c r="B151" s="2" t="s">
        <v>30</v>
      </c>
      <c r="C151" s="2">
        <v>45</v>
      </c>
      <c r="D151" s="2" t="s">
        <v>16</v>
      </c>
      <c r="E151" s="2">
        <v>65.099999999999994</v>
      </c>
      <c r="F151" s="2">
        <v>1.78</v>
      </c>
      <c r="G151" s="2">
        <v>180</v>
      </c>
      <c r="H151" s="2">
        <v>158</v>
      </c>
      <c r="I151" s="2">
        <v>66</v>
      </c>
      <c r="J151" s="2">
        <v>1.46</v>
      </c>
      <c r="K151" s="2">
        <v>1038</v>
      </c>
      <c r="L151" s="2" t="s">
        <v>19</v>
      </c>
      <c r="M151" s="2">
        <v>31.3</v>
      </c>
      <c r="N151" s="2">
        <v>2.2999999999999998</v>
      </c>
      <c r="O151" s="2">
        <v>3</v>
      </c>
      <c r="P151" s="2">
        <v>1</v>
      </c>
      <c r="Q151" s="2">
        <v>20.55</v>
      </c>
      <c r="R151" s="2" t="str" cm="1">
        <f t="array" ref="R151">_xlfn.IFS(Q151&lt;18.5,"Underweight",
AND(Q151&gt;=18.5,Q151&lt;25),"Normal Weight",
AND(Q151&gt;=25,Q151&lt;30),"Overweight",
Q151&gt;=30,"Obesity")</f>
        <v>Normal Weight</v>
      </c>
      <c r="S151" s="2">
        <f t="shared" si="2"/>
        <v>710.95890410958907</v>
      </c>
      <c r="T151" s="2" t="str" cm="1">
        <f t="array" ref="T151">_xlfn.IFS(N151&lt;=2.5,"Low",N151&lt;=3,"Medium",N151&gt;3,"High")</f>
        <v>Low</v>
      </c>
    </row>
    <row r="152" spans="1:20" x14ac:dyDescent="0.3">
      <c r="A152" s="2">
        <v>151</v>
      </c>
      <c r="B152" s="2" t="s">
        <v>26</v>
      </c>
      <c r="C152" s="2">
        <v>45</v>
      </c>
      <c r="D152" s="2" t="s">
        <v>15</v>
      </c>
      <c r="E152" s="2">
        <v>46.6</v>
      </c>
      <c r="F152" s="2">
        <v>1.79</v>
      </c>
      <c r="G152" s="2">
        <v>176</v>
      </c>
      <c r="H152" s="2">
        <v>168</v>
      </c>
      <c r="I152" s="2">
        <v>55</v>
      </c>
      <c r="J152" s="2">
        <v>1.46</v>
      </c>
      <c r="K152" s="2">
        <v>1214</v>
      </c>
      <c r="L152" s="2" t="s">
        <v>17</v>
      </c>
      <c r="M152" s="2">
        <v>22.9</v>
      </c>
      <c r="N152" s="2">
        <v>2.4</v>
      </c>
      <c r="O152" s="2">
        <v>3</v>
      </c>
      <c r="P152" s="2">
        <v>2</v>
      </c>
      <c r="Q152" s="2">
        <v>14.54</v>
      </c>
      <c r="R152" s="2" t="str" cm="1">
        <f t="array" ref="R152">_xlfn.IFS(Q152&lt;18.5,"Underweight",
AND(Q152&gt;=18.5,Q152&lt;25),"Normal Weight",
AND(Q152&gt;=25,Q152&lt;30),"Overweight",
Q152&gt;=30,"Obesity")</f>
        <v>Underweight</v>
      </c>
      <c r="S152" s="2">
        <f t="shared" si="2"/>
        <v>831.50684931506851</v>
      </c>
      <c r="T152" s="2" t="str" cm="1">
        <f t="array" ref="T152">_xlfn.IFS(N152&lt;=2.5,"Low",N152&lt;=3,"Medium",N152&gt;3,"High")</f>
        <v>Low</v>
      </c>
    </row>
    <row r="153" spans="1:20" x14ac:dyDescent="0.3">
      <c r="A153" s="2">
        <v>152</v>
      </c>
      <c r="B153" s="2" t="s">
        <v>21</v>
      </c>
      <c r="C153" s="2">
        <v>37</v>
      </c>
      <c r="D153" s="2" t="s">
        <v>15</v>
      </c>
      <c r="E153" s="2">
        <v>103.5</v>
      </c>
      <c r="F153" s="2">
        <v>1.89</v>
      </c>
      <c r="G153" s="2">
        <v>175</v>
      </c>
      <c r="H153" s="2">
        <v>168</v>
      </c>
      <c r="I153" s="2">
        <v>57</v>
      </c>
      <c r="J153" s="2">
        <v>0.54</v>
      </c>
      <c r="K153" s="2">
        <v>499</v>
      </c>
      <c r="L153" s="2" t="s">
        <v>19</v>
      </c>
      <c r="M153" s="2">
        <v>26.4</v>
      </c>
      <c r="N153" s="2">
        <v>3.1</v>
      </c>
      <c r="O153" s="2">
        <v>2</v>
      </c>
      <c r="P153" s="2">
        <v>1</v>
      </c>
      <c r="Q153" s="2">
        <v>28.97</v>
      </c>
      <c r="R153" s="2" t="str" cm="1">
        <f t="array" ref="R153">_xlfn.IFS(Q153&lt;18.5,"Underweight",
AND(Q153&gt;=18.5,Q153&lt;25),"Normal Weight",
AND(Q153&gt;=25,Q153&lt;30),"Overweight",
Q153&gt;=30,"Obesity")</f>
        <v>Overweight</v>
      </c>
      <c r="S153" s="2">
        <f t="shared" si="2"/>
        <v>924.07407407407402</v>
      </c>
      <c r="T153" s="2" t="str" cm="1">
        <f t="array" ref="T153">_xlfn.IFS(N153&lt;=2.5,"Low",N153&lt;=3,"Medium",N153&gt;3,"High")</f>
        <v>High</v>
      </c>
    </row>
    <row r="154" spans="1:20" x14ac:dyDescent="0.3">
      <c r="A154" s="2">
        <v>153</v>
      </c>
      <c r="B154" s="2" t="s">
        <v>27</v>
      </c>
      <c r="C154" s="2">
        <v>47</v>
      </c>
      <c r="D154" s="2" t="s">
        <v>16</v>
      </c>
      <c r="E154" s="2">
        <v>61.9</v>
      </c>
      <c r="F154" s="2">
        <v>1.54</v>
      </c>
      <c r="G154" s="2">
        <v>190</v>
      </c>
      <c r="H154" s="2">
        <v>131</v>
      </c>
      <c r="I154" s="2">
        <v>61</v>
      </c>
      <c r="J154" s="2">
        <v>1.95</v>
      </c>
      <c r="K154" s="2">
        <v>1150</v>
      </c>
      <c r="L154" s="2" t="s">
        <v>17</v>
      </c>
      <c r="M154" s="2">
        <v>16.399999999999999</v>
      </c>
      <c r="N154" s="2">
        <v>2.7</v>
      </c>
      <c r="O154" s="2">
        <v>4</v>
      </c>
      <c r="P154" s="2">
        <v>3</v>
      </c>
      <c r="Q154" s="2">
        <v>26.1</v>
      </c>
      <c r="R154" s="2" t="str" cm="1">
        <f t="array" ref="R154">_xlfn.IFS(Q154&lt;18.5,"Underweight",
AND(Q154&gt;=18.5,Q154&lt;25),"Normal Weight",
AND(Q154&gt;=25,Q154&lt;30),"Overweight",
Q154&gt;=30,"Obesity")</f>
        <v>Overweight</v>
      </c>
      <c r="S154" s="2">
        <f t="shared" si="2"/>
        <v>589.74358974358972</v>
      </c>
      <c r="T154" s="2" t="str" cm="1">
        <f t="array" ref="T154">_xlfn.IFS(N154&lt;=2.5,"Low",N154&lt;=3,"Medium",N154&gt;3,"High")</f>
        <v>Medium</v>
      </c>
    </row>
    <row r="155" spans="1:20" x14ac:dyDescent="0.3">
      <c r="A155" s="2">
        <v>154</v>
      </c>
      <c r="B155" s="2" t="s">
        <v>23</v>
      </c>
      <c r="C155" s="2">
        <v>28</v>
      </c>
      <c r="D155" s="2" t="s">
        <v>16</v>
      </c>
      <c r="E155" s="2">
        <v>52</v>
      </c>
      <c r="F155" s="2">
        <v>1.61</v>
      </c>
      <c r="G155" s="2">
        <v>168</v>
      </c>
      <c r="H155" s="2">
        <v>164</v>
      </c>
      <c r="I155" s="2">
        <v>70</v>
      </c>
      <c r="J155" s="2">
        <v>1.32</v>
      </c>
      <c r="K155" s="2">
        <v>1082</v>
      </c>
      <c r="L155" s="2" t="s">
        <v>17</v>
      </c>
      <c r="M155" s="2">
        <v>27.9</v>
      </c>
      <c r="N155" s="2">
        <v>2</v>
      </c>
      <c r="O155" s="2">
        <v>3</v>
      </c>
      <c r="P155" s="2">
        <v>2</v>
      </c>
      <c r="Q155" s="2">
        <v>20.059999999999999</v>
      </c>
      <c r="R155" s="2" t="str" cm="1">
        <f t="array" ref="R155">_xlfn.IFS(Q155&lt;18.5,"Underweight",
AND(Q155&gt;=18.5,Q155&lt;25),"Normal Weight",
AND(Q155&gt;=25,Q155&lt;30),"Overweight",
Q155&gt;=30,"Obesity")</f>
        <v>Normal Weight</v>
      </c>
      <c r="S155" s="2">
        <f t="shared" si="2"/>
        <v>819.69696969696963</v>
      </c>
      <c r="T155" s="2" t="str" cm="1">
        <f t="array" ref="T155">_xlfn.IFS(N155&lt;=2.5,"Low",N155&lt;=3,"Medium",N155&gt;3,"High")</f>
        <v>Low</v>
      </c>
    </row>
    <row r="156" spans="1:20" x14ac:dyDescent="0.3">
      <c r="A156" s="2">
        <v>155</v>
      </c>
      <c r="B156" s="2" t="s">
        <v>30</v>
      </c>
      <c r="C156" s="2">
        <v>45</v>
      </c>
      <c r="D156" s="2" t="s">
        <v>15</v>
      </c>
      <c r="E156" s="2">
        <v>113.4</v>
      </c>
      <c r="F156" s="2">
        <v>1.71</v>
      </c>
      <c r="G156" s="2">
        <v>190</v>
      </c>
      <c r="H156" s="2">
        <v>129</v>
      </c>
      <c r="I156" s="2">
        <v>63</v>
      </c>
      <c r="J156" s="2">
        <v>0.83</v>
      </c>
      <c r="K156" s="2">
        <v>530</v>
      </c>
      <c r="L156" s="2" t="s">
        <v>20</v>
      </c>
      <c r="M156" s="2">
        <v>24</v>
      </c>
      <c r="N156" s="2">
        <v>2.2999999999999998</v>
      </c>
      <c r="O156" s="2">
        <v>2</v>
      </c>
      <c r="P156" s="2">
        <v>1</v>
      </c>
      <c r="Q156" s="2">
        <v>38.78</v>
      </c>
      <c r="R156" s="2" t="str" cm="1">
        <f t="array" ref="R156">_xlfn.IFS(Q156&lt;18.5,"Underweight",
AND(Q156&gt;=18.5,Q156&lt;25),"Normal Weight",
AND(Q156&gt;=25,Q156&lt;30),"Overweight",
Q156&gt;=30,"Obesity")</f>
        <v>Obesity</v>
      </c>
      <c r="S156" s="2">
        <f t="shared" si="2"/>
        <v>638.5542168674699</v>
      </c>
      <c r="T156" s="2" t="str" cm="1">
        <f t="array" ref="T156">_xlfn.IFS(N156&lt;=2.5,"Low",N156&lt;=3,"Medium",N156&gt;3,"High")</f>
        <v>Low</v>
      </c>
    </row>
    <row r="157" spans="1:20" x14ac:dyDescent="0.3">
      <c r="A157" s="2">
        <v>156</v>
      </c>
      <c r="B157" s="2" t="s">
        <v>24</v>
      </c>
      <c r="C157" s="2">
        <v>42</v>
      </c>
      <c r="D157" s="2" t="s">
        <v>15</v>
      </c>
      <c r="E157" s="2">
        <v>62.9</v>
      </c>
      <c r="F157" s="2">
        <v>1.98</v>
      </c>
      <c r="G157" s="2">
        <v>173</v>
      </c>
      <c r="H157" s="2">
        <v>126</v>
      </c>
      <c r="I157" s="2">
        <v>61</v>
      </c>
      <c r="J157" s="2">
        <v>1.42</v>
      </c>
      <c r="K157" s="2">
        <v>886</v>
      </c>
      <c r="L157" s="2" t="s">
        <v>17</v>
      </c>
      <c r="M157" s="2">
        <v>28.5</v>
      </c>
      <c r="N157" s="2">
        <v>3.4</v>
      </c>
      <c r="O157" s="2">
        <v>4</v>
      </c>
      <c r="P157" s="2">
        <v>2</v>
      </c>
      <c r="Q157" s="2">
        <v>16.04</v>
      </c>
      <c r="R157" s="2" t="str" cm="1">
        <f t="array" ref="R157">_xlfn.IFS(Q157&lt;18.5,"Underweight",
AND(Q157&gt;=18.5,Q157&lt;25),"Normal Weight",
AND(Q157&gt;=25,Q157&lt;30),"Overweight",
Q157&gt;=30,"Obesity")</f>
        <v>Underweight</v>
      </c>
      <c r="S157" s="2">
        <f t="shared" si="2"/>
        <v>623.94366197183103</v>
      </c>
      <c r="T157" s="2" t="str" cm="1">
        <f t="array" ref="T157">_xlfn.IFS(N157&lt;=2.5,"Low",N157&lt;=3,"Medium",N157&gt;3,"High")</f>
        <v>High</v>
      </c>
    </row>
    <row r="158" spans="1:20" x14ac:dyDescent="0.3">
      <c r="A158" s="2">
        <v>157</v>
      </c>
      <c r="B158" s="2" t="s">
        <v>29</v>
      </c>
      <c r="C158" s="2">
        <v>56</v>
      </c>
      <c r="D158" s="2" t="s">
        <v>16</v>
      </c>
      <c r="E158" s="2">
        <v>40.4</v>
      </c>
      <c r="F158" s="2">
        <v>1.8</v>
      </c>
      <c r="G158" s="2">
        <v>196</v>
      </c>
      <c r="H158" s="2">
        <v>165</v>
      </c>
      <c r="I158" s="2">
        <v>72</v>
      </c>
      <c r="J158" s="2">
        <v>1.23</v>
      </c>
      <c r="K158" s="2">
        <v>913</v>
      </c>
      <c r="L158" s="2" t="s">
        <v>19</v>
      </c>
      <c r="M158" s="2">
        <v>30</v>
      </c>
      <c r="N158" s="2">
        <v>2.1</v>
      </c>
      <c r="O158" s="2">
        <v>4</v>
      </c>
      <c r="P158" s="2">
        <v>2</v>
      </c>
      <c r="Q158" s="2">
        <v>12.47</v>
      </c>
      <c r="R158" s="2" t="str" cm="1">
        <f t="array" ref="R158">_xlfn.IFS(Q158&lt;18.5,"Underweight",
AND(Q158&gt;=18.5,Q158&lt;25),"Normal Weight",
AND(Q158&gt;=25,Q158&lt;30),"Overweight",
Q158&gt;=30,"Obesity")</f>
        <v>Underweight</v>
      </c>
      <c r="S158" s="2">
        <f t="shared" si="2"/>
        <v>742.27642276422762</v>
      </c>
      <c r="T158" s="2" t="str" cm="1">
        <f t="array" ref="T158">_xlfn.IFS(N158&lt;=2.5,"Low",N158&lt;=3,"Medium",N158&gt;3,"High")</f>
        <v>Low</v>
      </c>
    </row>
    <row r="159" spans="1:20" x14ac:dyDescent="0.3">
      <c r="A159" s="2">
        <v>158</v>
      </c>
      <c r="B159" s="2" t="s">
        <v>26</v>
      </c>
      <c r="C159" s="2">
        <v>50</v>
      </c>
      <c r="D159" s="2" t="s">
        <v>16</v>
      </c>
      <c r="E159" s="2">
        <v>67.099999999999994</v>
      </c>
      <c r="F159" s="2">
        <v>1.75</v>
      </c>
      <c r="G159" s="2">
        <v>161</v>
      </c>
      <c r="H159" s="2">
        <v>120</v>
      </c>
      <c r="I159" s="2">
        <v>59</v>
      </c>
      <c r="J159" s="2">
        <v>0.67</v>
      </c>
      <c r="K159" s="2">
        <v>362</v>
      </c>
      <c r="L159" s="2" t="s">
        <v>19</v>
      </c>
      <c r="M159" s="2">
        <v>31.8</v>
      </c>
      <c r="N159" s="2">
        <v>2.7</v>
      </c>
      <c r="O159" s="2">
        <v>3</v>
      </c>
      <c r="P159" s="2">
        <v>1</v>
      </c>
      <c r="Q159" s="2">
        <v>21.91</v>
      </c>
      <c r="R159" s="2" t="str" cm="1">
        <f t="array" ref="R159">_xlfn.IFS(Q159&lt;18.5,"Underweight",
AND(Q159&gt;=18.5,Q159&lt;25),"Normal Weight",
AND(Q159&gt;=25,Q159&lt;30),"Overweight",
Q159&gt;=30,"Obesity")</f>
        <v>Normal Weight</v>
      </c>
      <c r="S159" s="2">
        <f t="shared" si="2"/>
        <v>540.29850746268653</v>
      </c>
      <c r="T159" s="2" t="str" cm="1">
        <f t="array" ref="T159">_xlfn.IFS(N159&lt;=2.5,"Low",N159&lt;=3,"Medium",N159&gt;3,"High")</f>
        <v>Medium</v>
      </c>
    </row>
    <row r="160" spans="1:20" x14ac:dyDescent="0.3">
      <c r="A160" s="2">
        <v>159</v>
      </c>
      <c r="B160" s="2" t="s">
        <v>25</v>
      </c>
      <c r="C160" s="2">
        <v>18</v>
      </c>
      <c r="D160" s="2" t="s">
        <v>15</v>
      </c>
      <c r="E160" s="2">
        <v>70</v>
      </c>
      <c r="F160" s="2">
        <v>1.61</v>
      </c>
      <c r="G160" s="2">
        <v>173</v>
      </c>
      <c r="H160" s="2">
        <v>168</v>
      </c>
      <c r="I160" s="2">
        <v>71</v>
      </c>
      <c r="J160" s="2">
        <v>1.3</v>
      </c>
      <c r="K160" s="2">
        <v>1201</v>
      </c>
      <c r="L160" s="2" t="s">
        <v>20</v>
      </c>
      <c r="M160" s="2">
        <v>23.9</v>
      </c>
      <c r="N160" s="2">
        <v>2.5</v>
      </c>
      <c r="O160" s="2">
        <v>2</v>
      </c>
      <c r="P160" s="2">
        <v>1</v>
      </c>
      <c r="Q160" s="2">
        <v>27.01</v>
      </c>
      <c r="R160" s="2" t="str" cm="1">
        <f t="array" ref="R160">_xlfn.IFS(Q160&lt;18.5,"Underweight",
AND(Q160&gt;=18.5,Q160&lt;25),"Normal Weight",
AND(Q160&gt;=25,Q160&lt;30),"Overweight",
Q160&gt;=30,"Obesity")</f>
        <v>Overweight</v>
      </c>
      <c r="S160" s="2">
        <f t="shared" si="2"/>
        <v>923.84615384615381</v>
      </c>
      <c r="T160" s="2" t="str" cm="1">
        <f t="array" ref="T160">_xlfn.IFS(N160&lt;=2.5,"Low",N160&lt;=3,"Medium",N160&gt;3,"High")</f>
        <v>Low</v>
      </c>
    </row>
    <row r="161" spans="1:20" x14ac:dyDescent="0.3">
      <c r="A161" s="2">
        <v>160</v>
      </c>
      <c r="B161" s="2" t="s">
        <v>23</v>
      </c>
      <c r="C161" s="2">
        <v>44</v>
      </c>
      <c r="D161" s="2" t="s">
        <v>16</v>
      </c>
      <c r="E161" s="2">
        <v>69.5</v>
      </c>
      <c r="F161" s="2">
        <v>1.75</v>
      </c>
      <c r="G161" s="2">
        <v>192</v>
      </c>
      <c r="H161" s="2">
        <v>155</v>
      </c>
      <c r="I161" s="2">
        <v>69</v>
      </c>
      <c r="J161" s="2">
        <v>1.02</v>
      </c>
      <c r="K161" s="2">
        <v>711</v>
      </c>
      <c r="L161" s="2" t="s">
        <v>18</v>
      </c>
      <c r="M161" s="2">
        <v>27.6</v>
      </c>
      <c r="N161" s="2">
        <v>2.1</v>
      </c>
      <c r="O161" s="2">
        <v>3</v>
      </c>
      <c r="P161" s="2">
        <v>1</v>
      </c>
      <c r="Q161" s="2">
        <v>22.69</v>
      </c>
      <c r="R161" s="2" t="str" cm="1">
        <f t="array" ref="R161">_xlfn.IFS(Q161&lt;18.5,"Underweight",
AND(Q161&gt;=18.5,Q161&lt;25),"Normal Weight",
AND(Q161&gt;=25,Q161&lt;30),"Overweight",
Q161&gt;=30,"Obesity")</f>
        <v>Normal Weight</v>
      </c>
      <c r="S161" s="2">
        <f t="shared" si="2"/>
        <v>697.05882352941171</v>
      </c>
      <c r="T161" s="2" t="str" cm="1">
        <f t="array" ref="T161">_xlfn.IFS(N161&lt;=2.5,"Low",N161&lt;=3,"Medium",N161&gt;3,"High")</f>
        <v>Low</v>
      </c>
    </row>
    <row r="162" spans="1:20" x14ac:dyDescent="0.3">
      <c r="A162" s="2">
        <v>161</v>
      </c>
      <c r="B162" s="2" t="s">
        <v>27</v>
      </c>
      <c r="C162" s="2">
        <v>30</v>
      </c>
      <c r="D162" s="2" t="s">
        <v>15</v>
      </c>
      <c r="E162" s="2">
        <v>107.9</v>
      </c>
      <c r="F162" s="2">
        <v>1.66</v>
      </c>
      <c r="G162" s="2">
        <v>194</v>
      </c>
      <c r="H162" s="2">
        <v>140</v>
      </c>
      <c r="I162" s="2">
        <v>64</v>
      </c>
      <c r="J162" s="2">
        <v>1.08</v>
      </c>
      <c r="K162" s="2">
        <v>832</v>
      </c>
      <c r="L162" s="2" t="s">
        <v>19</v>
      </c>
      <c r="M162" s="2">
        <v>29.5</v>
      </c>
      <c r="N162" s="2">
        <v>2.8</v>
      </c>
      <c r="O162" s="2">
        <v>3</v>
      </c>
      <c r="P162" s="2">
        <v>2</v>
      </c>
      <c r="Q162" s="2">
        <v>39.159999999999997</v>
      </c>
      <c r="R162" s="2" t="str" cm="1">
        <f t="array" ref="R162">_xlfn.IFS(Q162&lt;18.5,"Underweight",
AND(Q162&gt;=18.5,Q162&lt;25),"Normal Weight",
AND(Q162&gt;=25,Q162&lt;30),"Overweight",
Q162&gt;=30,"Obesity")</f>
        <v>Obesity</v>
      </c>
      <c r="S162" s="2">
        <f t="shared" si="2"/>
        <v>770.37037037037032</v>
      </c>
      <c r="T162" s="2" t="str" cm="1">
        <f t="array" ref="T162">_xlfn.IFS(N162&lt;=2.5,"Low",N162&lt;=3,"Medium",N162&gt;3,"High")</f>
        <v>Medium</v>
      </c>
    </row>
    <row r="163" spans="1:20" x14ac:dyDescent="0.3">
      <c r="A163" s="2">
        <v>162</v>
      </c>
      <c r="B163" s="2" t="s">
        <v>23</v>
      </c>
      <c r="C163" s="2">
        <v>58</v>
      </c>
      <c r="D163" s="2" t="s">
        <v>15</v>
      </c>
      <c r="E163" s="2">
        <v>109</v>
      </c>
      <c r="F163" s="2">
        <v>1.91</v>
      </c>
      <c r="G163" s="2">
        <v>198</v>
      </c>
      <c r="H163" s="2">
        <v>156</v>
      </c>
      <c r="I163" s="2">
        <v>56</v>
      </c>
      <c r="J163" s="2">
        <v>1.49</v>
      </c>
      <c r="K163" s="2">
        <v>1151</v>
      </c>
      <c r="L163" s="2" t="s">
        <v>17</v>
      </c>
      <c r="M163" s="2">
        <v>26</v>
      </c>
      <c r="N163" s="2">
        <v>2.2000000000000002</v>
      </c>
      <c r="O163" s="2">
        <v>3</v>
      </c>
      <c r="P163" s="2">
        <v>2</v>
      </c>
      <c r="Q163" s="2">
        <v>29.88</v>
      </c>
      <c r="R163" s="2" t="str" cm="1">
        <f t="array" ref="R163">_xlfn.IFS(Q163&lt;18.5,"Underweight",
AND(Q163&gt;=18.5,Q163&lt;25),"Normal Weight",
AND(Q163&gt;=25,Q163&lt;30),"Overweight",
Q163&gt;=30,"Obesity")</f>
        <v>Overweight</v>
      </c>
      <c r="S163" s="2">
        <f t="shared" si="2"/>
        <v>772.48322147651004</v>
      </c>
      <c r="T163" s="2" t="str" cm="1">
        <f t="array" ref="T163">_xlfn.IFS(N163&lt;=2.5,"Low",N163&lt;=3,"Medium",N163&gt;3,"High")</f>
        <v>Low</v>
      </c>
    </row>
    <row r="164" spans="1:20" x14ac:dyDescent="0.3">
      <c r="A164" s="2">
        <v>163</v>
      </c>
      <c r="B164" s="2" t="s">
        <v>30</v>
      </c>
      <c r="C164" s="2">
        <v>20</v>
      </c>
      <c r="D164" s="2" t="s">
        <v>15</v>
      </c>
      <c r="E164" s="2">
        <v>101</v>
      </c>
      <c r="F164" s="2">
        <v>1.91</v>
      </c>
      <c r="G164" s="2">
        <v>179</v>
      </c>
      <c r="H164" s="2">
        <v>143</v>
      </c>
      <c r="I164" s="2">
        <v>58</v>
      </c>
      <c r="J164" s="2">
        <v>1.36</v>
      </c>
      <c r="K164" s="2">
        <v>1070</v>
      </c>
      <c r="L164" s="2" t="s">
        <v>19</v>
      </c>
      <c r="M164" s="2">
        <v>29.3</v>
      </c>
      <c r="N164" s="2">
        <v>2.7</v>
      </c>
      <c r="O164" s="2">
        <v>3</v>
      </c>
      <c r="P164" s="2">
        <v>2</v>
      </c>
      <c r="Q164" s="2">
        <v>27.69</v>
      </c>
      <c r="R164" s="2" t="str" cm="1">
        <f t="array" ref="R164">_xlfn.IFS(Q164&lt;18.5,"Underweight",
AND(Q164&gt;=18.5,Q164&lt;25),"Normal Weight",
AND(Q164&gt;=25,Q164&lt;30),"Overweight",
Q164&gt;=30,"Obesity")</f>
        <v>Overweight</v>
      </c>
      <c r="S164" s="2">
        <f t="shared" si="2"/>
        <v>786.76470588235293</v>
      </c>
      <c r="T164" s="2" t="str" cm="1">
        <f t="array" ref="T164">_xlfn.IFS(N164&lt;=2.5,"Low",N164&lt;=3,"Medium",N164&gt;3,"High")</f>
        <v>Medium</v>
      </c>
    </row>
    <row r="165" spans="1:20" x14ac:dyDescent="0.3">
      <c r="A165" s="2">
        <v>164</v>
      </c>
      <c r="B165" s="2" t="s">
        <v>22</v>
      </c>
      <c r="C165" s="2">
        <v>56</v>
      </c>
      <c r="D165" s="2" t="s">
        <v>15</v>
      </c>
      <c r="E165" s="2">
        <v>88.5</v>
      </c>
      <c r="F165" s="2">
        <v>1.85</v>
      </c>
      <c r="G165" s="2">
        <v>161</v>
      </c>
      <c r="H165" s="2">
        <v>144</v>
      </c>
      <c r="I165" s="2">
        <v>59</v>
      </c>
      <c r="J165" s="2">
        <v>1.57</v>
      </c>
      <c r="K165" s="2">
        <v>1119</v>
      </c>
      <c r="L165" s="2" t="s">
        <v>19</v>
      </c>
      <c r="M165" s="2">
        <v>11</v>
      </c>
      <c r="N165" s="2">
        <v>3.5</v>
      </c>
      <c r="O165" s="2">
        <v>4</v>
      </c>
      <c r="P165" s="2">
        <v>3</v>
      </c>
      <c r="Q165" s="2">
        <v>25.86</v>
      </c>
      <c r="R165" s="2" t="str" cm="1">
        <f t="array" ref="R165">_xlfn.IFS(Q165&lt;18.5,"Underweight",
AND(Q165&gt;=18.5,Q165&lt;25),"Normal Weight",
AND(Q165&gt;=25,Q165&lt;30),"Overweight",
Q165&gt;=30,"Obesity")</f>
        <v>Overweight</v>
      </c>
      <c r="S165" s="2">
        <f t="shared" si="2"/>
        <v>712.73885350318471</v>
      </c>
      <c r="T165" s="2" t="str" cm="1">
        <f t="array" ref="T165">_xlfn.IFS(N165&lt;=2.5,"Low",N165&lt;=3,"Medium",N165&gt;3,"High")</f>
        <v>High</v>
      </c>
    </row>
    <row r="166" spans="1:20" x14ac:dyDescent="0.3">
      <c r="A166" s="2">
        <v>165</v>
      </c>
      <c r="B166" s="2" t="s">
        <v>29</v>
      </c>
      <c r="C166" s="2">
        <v>23</v>
      </c>
      <c r="D166" s="2" t="s">
        <v>15</v>
      </c>
      <c r="E166" s="2">
        <v>80.900000000000006</v>
      </c>
      <c r="F166" s="2">
        <v>1.8</v>
      </c>
      <c r="G166" s="2">
        <v>178</v>
      </c>
      <c r="H166" s="2">
        <v>126</v>
      </c>
      <c r="I166" s="2">
        <v>59</v>
      </c>
      <c r="J166" s="2">
        <v>1.55</v>
      </c>
      <c r="K166" s="2">
        <v>1074</v>
      </c>
      <c r="L166" s="2" t="s">
        <v>19</v>
      </c>
      <c r="M166" s="2">
        <v>10.7</v>
      </c>
      <c r="N166" s="2">
        <v>3.5</v>
      </c>
      <c r="O166" s="2">
        <v>4</v>
      </c>
      <c r="P166" s="2">
        <v>3</v>
      </c>
      <c r="Q166" s="2">
        <v>24.97</v>
      </c>
      <c r="R166" s="2" t="str" cm="1">
        <f t="array" ref="R166">_xlfn.IFS(Q166&lt;18.5,"Underweight",
AND(Q166&gt;=18.5,Q166&lt;25),"Normal Weight",
AND(Q166&gt;=25,Q166&lt;30),"Overweight",
Q166&gt;=30,"Obesity")</f>
        <v>Normal Weight</v>
      </c>
      <c r="S166" s="2">
        <f t="shared" si="2"/>
        <v>692.90322580645159</v>
      </c>
      <c r="T166" s="2" t="str" cm="1">
        <f t="array" ref="T166">_xlfn.IFS(N166&lt;=2.5,"Low",N166&lt;=3,"Medium",N166&gt;3,"High")</f>
        <v>High</v>
      </c>
    </row>
    <row r="167" spans="1:20" x14ac:dyDescent="0.3">
      <c r="A167" s="2">
        <v>166</v>
      </c>
      <c r="B167" s="2" t="s">
        <v>29</v>
      </c>
      <c r="C167" s="2">
        <v>25</v>
      </c>
      <c r="D167" s="2" t="s">
        <v>16</v>
      </c>
      <c r="E167" s="2">
        <v>43.1</v>
      </c>
      <c r="F167" s="2">
        <v>1.62</v>
      </c>
      <c r="G167" s="2">
        <v>196</v>
      </c>
      <c r="H167" s="2">
        <v>161</v>
      </c>
      <c r="I167" s="2">
        <v>65</v>
      </c>
      <c r="J167" s="2">
        <v>1.04</v>
      </c>
      <c r="K167" s="2">
        <v>837</v>
      </c>
      <c r="L167" s="2" t="s">
        <v>18</v>
      </c>
      <c r="M167" s="2">
        <v>33.6</v>
      </c>
      <c r="N167" s="2">
        <v>1.8</v>
      </c>
      <c r="O167" s="2">
        <v>4</v>
      </c>
      <c r="P167" s="2">
        <v>2</v>
      </c>
      <c r="Q167" s="2">
        <v>16.420000000000002</v>
      </c>
      <c r="R167" s="2" t="str" cm="1">
        <f t="array" ref="R167">_xlfn.IFS(Q167&lt;18.5,"Underweight",
AND(Q167&gt;=18.5,Q167&lt;25),"Normal Weight",
AND(Q167&gt;=25,Q167&lt;30),"Overweight",
Q167&gt;=30,"Obesity")</f>
        <v>Underweight</v>
      </c>
      <c r="S167" s="2">
        <f t="shared" si="2"/>
        <v>804.80769230769226</v>
      </c>
      <c r="T167" s="2" t="str" cm="1">
        <f t="array" ref="T167">_xlfn.IFS(N167&lt;=2.5,"Low",N167&lt;=3,"Medium",N167&gt;3,"High")</f>
        <v>Low</v>
      </c>
    </row>
    <row r="168" spans="1:20" x14ac:dyDescent="0.3">
      <c r="A168" s="2">
        <v>167</v>
      </c>
      <c r="B168" s="2" t="s">
        <v>25</v>
      </c>
      <c r="C168" s="2">
        <v>44</v>
      </c>
      <c r="D168" s="2" t="s">
        <v>16</v>
      </c>
      <c r="E168" s="2">
        <v>59.1</v>
      </c>
      <c r="F168" s="2">
        <v>1.52</v>
      </c>
      <c r="G168" s="2">
        <v>177</v>
      </c>
      <c r="H168" s="2">
        <v>136</v>
      </c>
      <c r="I168" s="2">
        <v>56</v>
      </c>
      <c r="J168" s="2">
        <v>1.58</v>
      </c>
      <c r="K168" s="2">
        <v>967</v>
      </c>
      <c r="L168" s="2" t="s">
        <v>17</v>
      </c>
      <c r="M168" s="2">
        <v>18.399999999999999</v>
      </c>
      <c r="N168" s="2">
        <v>2.7</v>
      </c>
      <c r="O168" s="2">
        <v>5</v>
      </c>
      <c r="P168" s="2">
        <v>3</v>
      </c>
      <c r="Q168" s="2">
        <v>25.58</v>
      </c>
      <c r="R168" s="2" t="str" cm="1">
        <f t="array" ref="R168">_xlfn.IFS(Q168&lt;18.5,"Underweight",
AND(Q168&gt;=18.5,Q168&lt;25),"Normal Weight",
AND(Q168&gt;=25,Q168&lt;30),"Overweight",
Q168&gt;=30,"Obesity")</f>
        <v>Overweight</v>
      </c>
      <c r="S168" s="2">
        <f t="shared" si="2"/>
        <v>612.02531645569616</v>
      </c>
      <c r="T168" s="2" t="str" cm="1">
        <f t="array" ref="T168">_xlfn.IFS(N168&lt;=2.5,"Low",N168&lt;=3,"Medium",N168&gt;3,"High")</f>
        <v>Medium</v>
      </c>
    </row>
    <row r="169" spans="1:20" x14ac:dyDescent="0.3">
      <c r="A169" s="2">
        <v>168</v>
      </c>
      <c r="B169" s="2" t="s">
        <v>22</v>
      </c>
      <c r="C169" s="2">
        <v>26</v>
      </c>
      <c r="D169" s="2" t="s">
        <v>16</v>
      </c>
      <c r="E169" s="2">
        <v>54</v>
      </c>
      <c r="F169" s="2">
        <v>1.53</v>
      </c>
      <c r="G169" s="2">
        <v>175</v>
      </c>
      <c r="H169" s="2">
        <v>148</v>
      </c>
      <c r="I169" s="2">
        <v>54</v>
      </c>
      <c r="J169" s="2">
        <v>1.1399999999999999</v>
      </c>
      <c r="K169" s="2">
        <v>844</v>
      </c>
      <c r="L169" s="2" t="s">
        <v>20</v>
      </c>
      <c r="M169" s="2">
        <v>26.9</v>
      </c>
      <c r="N169" s="2">
        <v>1.7</v>
      </c>
      <c r="O169" s="2">
        <v>3</v>
      </c>
      <c r="P169" s="2">
        <v>1</v>
      </c>
      <c r="Q169" s="2">
        <v>23.07</v>
      </c>
      <c r="R169" s="2" t="str" cm="1">
        <f t="array" ref="R169">_xlfn.IFS(Q169&lt;18.5,"Underweight",
AND(Q169&gt;=18.5,Q169&lt;25),"Normal Weight",
AND(Q169&gt;=25,Q169&lt;30),"Overweight",
Q169&gt;=30,"Obesity")</f>
        <v>Normal Weight</v>
      </c>
      <c r="S169" s="2">
        <f t="shared" si="2"/>
        <v>740.35087719298247</v>
      </c>
      <c r="T169" s="2" t="str" cm="1">
        <f t="array" ref="T169">_xlfn.IFS(N169&lt;=2.5,"Low",N169&lt;=3,"Medium",N169&gt;3,"High")</f>
        <v>Low</v>
      </c>
    </row>
    <row r="170" spans="1:20" x14ac:dyDescent="0.3">
      <c r="A170" s="2">
        <v>169</v>
      </c>
      <c r="B170" s="2" t="s">
        <v>21</v>
      </c>
      <c r="C170" s="2">
        <v>54</v>
      </c>
      <c r="D170" s="2" t="s">
        <v>16</v>
      </c>
      <c r="E170" s="2">
        <v>72.3</v>
      </c>
      <c r="F170" s="2">
        <v>1.78</v>
      </c>
      <c r="G170" s="2">
        <v>163</v>
      </c>
      <c r="H170" s="2">
        <v>149</v>
      </c>
      <c r="I170" s="2">
        <v>72</v>
      </c>
      <c r="J170" s="2">
        <v>1.27</v>
      </c>
      <c r="K170" s="2">
        <v>852</v>
      </c>
      <c r="L170" s="2" t="s">
        <v>19</v>
      </c>
      <c r="M170" s="2">
        <v>27.7</v>
      </c>
      <c r="N170" s="2">
        <v>1.8</v>
      </c>
      <c r="O170" s="2">
        <v>2</v>
      </c>
      <c r="P170" s="2">
        <v>1</v>
      </c>
      <c r="Q170" s="2">
        <v>22.82</v>
      </c>
      <c r="R170" s="2" t="str" cm="1">
        <f t="array" ref="R170">_xlfn.IFS(Q170&lt;18.5,"Underweight",
AND(Q170&gt;=18.5,Q170&lt;25),"Normal Weight",
AND(Q170&gt;=25,Q170&lt;30),"Overweight",
Q170&gt;=30,"Obesity")</f>
        <v>Normal Weight</v>
      </c>
      <c r="S170" s="2">
        <f t="shared" si="2"/>
        <v>670.8661417322835</v>
      </c>
      <c r="T170" s="2" t="str" cm="1">
        <f t="array" ref="T170">_xlfn.IFS(N170&lt;=2.5,"Low",N170&lt;=3,"Medium",N170&gt;3,"High")</f>
        <v>Low</v>
      </c>
    </row>
    <row r="171" spans="1:20" x14ac:dyDescent="0.3">
      <c r="A171" s="2">
        <v>170</v>
      </c>
      <c r="B171" s="2" t="s">
        <v>28</v>
      </c>
      <c r="C171" s="2">
        <v>50</v>
      </c>
      <c r="D171" s="2" t="s">
        <v>15</v>
      </c>
      <c r="E171" s="2">
        <v>51.1</v>
      </c>
      <c r="F171" s="2">
        <v>1.98</v>
      </c>
      <c r="G171" s="2">
        <v>171</v>
      </c>
      <c r="H171" s="2">
        <v>126</v>
      </c>
      <c r="I171" s="2">
        <v>52</v>
      </c>
      <c r="J171" s="2">
        <v>0.92</v>
      </c>
      <c r="K171" s="2">
        <v>574</v>
      </c>
      <c r="L171" s="2" t="s">
        <v>17</v>
      </c>
      <c r="M171" s="2">
        <v>28</v>
      </c>
      <c r="N171" s="2">
        <v>2.4</v>
      </c>
      <c r="O171" s="2">
        <v>2</v>
      </c>
      <c r="P171" s="2">
        <v>1</v>
      </c>
      <c r="Q171" s="2">
        <v>13.03</v>
      </c>
      <c r="R171" s="2" t="str" cm="1">
        <f t="array" ref="R171">_xlfn.IFS(Q171&lt;18.5,"Underweight",
AND(Q171&gt;=18.5,Q171&lt;25),"Normal Weight",
AND(Q171&gt;=25,Q171&lt;30),"Overweight",
Q171&gt;=30,"Obesity")</f>
        <v>Underweight</v>
      </c>
      <c r="S171" s="2">
        <f t="shared" si="2"/>
        <v>623.91304347826087</v>
      </c>
      <c r="T171" s="2" t="str" cm="1">
        <f t="array" ref="T171">_xlfn.IFS(N171&lt;=2.5,"Low",N171&lt;=3,"Medium",N171&gt;3,"High")</f>
        <v>Low</v>
      </c>
    </row>
    <row r="172" spans="1:20" x14ac:dyDescent="0.3">
      <c r="A172" s="2">
        <v>171</v>
      </c>
      <c r="B172" s="2" t="s">
        <v>26</v>
      </c>
      <c r="C172" s="2">
        <v>59</v>
      </c>
      <c r="D172" s="2" t="s">
        <v>15</v>
      </c>
      <c r="E172" s="2">
        <v>89.4</v>
      </c>
      <c r="F172" s="2">
        <v>1.72</v>
      </c>
      <c r="G172" s="2">
        <v>188</v>
      </c>
      <c r="H172" s="2">
        <v>152</v>
      </c>
      <c r="I172" s="2">
        <v>67</v>
      </c>
      <c r="J172" s="2">
        <v>1.08</v>
      </c>
      <c r="K172" s="2">
        <v>813</v>
      </c>
      <c r="L172" s="2" t="s">
        <v>17</v>
      </c>
      <c r="M172" s="2">
        <v>24.5</v>
      </c>
      <c r="N172" s="2">
        <v>3.2</v>
      </c>
      <c r="O172" s="2">
        <v>3</v>
      </c>
      <c r="P172" s="2">
        <v>1</v>
      </c>
      <c r="Q172" s="2">
        <v>30.22</v>
      </c>
      <c r="R172" s="2" t="str" cm="1">
        <f t="array" ref="R172">_xlfn.IFS(Q172&lt;18.5,"Underweight",
AND(Q172&gt;=18.5,Q172&lt;25),"Normal Weight",
AND(Q172&gt;=25,Q172&lt;30),"Overweight",
Q172&gt;=30,"Obesity")</f>
        <v>Obesity</v>
      </c>
      <c r="S172" s="2">
        <f t="shared" si="2"/>
        <v>752.77777777777771</v>
      </c>
      <c r="T172" s="2" t="str" cm="1">
        <f t="array" ref="T172">_xlfn.IFS(N172&lt;=2.5,"Low",N172&lt;=3,"Medium",N172&gt;3,"High")</f>
        <v>High</v>
      </c>
    </row>
    <row r="173" spans="1:20" x14ac:dyDescent="0.3">
      <c r="A173" s="2">
        <v>172</v>
      </c>
      <c r="B173" s="2" t="s">
        <v>29</v>
      </c>
      <c r="C173" s="2">
        <v>41</v>
      </c>
      <c r="D173" s="2" t="s">
        <v>15</v>
      </c>
      <c r="E173" s="2">
        <v>51.5</v>
      </c>
      <c r="F173" s="2">
        <v>1.8</v>
      </c>
      <c r="G173" s="2">
        <v>166</v>
      </c>
      <c r="H173" s="2">
        <v>126</v>
      </c>
      <c r="I173" s="2">
        <v>60</v>
      </c>
      <c r="J173" s="2">
        <v>1.0900000000000001</v>
      </c>
      <c r="K173" s="2">
        <v>680</v>
      </c>
      <c r="L173" s="2" t="s">
        <v>20</v>
      </c>
      <c r="M173" s="2">
        <v>26.7</v>
      </c>
      <c r="N173" s="2">
        <v>2.1</v>
      </c>
      <c r="O173" s="2">
        <v>4</v>
      </c>
      <c r="P173" s="2">
        <v>2</v>
      </c>
      <c r="Q173" s="2">
        <v>15.9</v>
      </c>
      <c r="R173" s="2" t="str" cm="1">
        <f t="array" ref="R173">_xlfn.IFS(Q173&lt;18.5,"Underweight",
AND(Q173&gt;=18.5,Q173&lt;25),"Normal Weight",
AND(Q173&gt;=25,Q173&lt;30),"Overweight",
Q173&gt;=30,"Obesity")</f>
        <v>Underweight</v>
      </c>
      <c r="S173" s="2">
        <f t="shared" si="2"/>
        <v>623.85321100917429</v>
      </c>
      <c r="T173" s="2" t="str" cm="1">
        <f t="array" ref="T173">_xlfn.IFS(N173&lt;=2.5,"Low",N173&lt;=3,"Medium",N173&gt;3,"High")</f>
        <v>Low</v>
      </c>
    </row>
    <row r="174" spans="1:20" x14ac:dyDescent="0.3">
      <c r="A174" s="2">
        <v>173</v>
      </c>
      <c r="B174" s="2" t="s">
        <v>24</v>
      </c>
      <c r="C174" s="2">
        <v>32</v>
      </c>
      <c r="D174" s="2" t="s">
        <v>15</v>
      </c>
      <c r="E174" s="2">
        <v>87.9</v>
      </c>
      <c r="F174" s="2">
        <v>1.88</v>
      </c>
      <c r="G174" s="2">
        <v>173</v>
      </c>
      <c r="H174" s="2">
        <v>143</v>
      </c>
      <c r="I174" s="2">
        <v>64</v>
      </c>
      <c r="J174" s="2">
        <v>1.52</v>
      </c>
      <c r="K174" s="2">
        <v>1195</v>
      </c>
      <c r="L174" s="2" t="s">
        <v>19</v>
      </c>
      <c r="M174" s="2">
        <v>11.6</v>
      </c>
      <c r="N174" s="2">
        <v>3.5</v>
      </c>
      <c r="O174" s="2">
        <v>5</v>
      </c>
      <c r="P174" s="2">
        <v>3</v>
      </c>
      <c r="Q174" s="2">
        <v>24.87</v>
      </c>
      <c r="R174" s="2" t="str" cm="1">
        <f t="array" ref="R174">_xlfn.IFS(Q174&lt;18.5,"Underweight",
AND(Q174&gt;=18.5,Q174&lt;25),"Normal Weight",
AND(Q174&gt;=25,Q174&lt;30),"Overweight",
Q174&gt;=30,"Obesity")</f>
        <v>Normal Weight</v>
      </c>
      <c r="S174" s="2">
        <f t="shared" si="2"/>
        <v>786.18421052631572</v>
      </c>
      <c r="T174" s="2" t="str" cm="1">
        <f t="array" ref="T174">_xlfn.IFS(N174&lt;=2.5,"Low",N174&lt;=3,"Medium",N174&gt;3,"High")</f>
        <v>High</v>
      </c>
    </row>
    <row r="175" spans="1:20" x14ac:dyDescent="0.3">
      <c r="A175" s="2">
        <v>174</v>
      </c>
      <c r="B175" s="2" t="s">
        <v>29</v>
      </c>
      <c r="C175" s="2">
        <v>49</v>
      </c>
      <c r="D175" s="2" t="s">
        <v>16</v>
      </c>
      <c r="E175" s="2">
        <v>42</v>
      </c>
      <c r="F175" s="2">
        <v>1.52</v>
      </c>
      <c r="G175" s="2">
        <v>171</v>
      </c>
      <c r="H175" s="2">
        <v>130</v>
      </c>
      <c r="I175" s="2">
        <v>70</v>
      </c>
      <c r="J175" s="2">
        <v>1.1000000000000001</v>
      </c>
      <c r="K175" s="2">
        <v>644</v>
      </c>
      <c r="L175" s="2" t="s">
        <v>18</v>
      </c>
      <c r="M175" s="2">
        <v>28.8</v>
      </c>
      <c r="N175" s="2">
        <v>2.2000000000000002</v>
      </c>
      <c r="O175" s="2">
        <v>3</v>
      </c>
      <c r="P175" s="2">
        <v>1</v>
      </c>
      <c r="Q175" s="2">
        <v>18.18</v>
      </c>
      <c r="R175" s="2" t="str" cm="1">
        <f t="array" ref="R175">_xlfn.IFS(Q175&lt;18.5,"Underweight",
AND(Q175&gt;=18.5,Q175&lt;25),"Normal Weight",
AND(Q175&gt;=25,Q175&lt;30),"Overweight",
Q175&gt;=30,"Obesity")</f>
        <v>Underweight</v>
      </c>
      <c r="S175" s="2">
        <f t="shared" si="2"/>
        <v>585.45454545454538</v>
      </c>
      <c r="T175" s="2" t="str" cm="1">
        <f t="array" ref="T175">_xlfn.IFS(N175&lt;=2.5,"Low",N175&lt;=3,"Medium",N175&gt;3,"High")</f>
        <v>Low</v>
      </c>
    </row>
    <row r="176" spans="1:20" x14ac:dyDescent="0.3">
      <c r="A176" s="2">
        <v>175</v>
      </c>
      <c r="B176" s="2" t="s">
        <v>23</v>
      </c>
      <c r="C176" s="2">
        <v>49</v>
      </c>
      <c r="D176" s="2" t="s">
        <v>15</v>
      </c>
      <c r="E176" s="2">
        <v>79.2</v>
      </c>
      <c r="F176" s="2">
        <v>1.72</v>
      </c>
      <c r="G176" s="2">
        <v>194</v>
      </c>
      <c r="H176" s="2">
        <v>128</v>
      </c>
      <c r="I176" s="2">
        <v>69</v>
      </c>
      <c r="J176" s="2">
        <v>1.46</v>
      </c>
      <c r="K176" s="2">
        <v>925</v>
      </c>
      <c r="L176" s="2" t="s">
        <v>17</v>
      </c>
      <c r="M176" s="2">
        <v>29.9</v>
      </c>
      <c r="N176" s="2">
        <v>3.3</v>
      </c>
      <c r="O176" s="2">
        <v>3</v>
      </c>
      <c r="P176" s="2">
        <v>1</v>
      </c>
      <c r="Q176" s="2">
        <v>26.77</v>
      </c>
      <c r="R176" s="2" t="str" cm="1">
        <f t="array" ref="R176">_xlfn.IFS(Q176&lt;18.5,"Underweight",
AND(Q176&gt;=18.5,Q176&lt;25),"Normal Weight",
AND(Q176&gt;=25,Q176&lt;30),"Overweight",
Q176&gt;=30,"Obesity")</f>
        <v>Overweight</v>
      </c>
      <c r="S176" s="2">
        <f t="shared" si="2"/>
        <v>633.56164383561645</v>
      </c>
      <c r="T176" s="2" t="str" cm="1">
        <f t="array" ref="T176">_xlfn.IFS(N176&lt;=2.5,"Low",N176&lt;=3,"Medium",N176&gt;3,"High")</f>
        <v>High</v>
      </c>
    </row>
    <row r="177" spans="1:20" x14ac:dyDescent="0.3">
      <c r="A177" s="2">
        <v>176</v>
      </c>
      <c r="B177" s="2" t="s">
        <v>29</v>
      </c>
      <c r="C177" s="2">
        <v>41</v>
      </c>
      <c r="D177" s="2" t="s">
        <v>15</v>
      </c>
      <c r="E177" s="2">
        <v>64.8</v>
      </c>
      <c r="F177" s="2">
        <v>1.71</v>
      </c>
      <c r="G177" s="2">
        <v>164</v>
      </c>
      <c r="H177" s="2">
        <v>131</v>
      </c>
      <c r="I177" s="2">
        <v>54</v>
      </c>
      <c r="J177" s="2">
        <v>1.2</v>
      </c>
      <c r="K177" s="2">
        <v>778</v>
      </c>
      <c r="L177" s="2" t="s">
        <v>20</v>
      </c>
      <c r="M177" s="2">
        <v>22.5</v>
      </c>
      <c r="N177" s="2">
        <v>2.8</v>
      </c>
      <c r="O177" s="2">
        <v>3</v>
      </c>
      <c r="P177" s="2">
        <v>2</v>
      </c>
      <c r="Q177" s="2">
        <v>22.16</v>
      </c>
      <c r="R177" s="2" t="str" cm="1">
        <f t="array" ref="R177">_xlfn.IFS(Q177&lt;18.5,"Underweight",
AND(Q177&gt;=18.5,Q177&lt;25),"Normal Weight",
AND(Q177&gt;=25,Q177&lt;30),"Overweight",
Q177&gt;=30,"Obesity")</f>
        <v>Normal Weight</v>
      </c>
      <c r="S177" s="2">
        <f t="shared" si="2"/>
        <v>648.33333333333337</v>
      </c>
      <c r="T177" s="2" t="str" cm="1">
        <f t="array" ref="T177">_xlfn.IFS(N177&lt;=2.5,"Low",N177&lt;=3,"Medium",N177&gt;3,"High")</f>
        <v>Medium</v>
      </c>
    </row>
    <row r="178" spans="1:20" x14ac:dyDescent="0.3">
      <c r="A178" s="2">
        <v>177</v>
      </c>
      <c r="B178" s="2" t="s">
        <v>29</v>
      </c>
      <c r="C178" s="2">
        <v>58</v>
      </c>
      <c r="D178" s="2" t="s">
        <v>16</v>
      </c>
      <c r="E178" s="2">
        <v>63</v>
      </c>
      <c r="F178" s="2">
        <v>1.78</v>
      </c>
      <c r="G178" s="2">
        <v>176</v>
      </c>
      <c r="H178" s="2">
        <v>154</v>
      </c>
      <c r="I178" s="2">
        <v>73</v>
      </c>
      <c r="J178" s="2">
        <v>1.58</v>
      </c>
      <c r="K178" s="2">
        <v>1095</v>
      </c>
      <c r="L178" s="2" t="s">
        <v>18</v>
      </c>
      <c r="M178" s="2">
        <v>17.5</v>
      </c>
      <c r="N178" s="2">
        <v>2.7</v>
      </c>
      <c r="O178" s="2">
        <v>4</v>
      </c>
      <c r="P178" s="2">
        <v>3</v>
      </c>
      <c r="Q178" s="2">
        <v>19.88</v>
      </c>
      <c r="R178" s="2" t="str" cm="1">
        <f t="array" ref="R178">_xlfn.IFS(Q178&lt;18.5,"Underweight",
AND(Q178&gt;=18.5,Q178&lt;25),"Normal Weight",
AND(Q178&gt;=25,Q178&lt;30),"Overweight",
Q178&gt;=30,"Obesity")</f>
        <v>Normal Weight</v>
      </c>
      <c r="S178" s="2">
        <f t="shared" si="2"/>
        <v>693.03797468354423</v>
      </c>
      <c r="T178" s="2" t="str" cm="1">
        <f t="array" ref="T178">_xlfn.IFS(N178&lt;=2.5,"Low",N178&lt;=3,"Medium",N178&gt;3,"High")</f>
        <v>Medium</v>
      </c>
    </row>
    <row r="179" spans="1:20" x14ac:dyDescent="0.3">
      <c r="A179" s="2">
        <v>178</v>
      </c>
      <c r="B179" s="2" t="s">
        <v>28</v>
      </c>
      <c r="C179" s="2">
        <v>29</v>
      </c>
      <c r="D179" s="2" t="s">
        <v>16</v>
      </c>
      <c r="E179" s="2">
        <v>56.2</v>
      </c>
      <c r="F179" s="2">
        <v>1.77</v>
      </c>
      <c r="G179" s="2">
        <v>191</v>
      </c>
      <c r="H179" s="2">
        <v>123</v>
      </c>
      <c r="I179" s="2">
        <v>61</v>
      </c>
      <c r="J179" s="2">
        <v>0.68</v>
      </c>
      <c r="K179" s="2">
        <v>418</v>
      </c>
      <c r="L179" s="2" t="s">
        <v>17</v>
      </c>
      <c r="M179" s="2">
        <v>33.4</v>
      </c>
      <c r="N179" s="2">
        <v>2.6</v>
      </c>
      <c r="O179" s="2">
        <v>3</v>
      </c>
      <c r="P179" s="2">
        <v>1</v>
      </c>
      <c r="Q179" s="2">
        <v>17.940000000000001</v>
      </c>
      <c r="R179" s="2" t="str" cm="1">
        <f t="array" ref="R179">_xlfn.IFS(Q179&lt;18.5,"Underweight",
AND(Q179&gt;=18.5,Q179&lt;25),"Normal Weight",
AND(Q179&gt;=25,Q179&lt;30),"Overweight",
Q179&gt;=30,"Obesity")</f>
        <v>Underweight</v>
      </c>
      <c r="S179" s="2">
        <f t="shared" si="2"/>
        <v>614.7058823529411</v>
      </c>
      <c r="T179" s="2" t="str" cm="1">
        <f t="array" ref="T179">_xlfn.IFS(N179&lt;=2.5,"Low",N179&lt;=3,"Medium",N179&gt;3,"High")</f>
        <v>Medium</v>
      </c>
    </row>
    <row r="180" spans="1:20" x14ac:dyDescent="0.3">
      <c r="A180" s="2">
        <v>179</v>
      </c>
      <c r="B180" s="2" t="s">
        <v>28</v>
      </c>
      <c r="C180" s="2">
        <v>56</v>
      </c>
      <c r="D180" s="2" t="s">
        <v>16</v>
      </c>
      <c r="E180" s="2">
        <v>52.9</v>
      </c>
      <c r="F180" s="2">
        <v>1.64</v>
      </c>
      <c r="G180" s="2">
        <v>169</v>
      </c>
      <c r="H180" s="2">
        <v>155</v>
      </c>
      <c r="I180" s="2">
        <v>53</v>
      </c>
      <c r="J180" s="2">
        <v>1.1000000000000001</v>
      </c>
      <c r="K180" s="2">
        <v>767</v>
      </c>
      <c r="L180" s="2" t="s">
        <v>19</v>
      </c>
      <c r="M180" s="2">
        <v>27.4</v>
      </c>
      <c r="N180" s="2">
        <v>2.2999999999999998</v>
      </c>
      <c r="O180" s="2">
        <v>3</v>
      </c>
      <c r="P180" s="2">
        <v>2</v>
      </c>
      <c r="Q180" s="2">
        <v>19.670000000000002</v>
      </c>
      <c r="R180" s="2" t="str" cm="1">
        <f t="array" ref="R180">_xlfn.IFS(Q180&lt;18.5,"Underweight",
AND(Q180&gt;=18.5,Q180&lt;25),"Normal Weight",
AND(Q180&gt;=25,Q180&lt;30),"Overweight",
Q180&gt;=30,"Obesity")</f>
        <v>Normal Weight</v>
      </c>
      <c r="S180" s="2">
        <f t="shared" si="2"/>
        <v>697.27272727272725</v>
      </c>
      <c r="T180" s="2" t="str" cm="1">
        <f t="array" ref="T180">_xlfn.IFS(N180&lt;=2.5,"Low",N180&lt;=3,"Medium",N180&gt;3,"High")</f>
        <v>Low</v>
      </c>
    </row>
    <row r="181" spans="1:20" x14ac:dyDescent="0.3">
      <c r="A181" s="2">
        <v>180</v>
      </c>
      <c r="B181" s="2" t="s">
        <v>27</v>
      </c>
      <c r="C181" s="2">
        <v>19</v>
      </c>
      <c r="D181" s="2" t="s">
        <v>16</v>
      </c>
      <c r="E181" s="2">
        <v>49</v>
      </c>
      <c r="F181" s="2">
        <v>1.69</v>
      </c>
      <c r="G181" s="2">
        <v>176</v>
      </c>
      <c r="H181" s="2">
        <v>147</v>
      </c>
      <c r="I181" s="2">
        <v>64</v>
      </c>
      <c r="J181" s="2">
        <v>1.05</v>
      </c>
      <c r="K181" s="2">
        <v>772</v>
      </c>
      <c r="L181" s="2" t="s">
        <v>17</v>
      </c>
      <c r="M181" s="2">
        <v>29.2</v>
      </c>
      <c r="N181" s="2">
        <v>2.4</v>
      </c>
      <c r="O181" s="2">
        <v>3</v>
      </c>
      <c r="P181" s="2">
        <v>1</v>
      </c>
      <c r="Q181" s="2">
        <v>17.16</v>
      </c>
      <c r="R181" s="2" t="str" cm="1">
        <f t="array" ref="R181">_xlfn.IFS(Q181&lt;18.5,"Underweight",
AND(Q181&gt;=18.5,Q181&lt;25),"Normal Weight",
AND(Q181&gt;=25,Q181&lt;30),"Overweight",
Q181&gt;=30,"Obesity")</f>
        <v>Underweight</v>
      </c>
      <c r="S181" s="2">
        <f t="shared" si="2"/>
        <v>735.23809523809518</v>
      </c>
      <c r="T181" s="2" t="str" cm="1">
        <f t="array" ref="T181">_xlfn.IFS(N181&lt;=2.5,"Low",N181&lt;=3,"Medium",N181&gt;3,"High")</f>
        <v>Low</v>
      </c>
    </row>
    <row r="182" spans="1:20" x14ac:dyDescent="0.3">
      <c r="A182" s="2">
        <v>181</v>
      </c>
      <c r="B182" s="2" t="s">
        <v>21</v>
      </c>
      <c r="C182" s="2">
        <v>20</v>
      </c>
      <c r="D182" s="2" t="s">
        <v>15</v>
      </c>
      <c r="E182" s="2">
        <v>128.19999999999999</v>
      </c>
      <c r="F182" s="2">
        <v>1.84</v>
      </c>
      <c r="G182" s="2">
        <v>164</v>
      </c>
      <c r="H182" s="2">
        <v>132</v>
      </c>
      <c r="I182" s="2">
        <v>58</v>
      </c>
      <c r="J182" s="2">
        <v>0.83</v>
      </c>
      <c r="K182" s="2">
        <v>603</v>
      </c>
      <c r="L182" s="2" t="s">
        <v>18</v>
      </c>
      <c r="M182" s="2">
        <v>26.2</v>
      </c>
      <c r="N182" s="2">
        <v>2.2999999999999998</v>
      </c>
      <c r="O182" s="2">
        <v>3</v>
      </c>
      <c r="P182" s="2">
        <v>1</v>
      </c>
      <c r="Q182" s="2">
        <v>37.869999999999997</v>
      </c>
      <c r="R182" s="2" t="str" cm="1">
        <f t="array" ref="R182">_xlfn.IFS(Q182&lt;18.5,"Underweight",
AND(Q182&gt;=18.5,Q182&lt;25),"Normal Weight",
AND(Q182&gt;=25,Q182&lt;30),"Overweight",
Q182&gt;=30,"Obesity")</f>
        <v>Obesity</v>
      </c>
      <c r="S182" s="2">
        <f t="shared" si="2"/>
        <v>726.50602409638554</v>
      </c>
      <c r="T182" s="2" t="str" cm="1">
        <f t="array" ref="T182">_xlfn.IFS(N182&lt;=2.5,"Low",N182&lt;=3,"Medium",N182&gt;3,"High")</f>
        <v>Low</v>
      </c>
    </row>
    <row r="183" spans="1:20" x14ac:dyDescent="0.3">
      <c r="A183" s="2">
        <v>182</v>
      </c>
      <c r="B183" s="2" t="s">
        <v>24</v>
      </c>
      <c r="C183" s="2">
        <v>54</v>
      </c>
      <c r="D183" s="2" t="s">
        <v>15</v>
      </c>
      <c r="E183" s="2">
        <v>83.6</v>
      </c>
      <c r="F183" s="2">
        <v>1.86</v>
      </c>
      <c r="G183" s="2">
        <v>168</v>
      </c>
      <c r="H183" s="2">
        <v>142</v>
      </c>
      <c r="I183" s="2">
        <v>56</v>
      </c>
      <c r="J183" s="2">
        <v>1.54</v>
      </c>
      <c r="K183" s="2">
        <v>1082</v>
      </c>
      <c r="L183" s="2" t="s">
        <v>18</v>
      </c>
      <c r="M183" s="2">
        <v>12.4</v>
      </c>
      <c r="N183" s="2">
        <v>3.5</v>
      </c>
      <c r="O183" s="2">
        <v>5</v>
      </c>
      <c r="P183" s="2">
        <v>3</v>
      </c>
      <c r="Q183" s="2">
        <v>24.16</v>
      </c>
      <c r="R183" s="2" t="str" cm="1">
        <f t="array" ref="R183">_xlfn.IFS(Q183&lt;18.5,"Underweight",
AND(Q183&gt;=18.5,Q183&lt;25),"Normal Weight",
AND(Q183&gt;=25,Q183&lt;30),"Overweight",
Q183&gt;=30,"Obesity")</f>
        <v>Normal Weight</v>
      </c>
      <c r="S183" s="2">
        <f t="shared" si="2"/>
        <v>702.59740259740261</v>
      </c>
      <c r="T183" s="2" t="str" cm="1">
        <f t="array" ref="T183">_xlfn.IFS(N183&lt;=2.5,"Low",N183&lt;=3,"Medium",N183&gt;3,"High")</f>
        <v>High</v>
      </c>
    </row>
    <row r="184" spans="1:20" x14ac:dyDescent="0.3">
      <c r="A184" s="2">
        <v>183</v>
      </c>
      <c r="B184" s="2" t="s">
        <v>29</v>
      </c>
      <c r="C184" s="2">
        <v>34</v>
      </c>
      <c r="D184" s="2" t="s">
        <v>16</v>
      </c>
      <c r="E184" s="2">
        <v>56.2</v>
      </c>
      <c r="F184" s="2">
        <v>1.77</v>
      </c>
      <c r="G184" s="2">
        <v>192</v>
      </c>
      <c r="H184" s="2">
        <v>138</v>
      </c>
      <c r="I184" s="2">
        <v>59</v>
      </c>
      <c r="J184" s="2">
        <v>1.81</v>
      </c>
      <c r="K184" s="2">
        <v>1249</v>
      </c>
      <c r="L184" s="2" t="s">
        <v>19</v>
      </c>
      <c r="M184" s="2">
        <v>17.3</v>
      </c>
      <c r="N184" s="2">
        <v>2.7</v>
      </c>
      <c r="O184" s="2">
        <v>5</v>
      </c>
      <c r="P184" s="2">
        <v>3</v>
      </c>
      <c r="Q184" s="2">
        <v>17.940000000000001</v>
      </c>
      <c r="R184" s="2" t="str" cm="1">
        <f t="array" ref="R184">_xlfn.IFS(Q184&lt;18.5,"Underweight",
AND(Q184&gt;=18.5,Q184&lt;25),"Normal Weight",
AND(Q184&gt;=25,Q184&lt;30),"Overweight",
Q184&gt;=30,"Obesity")</f>
        <v>Underweight</v>
      </c>
      <c r="S184" s="2">
        <f t="shared" si="2"/>
        <v>690.0552486187845</v>
      </c>
      <c r="T184" s="2" t="str" cm="1">
        <f t="array" ref="T184">_xlfn.IFS(N184&lt;=2.5,"Low",N184&lt;=3,"Medium",N184&gt;3,"High")</f>
        <v>Medium</v>
      </c>
    </row>
    <row r="185" spans="1:20" x14ac:dyDescent="0.3">
      <c r="A185" s="2">
        <v>184</v>
      </c>
      <c r="B185" s="2" t="s">
        <v>29</v>
      </c>
      <c r="C185" s="2">
        <v>19</v>
      </c>
      <c r="D185" s="2" t="s">
        <v>15</v>
      </c>
      <c r="E185" s="2">
        <v>87.8</v>
      </c>
      <c r="F185" s="2">
        <v>1.78</v>
      </c>
      <c r="G185" s="2">
        <v>195</v>
      </c>
      <c r="H185" s="2">
        <v>161</v>
      </c>
      <c r="I185" s="2">
        <v>72</v>
      </c>
      <c r="J185" s="2">
        <v>1.28</v>
      </c>
      <c r="K185" s="2">
        <v>1133</v>
      </c>
      <c r="L185" s="2" t="s">
        <v>19</v>
      </c>
      <c r="M185" s="2">
        <v>23.6</v>
      </c>
      <c r="N185" s="2">
        <v>3.3</v>
      </c>
      <c r="O185" s="2">
        <v>2</v>
      </c>
      <c r="P185" s="2">
        <v>1</v>
      </c>
      <c r="Q185" s="2">
        <v>27.71</v>
      </c>
      <c r="R185" s="2" t="str" cm="1">
        <f t="array" ref="R185">_xlfn.IFS(Q185&lt;18.5,"Underweight",
AND(Q185&gt;=18.5,Q185&lt;25),"Normal Weight",
AND(Q185&gt;=25,Q185&lt;30),"Overweight",
Q185&gt;=30,"Obesity")</f>
        <v>Overweight</v>
      </c>
      <c r="S185" s="2">
        <f t="shared" si="2"/>
        <v>885.15625</v>
      </c>
      <c r="T185" s="2" t="str" cm="1">
        <f t="array" ref="T185">_xlfn.IFS(N185&lt;=2.5,"Low",N185&lt;=3,"Medium",N185&gt;3,"High")</f>
        <v>High</v>
      </c>
    </row>
    <row r="186" spans="1:20" x14ac:dyDescent="0.3">
      <c r="A186" s="2">
        <v>185</v>
      </c>
      <c r="B186" s="2" t="s">
        <v>26</v>
      </c>
      <c r="C186" s="2">
        <v>19</v>
      </c>
      <c r="D186" s="2" t="s">
        <v>15</v>
      </c>
      <c r="E186" s="2">
        <v>85.9</v>
      </c>
      <c r="F186" s="2">
        <v>1.85</v>
      </c>
      <c r="G186" s="2">
        <v>195</v>
      </c>
      <c r="H186" s="2">
        <v>156</v>
      </c>
      <c r="I186" s="2">
        <v>62</v>
      </c>
      <c r="J186" s="2">
        <v>1.66</v>
      </c>
      <c r="K186" s="2">
        <v>1424</v>
      </c>
      <c r="L186" s="2" t="s">
        <v>20</v>
      </c>
      <c r="M186" s="2">
        <v>12.9</v>
      </c>
      <c r="N186" s="2">
        <v>3.5</v>
      </c>
      <c r="O186" s="2">
        <v>4</v>
      </c>
      <c r="P186" s="2">
        <v>3</v>
      </c>
      <c r="Q186" s="2">
        <v>25.1</v>
      </c>
      <c r="R186" s="2" t="str" cm="1">
        <f t="array" ref="R186">_xlfn.IFS(Q186&lt;18.5,"Underweight",
AND(Q186&gt;=18.5,Q186&lt;25),"Normal Weight",
AND(Q186&gt;=25,Q186&lt;30),"Overweight",
Q186&gt;=30,"Obesity")</f>
        <v>Overweight</v>
      </c>
      <c r="S186" s="2">
        <f t="shared" si="2"/>
        <v>857.83132530120486</v>
      </c>
      <c r="T186" s="2" t="str" cm="1">
        <f t="array" ref="T186">_xlfn.IFS(N186&lt;=2.5,"Low",N186&lt;=3,"Medium",N186&gt;3,"High")</f>
        <v>High</v>
      </c>
    </row>
    <row r="187" spans="1:20" x14ac:dyDescent="0.3">
      <c r="A187" s="2">
        <v>186</v>
      </c>
      <c r="B187" s="2" t="s">
        <v>28</v>
      </c>
      <c r="C187" s="2">
        <v>45</v>
      </c>
      <c r="D187" s="2" t="s">
        <v>15</v>
      </c>
      <c r="E187" s="2">
        <v>51.1</v>
      </c>
      <c r="F187" s="2">
        <v>1.87</v>
      </c>
      <c r="G187" s="2">
        <v>177</v>
      </c>
      <c r="H187" s="2">
        <v>158</v>
      </c>
      <c r="I187" s="2">
        <v>57</v>
      </c>
      <c r="J187" s="2">
        <v>1.44</v>
      </c>
      <c r="K187" s="2">
        <v>1126</v>
      </c>
      <c r="L187" s="2" t="s">
        <v>19</v>
      </c>
      <c r="M187" s="2">
        <v>26.2</v>
      </c>
      <c r="N187" s="2">
        <v>3.4</v>
      </c>
      <c r="O187" s="2">
        <v>4</v>
      </c>
      <c r="P187" s="2">
        <v>2</v>
      </c>
      <c r="Q187" s="2">
        <v>14.61</v>
      </c>
      <c r="R187" s="2" t="str" cm="1">
        <f t="array" ref="R187">_xlfn.IFS(Q187&lt;18.5,"Underweight",
AND(Q187&gt;=18.5,Q187&lt;25),"Normal Weight",
AND(Q187&gt;=25,Q187&lt;30),"Overweight",
Q187&gt;=30,"Obesity")</f>
        <v>Underweight</v>
      </c>
      <c r="S187" s="2">
        <f t="shared" si="2"/>
        <v>781.94444444444446</v>
      </c>
      <c r="T187" s="2" t="str" cm="1">
        <f t="array" ref="T187">_xlfn.IFS(N187&lt;=2.5,"Low",N187&lt;=3,"Medium",N187&gt;3,"High")</f>
        <v>High</v>
      </c>
    </row>
    <row r="188" spans="1:20" x14ac:dyDescent="0.3">
      <c r="A188" s="2">
        <v>187</v>
      </c>
      <c r="B188" s="2" t="s">
        <v>24</v>
      </c>
      <c r="C188" s="2">
        <v>40</v>
      </c>
      <c r="D188" s="2" t="s">
        <v>16</v>
      </c>
      <c r="E188" s="2">
        <v>57.4</v>
      </c>
      <c r="F188" s="2">
        <v>1.71</v>
      </c>
      <c r="G188" s="2">
        <v>168</v>
      </c>
      <c r="H188" s="2">
        <v>143</v>
      </c>
      <c r="I188" s="2">
        <v>61</v>
      </c>
      <c r="J188" s="2">
        <v>1.87</v>
      </c>
      <c r="K188" s="2">
        <v>1337</v>
      </c>
      <c r="L188" s="2" t="s">
        <v>20</v>
      </c>
      <c r="M188" s="2">
        <v>18.3</v>
      </c>
      <c r="N188" s="2">
        <v>2.7</v>
      </c>
      <c r="O188" s="2">
        <v>5</v>
      </c>
      <c r="P188" s="2">
        <v>3</v>
      </c>
      <c r="Q188" s="2">
        <v>19.63</v>
      </c>
      <c r="R188" s="2" t="str" cm="1">
        <f t="array" ref="R188">_xlfn.IFS(Q188&lt;18.5,"Underweight",
AND(Q188&gt;=18.5,Q188&lt;25),"Normal Weight",
AND(Q188&gt;=25,Q188&lt;30),"Overweight",
Q188&gt;=30,"Obesity")</f>
        <v>Normal Weight</v>
      </c>
      <c r="S188" s="2">
        <f t="shared" si="2"/>
        <v>714.97326203208547</v>
      </c>
      <c r="T188" s="2" t="str" cm="1">
        <f t="array" ref="T188">_xlfn.IFS(N188&lt;=2.5,"Low",N188&lt;=3,"Medium",N188&gt;3,"High")</f>
        <v>Medium</v>
      </c>
    </row>
    <row r="189" spans="1:20" x14ac:dyDescent="0.3">
      <c r="A189" s="2">
        <v>188</v>
      </c>
      <c r="B189" s="2" t="s">
        <v>25</v>
      </c>
      <c r="C189" s="2">
        <v>54</v>
      </c>
      <c r="D189" s="2" t="s">
        <v>15</v>
      </c>
      <c r="E189" s="2">
        <v>114.9</v>
      </c>
      <c r="F189" s="2">
        <v>1.92</v>
      </c>
      <c r="G189" s="2">
        <v>188</v>
      </c>
      <c r="H189" s="2">
        <v>135</v>
      </c>
      <c r="I189" s="2">
        <v>71</v>
      </c>
      <c r="J189" s="2">
        <v>1.2</v>
      </c>
      <c r="K189" s="2">
        <v>802</v>
      </c>
      <c r="L189" s="2" t="s">
        <v>18</v>
      </c>
      <c r="M189" s="2">
        <v>20.7</v>
      </c>
      <c r="N189" s="2">
        <v>2.6</v>
      </c>
      <c r="O189" s="2">
        <v>4</v>
      </c>
      <c r="P189" s="2">
        <v>2</v>
      </c>
      <c r="Q189" s="2">
        <v>31.17</v>
      </c>
      <c r="R189" s="2" t="str" cm="1">
        <f t="array" ref="R189">_xlfn.IFS(Q189&lt;18.5,"Underweight",
AND(Q189&gt;=18.5,Q189&lt;25),"Normal Weight",
AND(Q189&gt;=25,Q189&lt;30),"Overweight",
Q189&gt;=30,"Obesity")</f>
        <v>Obesity</v>
      </c>
      <c r="S189" s="2">
        <f t="shared" si="2"/>
        <v>668.33333333333337</v>
      </c>
      <c r="T189" s="2" t="str" cm="1">
        <f t="array" ref="T189">_xlfn.IFS(N189&lt;=2.5,"Low",N189&lt;=3,"Medium",N189&gt;3,"High")</f>
        <v>Medium</v>
      </c>
    </row>
    <row r="190" spans="1:20" x14ac:dyDescent="0.3">
      <c r="A190" s="2">
        <v>189</v>
      </c>
      <c r="B190" s="2" t="s">
        <v>27</v>
      </c>
      <c r="C190" s="2">
        <v>49</v>
      </c>
      <c r="D190" s="2" t="s">
        <v>16</v>
      </c>
      <c r="E190" s="2">
        <v>62.1</v>
      </c>
      <c r="F190" s="2">
        <v>1.66</v>
      </c>
      <c r="G190" s="2">
        <v>173</v>
      </c>
      <c r="H190" s="2">
        <v>152</v>
      </c>
      <c r="I190" s="2">
        <v>73</v>
      </c>
      <c r="J190" s="2">
        <v>1.37</v>
      </c>
      <c r="K190" s="2">
        <v>937</v>
      </c>
      <c r="L190" s="2" t="s">
        <v>18</v>
      </c>
      <c r="M190" s="2">
        <v>31.3</v>
      </c>
      <c r="N190" s="2">
        <v>1.8</v>
      </c>
      <c r="O190" s="2">
        <v>3</v>
      </c>
      <c r="P190" s="2">
        <v>2</v>
      </c>
      <c r="Q190" s="2">
        <v>22.54</v>
      </c>
      <c r="R190" s="2" t="str" cm="1">
        <f t="array" ref="R190">_xlfn.IFS(Q190&lt;18.5,"Underweight",
AND(Q190&gt;=18.5,Q190&lt;25),"Normal Weight",
AND(Q190&gt;=25,Q190&lt;30),"Overweight",
Q190&gt;=30,"Obesity")</f>
        <v>Normal Weight</v>
      </c>
      <c r="S190" s="2">
        <f t="shared" si="2"/>
        <v>683.94160583941596</v>
      </c>
      <c r="T190" s="2" t="str" cm="1">
        <f t="array" ref="T190">_xlfn.IFS(N190&lt;=2.5,"Low",N190&lt;=3,"Medium",N190&gt;3,"High")</f>
        <v>Low</v>
      </c>
    </row>
    <row r="191" spans="1:20" x14ac:dyDescent="0.3">
      <c r="A191" s="2">
        <v>190</v>
      </c>
      <c r="B191" s="2" t="s">
        <v>21</v>
      </c>
      <c r="C191" s="2">
        <v>50</v>
      </c>
      <c r="D191" s="2" t="s">
        <v>15</v>
      </c>
      <c r="E191" s="2">
        <v>57.1</v>
      </c>
      <c r="F191" s="2">
        <v>1.91</v>
      </c>
      <c r="G191" s="2">
        <v>184</v>
      </c>
      <c r="H191" s="2">
        <v>131</v>
      </c>
      <c r="I191" s="2">
        <v>68</v>
      </c>
      <c r="J191" s="2">
        <v>1.0900000000000001</v>
      </c>
      <c r="K191" s="2">
        <v>707</v>
      </c>
      <c r="L191" s="2" t="s">
        <v>17</v>
      </c>
      <c r="M191" s="2">
        <v>29.5</v>
      </c>
      <c r="N191" s="2">
        <v>2.7</v>
      </c>
      <c r="O191" s="2">
        <v>4</v>
      </c>
      <c r="P191" s="2">
        <v>2</v>
      </c>
      <c r="Q191" s="2">
        <v>15.65</v>
      </c>
      <c r="R191" s="2" t="str" cm="1">
        <f t="array" ref="R191">_xlfn.IFS(Q191&lt;18.5,"Underweight",
AND(Q191&gt;=18.5,Q191&lt;25),"Normal Weight",
AND(Q191&gt;=25,Q191&lt;30),"Overweight",
Q191&gt;=30,"Obesity")</f>
        <v>Underweight</v>
      </c>
      <c r="S191" s="2">
        <f t="shared" si="2"/>
        <v>648.62385321100908</v>
      </c>
      <c r="T191" s="2" t="str" cm="1">
        <f t="array" ref="T191">_xlfn.IFS(N191&lt;=2.5,"Low",N191&lt;=3,"Medium",N191&gt;3,"High")</f>
        <v>Medium</v>
      </c>
    </row>
    <row r="192" spans="1:20" x14ac:dyDescent="0.3">
      <c r="A192" s="2">
        <v>191</v>
      </c>
      <c r="B192" s="2" t="s">
        <v>22</v>
      </c>
      <c r="C192" s="2">
        <v>18</v>
      </c>
      <c r="D192" s="2" t="s">
        <v>15</v>
      </c>
      <c r="E192" s="2">
        <v>68.099999999999994</v>
      </c>
      <c r="F192" s="2">
        <v>1.8</v>
      </c>
      <c r="G192" s="2">
        <v>174</v>
      </c>
      <c r="H192" s="2">
        <v>153</v>
      </c>
      <c r="I192" s="2">
        <v>50</v>
      </c>
      <c r="J192" s="2">
        <v>1.1000000000000001</v>
      </c>
      <c r="K192" s="2">
        <v>926</v>
      </c>
      <c r="L192" s="2" t="s">
        <v>17</v>
      </c>
      <c r="M192" s="2">
        <v>25.4</v>
      </c>
      <c r="N192" s="2">
        <v>3.3</v>
      </c>
      <c r="O192" s="2">
        <v>4</v>
      </c>
      <c r="P192" s="2">
        <v>2</v>
      </c>
      <c r="Q192" s="2">
        <v>21.02</v>
      </c>
      <c r="R192" s="2" t="str" cm="1">
        <f t="array" ref="R192">_xlfn.IFS(Q192&lt;18.5,"Underweight",
AND(Q192&gt;=18.5,Q192&lt;25),"Normal Weight",
AND(Q192&gt;=25,Q192&lt;30),"Overweight",
Q192&gt;=30,"Obesity")</f>
        <v>Normal Weight</v>
      </c>
      <c r="S192" s="2">
        <f t="shared" si="2"/>
        <v>841.81818181818176</v>
      </c>
      <c r="T192" s="2" t="str" cm="1">
        <f t="array" ref="T192">_xlfn.IFS(N192&lt;=2.5,"Low",N192&lt;=3,"Medium",N192&gt;3,"High")</f>
        <v>High</v>
      </c>
    </row>
    <row r="193" spans="1:20" x14ac:dyDescent="0.3">
      <c r="A193" s="2">
        <v>192</v>
      </c>
      <c r="B193" s="2" t="s">
        <v>21</v>
      </c>
      <c r="C193" s="2">
        <v>36</v>
      </c>
      <c r="D193" s="2" t="s">
        <v>15</v>
      </c>
      <c r="E193" s="2">
        <v>69.2</v>
      </c>
      <c r="F193" s="2">
        <v>1.65</v>
      </c>
      <c r="G193" s="2">
        <v>165</v>
      </c>
      <c r="H193" s="2">
        <v>126</v>
      </c>
      <c r="I193" s="2">
        <v>65</v>
      </c>
      <c r="J193" s="2">
        <v>1.23</v>
      </c>
      <c r="K193" s="2">
        <v>852</v>
      </c>
      <c r="L193" s="2" t="s">
        <v>20</v>
      </c>
      <c r="M193" s="2">
        <v>27.2</v>
      </c>
      <c r="N193" s="2">
        <v>2.7</v>
      </c>
      <c r="O193" s="2">
        <v>3</v>
      </c>
      <c r="P193" s="2">
        <v>1</v>
      </c>
      <c r="Q193" s="2">
        <v>25.42</v>
      </c>
      <c r="R193" s="2" t="str" cm="1">
        <f t="array" ref="R193">_xlfn.IFS(Q193&lt;18.5,"Underweight",
AND(Q193&gt;=18.5,Q193&lt;25),"Normal Weight",
AND(Q193&gt;=25,Q193&lt;30),"Overweight",
Q193&gt;=30,"Obesity")</f>
        <v>Overweight</v>
      </c>
      <c r="S193" s="2">
        <f t="shared" si="2"/>
        <v>692.68292682926835</v>
      </c>
      <c r="T193" s="2" t="str" cm="1">
        <f t="array" ref="T193">_xlfn.IFS(N193&lt;=2.5,"Low",N193&lt;=3,"Medium",N193&gt;3,"High")</f>
        <v>Medium</v>
      </c>
    </row>
    <row r="194" spans="1:20" x14ac:dyDescent="0.3">
      <c r="A194" s="2">
        <v>193</v>
      </c>
      <c r="B194" s="2" t="s">
        <v>23</v>
      </c>
      <c r="C194" s="2">
        <v>19</v>
      </c>
      <c r="D194" s="2" t="s">
        <v>16</v>
      </c>
      <c r="E194" s="2">
        <v>65.2</v>
      </c>
      <c r="F194" s="2">
        <v>1.52</v>
      </c>
      <c r="G194" s="2">
        <v>188</v>
      </c>
      <c r="H194" s="2">
        <v>130</v>
      </c>
      <c r="I194" s="2">
        <v>71</v>
      </c>
      <c r="J194" s="2">
        <v>1.23</v>
      </c>
      <c r="K194" s="2">
        <v>800</v>
      </c>
      <c r="L194" s="2" t="s">
        <v>19</v>
      </c>
      <c r="M194" s="2">
        <v>30.6</v>
      </c>
      <c r="N194" s="2">
        <v>2.4</v>
      </c>
      <c r="O194" s="2">
        <v>3</v>
      </c>
      <c r="P194" s="2">
        <v>1</v>
      </c>
      <c r="Q194" s="2">
        <v>28.22</v>
      </c>
      <c r="R194" s="2" t="str" cm="1">
        <f t="array" ref="R194">_xlfn.IFS(Q194&lt;18.5,"Underweight",
AND(Q194&gt;=18.5,Q194&lt;25),"Normal Weight",
AND(Q194&gt;=25,Q194&lt;30),"Overweight",
Q194&gt;=30,"Obesity")</f>
        <v>Overweight</v>
      </c>
      <c r="S194" s="2">
        <f t="shared" si="2"/>
        <v>650.40650406504062</v>
      </c>
      <c r="T194" s="2" t="str" cm="1">
        <f t="array" ref="T194">_xlfn.IFS(N194&lt;=2.5,"Low",N194&lt;=3,"Medium",N194&gt;3,"High")</f>
        <v>Low</v>
      </c>
    </row>
    <row r="195" spans="1:20" x14ac:dyDescent="0.3">
      <c r="A195" s="2">
        <v>194</v>
      </c>
      <c r="B195" s="2" t="s">
        <v>29</v>
      </c>
      <c r="C195" s="2">
        <v>43</v>
      </c>
      <c r="D195" s="2" t="s">
        <v>15</v>
      </c>
      <c r="E195" s="2">
        <v>108.6</v>
      </c>
      <c r="F195" s="2">
        <v>1.73</v>
      </c>
      <c r="G195" s="2">
        <v>174</v>
      </c>
      <c r="H195" s="2">
        <v>150</v>
      </c>
      <c r="I195" s="2">
        <v>66</v>
      </c>
      <c r="J195" s="2">
        <v>1.33</v>
      </c>
      <c r="K195" s="2">
        <v>988</v>
      </c>
      <c r="L195" s="2" t="s">
        <v>19</v>
      </c>
      <c r="M195" s="2">
        <v>28.5</v>
      </c>
      <c r="N195" s="2">
        <v>2.2000000000000002</v>
      </c>
      <c r="O195" s="2">
        <v>2</v>
      </c>
      <c r="P195" s="2">
        <v>1</v>
      </c>
      <c r="Q195" s="2">
        <v>36.29</v>
      </c>
      <c r="R195" s="2" t="str" cm="1">
        <f t="array" ref="R195">_xlfn.IFS(Q195&lt;18.5,"Underweight",
AND(Q195&gt;=18.5,Q195&lt;25),"Normal Weight",
AND(Q195&gt;=25,Q195&lt;30),"Overweight",
Q195&gt;=30,"Obesity")</f>
        <v>Obesity</v>
      </c>
      <c r="S195" s="2">
        <f t="shared" ref="S195:S258" si="3">K195/J195</f>
        <v>742.85714285714278</v>
      </c>
      <c r="T195" s="2" t="str" cm="1">
        <f t="array" ref="T195">_xlfn.IFS(N195&lt;=2.5,"Low",N195&lt;=3,"Medium",N195&gt;3,"High")</f>
        <v>Low</v>
      </c>
    </row>
    <row r="196" spans="1:20" x14ac:dyDescent="0.3">
      <c r="A196" s="2">
        <v>195</v>
      </c>
      <c r="B196" s="2" t="s">
        <v>27</v>
      </c>
      <c r="C196" s="2">
        <v>49</v>
      </c>
      <c r="D196" s="2" t="s">
        <v>16</v>
      </c>
      <c r="E196" s="2">
        <v>40</v>
      </c>
      <c r="F196" s="2">
        <v>1.65</v>
      </c>
      <c r="G196" s="2">
        <v>188</v>
      </c>
      <c r="H196" s="2">
        <v>148</v>
      </c>
      <c r="I196" s="2">
        <v>74</v>
      </c>
      <c r="J196" s="2">
        <v>1.03</v>
      </c>
      <c r="K196" s="2">
        <v>686</v>
      </c>
      <c r="L196" s="2" t="s">
        <v>17</v>
      </c>
      <c r="M196" s="2">
        <v>34.299999999999997</v>
      </c>
      <c r="N196" s="2">
        <v>2.5</v>
      </c>
      <c r="O196" s="2">
        <v>3</v>
      </c>
      <c r="P196" s="2">
        <v>2</v>
      </c>
      <c r="Q196" s="2">
        <v>14.69</v>
      </c>
      <c r="R196" s="2" t="str" cm="1">
        <f t="array" ref="R196">_xlfn.IFS(Q196&lt;18.5,"Underweight",
AND(Q196&gt;=18.5,Q196&lt;25),"Normal Weight",
AND(Q196&gt;=25,Q196&lt;30),"Overweight",
Q196&gt;=30,"Obesity")</f>
        <v>Underweight</v>
      </c>
      <c r="S196" s="2">
        <f t="shared" si="3"/>
        <v>666.01941747572812</v>
      </c>
      <c r="T196" s="2" t="str" cm="1">
        <f t="array" ref="T196">_xlfn.IFS(N196&lt;=2.5,"Low",N196&lt;=3,"Medium",N196&gt;3,"High")</f>
        <v>Low</v>
      </c>
    </row>
    <row r="197" spans="1:20" x14ac:dyDescent="0.3">
      <c r="A197" s="2">
        <v>196</v>
      </c>
      <c r="B197" s="2" t="s">
        <v>23</v>
      </c>
      <c r="C197" s="2">
        <v>23</v>
      </c>
      <c r="D197" s="2" t="s">
        <v>16</v>
      </c>
      <c r="E197" s="2">
        <v>41.9</v>
      </c>
      <c r="F197" s="2">
        <v>1.58</v>
      </c>
      <c r="G197" s="2">
        <v>163</v>
      </c>
      <c r="H197" s="2">
        <v>132</v>
      </c>
      <c r="I197" s="2">
        <v>67</v>
      </c>
      <c r="J197" s="2">
        <v>0.56000000000000005</v>
      </c>
      <c r="K197" s="2">
        <v>370</v>
      </c>
      <c r="L197" s="2" t="s">
        <v>18</v>
      </c>
      <c r="M197" s="2">
        <v>26.8</v>
      </c>
      <c r="N197" s="2">
        <v>1.8</v>
      </c>
      <c r="O197" s="2">
        <v>3</v>
      </c>
      <c r="P197" s="2">
        <v>1</v>
      </c>
      <c r="Q197" s="2">
        <v>16.78</v>
      </c>
      <c r="R197" s="2" t="str" cm="1">
        <f t="array" ref="R197">_xlfn.IFS(Q197&lt;18.5,"Underweight",
AND(Q197&gt;=18.5,Q197&lt;25),"Normal Weight",
AND(Q197&gt;=25,Q197&lt;30),"Overweight",
Q197&gt;=30,"Obesity")</f>
        <v>Underweight</v>
      </c>
      <c r="S197" s="2">
        <f t="shared" si="3"/>
        <v>660.71428571428567</v>
      </c>
      <c r="T197" s="2" t="str" cm="1">
        <f t="array" ref="T197">_xlfn.IFS(N197&lt;=2.5,"Low",N197&lt;=3,"Medium",N197&gt;3,"High")</f>
        <v>Low</v>
      </c>
    </row>
    <row r="198" spans="1:20" x14ac:dyDescent="0.3">
      <c r="A198" s="2">
        <v>197</v>
      </c>
      <c r="B198" s="2" t="s">
        <v>24</v>
      </c>
      <c r="C198" s="2">
        <v>49</v>
      </c>
      <c r="D198" s="2" t="s">
        <v>16</v>
      </c>
      <c r="E198" s="2">
        <v>68.3</v>
      </c>
      <c r="F198" s="2">
        <v>1.52</v>
      </c>
      <c r="G198" s="2">
        <v>177</v>
      </c>
      <c r="H198" s="2">
        <v>150</v>
      </c>
      <c r="I198" s="2">
        <v>60</v>
      </c>
      <c r="J198" s="2">
        <v>1.45</v>
      </c>
      <c r="K198" s="2">
        <v>979</v>
      </c>
      <c r="L198" s="2" t="s">
        <v>20</v>
      </c>
      <c r="M198" s="2">
        <v>29.4</v>
      </c>
      <c r="N198" s="2">
        <v>1.8</v>
      </c>
      <c r="O198" s="2">
        <v>4</v>
      </c>
      <c r="P198" s="2">
        <v>2</v>
      </c>
      <c r="Q198" s="2">
        <v>29.56</v>
      </c>
      <c r="R198" s="2" t="str" cm="1">
        <f t="array" ref="R198">_xlfn.IFS(Q198&lt;18.5,"Underweight",
AND(Q198&gt;=18.5,Q198&lt;25),"Normal Weight",
AND(Q198&gt;=25,Q198&lt;30),"Overweight",
Q198&gt;=30,"Obesity")</f>
        <v>Overweight</v>
      </c>
      <c r="S198" s="2">
        <f t="shared" si="3"/>
        <v>675.17241379310349</v>
      </c>
      <c r="T198" s="2" t="str" cm="1">
        <f t="array" ref="T198">_xlfn.IFS(N198&lt;=2.5,"Low",N198&lt;=3,"Medium",N198&gt;3,"High")</f>
        <v>Low</v>
      </c>
    </row>
    <row r="199" spans="1:20" x14ac:dyDescent="0.3">
      <c r="A199" s="2">
        <v>198</v>
      </c>
      <c r="B199" s="2" t="s">
        <v>22</v>
      </c>
      <c r="C199" s="2">
        <v>21</v>
      </c>
      <c r="D199" s="2" t="s">
        <v>15</v>
      </c>
      <c r="E199" s="2">
        <v>88.4</v>
      </c>
      <c r="F199" s="2">
        <v>1.6</v>
      </c>
      <c r="G199" s="2">
        <v>198</v>
      </c>
      <c r="H199" s="2">
        <v>121</v>
      </c>
      <c r="I199" s="2">
        <v>67</v>
      </c>
      <c r="J199" s="2">
        <v>1.71</v>
      </c>
      <c r="K199" s="2">
        <v>1138</v>
      </c>
      <c r="L199" s="2" t="s">
        <v>18</v>
      </c>
      <c r="M199" s="2">
        <v>12</v>
      </c>
      <c r="N199" s="2">
        <v>3.5</v>
      </c>
      <c r="O199" s="2">
        <v>4</v>
      </c>
      <c r="P199" s="2">
        <v>3</v>
      </c>
      <c r="Q199" s="2">
        <v>34.53</v>
      </c>
      <c r="R199" s="2" t="str" cm="1">
        <f t="array" ref="R199">_xlfn.IFS(Q199&lt;18.5,"Underweight",
AND(Q199&gt;=18.5,Q199&lt;25),"Normal Weight",
AND(Q199&gt;=25,Q199&lt;30),"Overweight",
Q199&gt;=30,"Obesity")</f>
        <v>Obesity</v>
      </c>
      <c r="S199" s="2">
        <f t="shared" si="3"/>
        <v>665.49707602339186</v>
      </c>
      <c r="T199" s="2" t="str" cm="1">
        <f t="array" ref="T199">_xlfn.IFS(N199&lt;=2.5,"Low",N199&lt;=3,"Medium",N199&gt;3,"High")</f>
        <v>High</v>
      </c>
    </row>
    <row r="200" spans="1:20" x14ac:dyDescent="0.3">
      <c r="A200" s="2">
        <v>199</v>
      </c>
      <c r="B200" s="2" t="s">
        <v>28</v>
      </c>
      <c r="C200" s="2">
        <v>28</v>
      </c>
      <c r="D200" s="2" t="s">
        <v>15</v>
      </c>
      <c r="E200" s="2">
        <v>66</v>
      </c>
      <c r="F200" s="2">
        <v>1.9</v>
      </c>
      <c r="G200" s="2">
        <v>175</v>
      </c>
      <c r="H200" s="2">
        <v>158</v>
      </c>
      <c r="I200" s="2">
        <v>56</v>
      </c>
      <c r="J200" s="2">
        <v>1.18</v>
      </c>
      <c r="K200" s="2">
        <v>1025</v>
      </c>
      <c r="L200" s="2" t="s">
        <v>18</v>
      </c>
      <c r="M200" s="2">
        <v>24.1</v>
      </c>
      <c r="N200" s="2">
        <v>3</v>
      </c>
      <c r="O200" s="2">
        <v>3</v>
      </c>
      <c r="P200" s="2">
        <v>1</v>
      </c>
      <c r="Q200" s="2">
        <v>18.28</v>
      </c>
      <c r="R200" s="2" t="str" cm="1">
        <f t="array" ref="R200">_xlfn.IFS(Q200&lt;18.5,"Underweight",
AND(Q200&gt;=18.5,Q200&lt;25),"Normal Weight",
AND(Q200&gt;=25,Q200&lt;30),"Overweight",
Q200&gt;=30,"Obesity")</f>
        <v>Underweight</v>
      </c>
      <c r="S200" s="2">
        <f t="shared" si="3"/>
        <v>868.64406779661022</v>
      </c>
      <c r="T200" s="2" t="str" cm="1">
        <f t="array" ref="T200">_xlfn.IFS(N200&lt;=2.5,"Low",N200&lt;=3,"Medium",N200&gt;3,"High")</f>
        <v>Medium</v>
      </c>
    </row>
    <row r="201" spans="1:20" x14ac:dyDescent="0.3">
      <c r="A201" s="2">
        <v>200</v>
      </c>
      <c r="B201" s="2" t="s">
        <v>27</v>
      </c>
      <c r="C201" s="2">
        <v>34</v>
      </c>
      <c r="D201" s="2" t="s">
        <v>15</v>
      </c>
      <c r="E201" s="2">
        <v>71.900000000000006</v>
      </c>
      <c r="F201" s="2">
        <v>1.64</v>
      </c>
      <c r="G201" s="2">
        <v>170</v>
      </c>
      <c r="H201" s="2">
        <v>134</v>
      </c>
      <c r="I201" s="2">
        <v>67</v>
      </c>
      <c r="J201" s="2">
        <v>1.26</v>
      </c>
      <c r="K201" s="2">
        <v>929</v>
      </c>
      <c r="L201" s="2" t="s">
        <v>19</v>
      </c>
      <c r="M201" s="2">
        <v>21.3</v>
      </c>
      <c r="N201" s="2">
        <v>2.1</v>
      </c>
      <c r="O201" s="2">
        <v>4</v>
      </c>
      <c r="P201" s="2">
        <v>2</v>
      </c>
      <c r="Q201" s="2">
        <v>26.73</v>
      </c>
      <c r="R201" s="2" t="str" cm="1">
        <f t="array" ref="R201">_xlfn.IFS(Q201&lt;18.5,"Underweight",
AND(Q201&gt;=18.5,Q201&lt;25),"Normal Weight",
AND(Q201&gt;=25,Q201&lt;30),"Overweight",
Q201&gt;=30,"Obesity")</f>
        <v>Overweight</v>
      </c>
      <c r="S201" s="2">
        <f t="shared" si="3"/>
        <v>737.30158730158735</v>
      </c>
      <c r="T201" s="2" t="str" cm="1">
        <f t="array" ref="T201">_xlfn.IFS(N201&lt;=2.5,"Low",N201&lt;=3,"Medium",N201&gt;3,"High")</f>
        <v>Low</v>
      </c>
    </row>
    <row r="202" spans="1:20" x14ac:dyDescent="0.3">
      <c r="A202" s="2">
        <v>201</v>
      </c>
      <c r="B202" s="2" t="s">
        <v>27</v>
      </c>
      <c r="C202" s="2">
        <v>55</v>
      </c>
      <c r="D202" s="2" t="s">
        <v>15</v>
      </c>
      <c r="E202" s="2">
        <v>75.599999999999994</v>
      </c>
      <c r="F202" s="2">
        <v>1.71</v>
      </c>
      <c r="G202" s="2">
        <v>173</v>
      </c>
      <c r="H202" s="2">
        <v>130</v>
      </c>
      <c r="I202" s="2">
        <v>57</v>
      </c>
      <c r="J202" s="2">
        <v>1.03</v>
      </c>
      <c r="K202" s="2">
        <v>663</v>
      </c>
      <c r="L202" s="2" t="s">
        <v>20</v>
      </c>
      <c r="M202" s="2">
        <v>28.1</v>
      </c>
      <c r="N202" s="2">
        <v>2</v>
      </c>
      <c r="O202" s="2">
        <v>4</v>
      </c>
      <c r="P202" s="2">
        <v>2</v>
      </c>
      <c r="Q202" s="2">
        <v>25.85</v>
      </c>
      <c r="R202" s="2" t="str" cm="1">
        <f t="array" ref="R202">_xlfn.IFS(Q202&lt;18.5,"Underweight",
AND(Q202&gt;=18.5,Q202&lt;25),"Normal Weight",
AND(Q202&gt;=25,Q202&lt;30),"Overweight",
Q202&gt;=30,"Obesity")</f>
        <v>Overweight</v>
      </c>
      <c r="S202" s="2">
        <f t="shared" si="3"/>
        <v>643.68932038834953</v>
      </c>
      <c r="T202" s="2" t="str" cm="1">
        <f t="array" ref="T202">_xlfn.IFS(N202&lt;=2.5,"Low",N202&lt;=3,"Medium",N202&gt;3,"High")</f>
        <v>Low</v>
      </c>
    </row>
    <row r="203" spans="1:20" x14ac:dyDescent="0.3">
      <c r="A203" s="2">
        <v>202</v>
      </c>
      <c r="B203" s="2" t="s">
        <v>29</v>
      </c>
      <c r="C203" s="2">
        <v>41</v>
      </c>
      <c r="D203" s="2" t="s">
        <v>16</v>
      </c>
      <c r="E203" s="2">
        <v>63.4</v>
      </c>
      <c r="F203" s="2">
        <v>1.59</v>
      </c>
      <c r="G203" s="2">
        <v>162</v>
      </c>
      <c r="H203" s="2">
        <v>153</v>
      </c>
      <c r="I203" s="2">
        <v>55</v>
      </c>
      <c r="J203" s="2">
        <v>1.84</v>
      </c>
      <c r="K203" s="2">
        <v>1267</v>
      </c>
      <c r="L203" s="2" t="s">
        <v>18</v>
      </c>
      <c r="M203" s="2">
        <v>15.2</v>
      </c>
      <c r="N203" s="2">
        <v>2.7</v>
      </c>
      <c r="O203" s="2">
        <v>5</v>
      </c>
      <c r="P203" s="2">
        <v>3</v>
      </c>
      <c r="Q203" s="2">
        <v>25.08</v>
      </c>
      <c r="R203" s="2" t="str" cm="1">
        <f t="array" ref="R203">_xlfn.IFS(Q203&lt;18.5,"Underweight",
AND(Q203&gt;=18.5,Q203&lt;25),"Normal Weight",
AND(Q203&gt;=25,Q203&lt;30),"Overweight",
Q203&gt;=30,"Obesity")</f>
        <v>Overweight</v>
      </c>
      <c r="S203" s="2">
        <f t="shared" si="3"/>
        <v>688.58695652173913</v>
      </c>
      <c r="T203" s="2" t="str" cm="1">
        <f t="array" ref="T203">_xlfn.IFS(N203&lt;=2.5,"Low",N203&lt;=3,"Medium",N203&gt;3,"High")</f>
        <v>Medium</v>
      </c>
    </row>
    <row r="204" spans="1:20" x14ac:dyDescent="0.3">
      <c r="A204" s="2">
        <v>203</v>
      </c>
      <c r="B204" s="2" t="s">
        <v>30</v>
      </c>
      <c r="C204" s="2">
        <v>22</v>
      </c>
      <c r="D204" s="2" t="s">
        <v>16</v>
      </c>
      <c r="E204" s="2">
        <v>71.599999999999994</v>
      </c>
      <c r="F204" s="2">
        <v>1.77</v>
      </c>
      <c r="G204" s="2">
        <v>197</v>
      </c>
      <c r="H204" s="2">
        <v>158</v>
      </c>
      <c r="I204" s="2">
        <v>56</v>
      </c>
      <c r="J204" s="2">
        <v>1.49</v>
      </c>
      <c r="K204" s="2">
        <v>1177</v>
      </c>
      <c r="L204" s="2" t="s">
        <v>17</v>
      </c>
      <c r="M204" s="2">
        <v>30.3</v>
      </c>
      <c r="N204" s="2">
        <v>1.8</v>
      </c>
      <c r="O204" s="2">
        <v>3</v>
      </c>
      <c r="P204" s="2">
        <v>1</v>
      </c>
      <c r="Q204" s="2">
        <v>22.85</v>
      </c>
      <c r="R204" s="2" t="str" cm="1">
        <f t="array" ref="R204">_xlfn.IFS(Q204&lt;18.5,"Underweight",
AND(Q204&gt;=18.5,Q204&lt;25),"Normal Weight",
AND(Q204&gt;=25,Q204&lt;30),"Overweight",
Q204&gt;=30,"Obesity")</f>
        <v>Normal Weight</v>
      </c>
      <c r="S204" s="2">
        <f t="shared" si="3"/>
        <v>789.93288590604027</v>
      </c>
      <c r="T204" s="2" t="str" cm="1">
        <f t="array" ref="T204">_xlfn.IFS(N204&lt;=2.5,"Low",N204&lt;=3,"Medium",N204&gt;3,"High")</f>
        <v>Low</v>
      </c>
    </row>
    <row r="205" spans="1:20" x14ac:dyDescent="0.3">
      <c r="A205" s="2">
        <v>204</v>
      </c>
      <c r="B205" s="2" t="s">
        <v>27</v>
      </c>
      <c r="C205" s="2">
        <v>51</v>
      </c>
      <c r="D205" s="2" t="s">
        <v>16</v>
      </c>
      <c r="E205" s="2">
        <v>57.4</v>
      </c>
      <c r="F205" s="2">
        <v>1.77</v>
      </c>
      <c r="G205" s="2">
        <v>177</v>
      </c>
      <c r="H205" s="2">
        <v>123</v>
      </c>
      <c r="I205" s="2">
        <v>72</v>
      </c>
      <c r="J205" s="2">
        <v>1.08</v>
      </c>
      <c r="K205" s="2">
        <v>598</v>
      </c>
      <c r="L205" s="2" t="s">
        <v>17</v>
      </c>
      <c r="M205" s="2">
        <v>31.6</v>
      </c>
      <c r="N205" s="2">
        <v>2.1</v>
      </c>
      <c r="O205" s="2">
        <v>4</v>
      </c>
      <c r="P205" s="2">
        <v>2</v>
      </c>
      <c r="Q205" s="2">
        <v>18.32</v>
      </c>
      <c r="R205" s="2" t="str" cm="1">
        <f t="array" ref="R205">_xlfn.IFS(Q205&lt;18.5,"Underweight",
AND(Q205&gt;=18.5,Q205&lt;25),"Normal Weight",
AND(Q205&gt;=25,Q205&lt;30),"Overweight",
Q205&gt;=30,"Obesity")</f>
        <v>Underweight</v>
      </c>
      <c r="S205" s="2">
        <f t="shared" si="3"/>
        <v>553.7037037037037</v>
      </c>
      <c r="T205" s="2" t="str" cm="1">
        <f t="array" ref="T205">_xlfn.IFS(N205&lt;=2.5,"Low",N205&lt;=3,"Medium",N205&gt;3,"High")</f>
        <v>Low</v>
      </c>
    </row>
    <row r="206" spans="1:20" x14ac:dyDescent="0.3">
      <c r="A206" s="2">
        <v>205</v>
      </c>
      <c r="B206" s="2" t="s">
        <v>26</v>
      </c>
      <c r="C206" s="2">
        <v>23</v>
      </c>
      <c r="D206" s="2" t="s">
        <v>15</v>
      </c>
      <c r="E206" s="2">
        <v>83.8</v>
      </c>
      <c r="F206" s="2">
        <v>1.99</v>
      </c>
      <c r="G206" s="2">
        <v>179</v>
      </c>
      <c r="H206" s="2">
        <v>130</v>
      </c>
      <c r="I206" s="2">
        <v>71</v>
      </c>
      <c r="J206" s="2">
        <v>1.79</v>
      </c>
      <c r="K206" s="2">
        <v>1280</v>
      </c>
      <c r="L206" s="2" t="s">
        <v>19</v>
      </c>
      <c r="M206" s="2">
        <v>11</v>
      </c>
      <c r="N206" s="2">
        <v>3.5</v>
      </c>
      <c r="O206" s="2">
        <v>4</v>
      </c>
      <c r="P206" s="2">
        <v>3</v>
      </c>
      <c r="Q206" s="2">
        <v>21.16</v>
      </c>
      <c r="R206" s="2" t="str" cm="1">
        <f t="array" ref="R206">_xlfn.IFS(Q206&lt;18.5,"Underweight",
AND(Q206&gt;=18.5,Q206&lt;25),"Normal Weight",
AND(Q206&gt;=25,Q206&lt;30),"Overweight",
Q206&gt;=30,"Obesity")</f>
        <v>Normal Weight</v>
      </c>
      <c r="S206" s="2">
        <f t="shared" si="3"/>
        <v>715.08379888268155</v>
      </c>
      <c r="T206" s="2" t="str" cm="1">
        <f t="array" ref="T206">_xlfn.IFS(N206&lt;=2.5,"Low",N206&lt;=3,"Medium",N206&gt;3,"High")</f>
        <v>High</v>
      </c>
    </row>
    <row r="207" spans="1:20" x14ac:dyDescent="0.3">
      <c r="A207" s="2">
        <v>206</v>
      </c>
      <c r="B207" s="2" t="s">
        <v>22</v>
      </c>
      <c r="C207" s="2">
        <v>39</v>
      </c>
      <c r="D207" s="2" t="s">
        <v>16</v>
      </c>
      <c r="E207" s="2">
        <v>55.9</v>
      </c>
      <c r="F207" s="2">
        <v>1.71</v>
      </c>
      <c r="G207" s="2">
        <v>184</v>
      </c>
      <c r="H207" s="2">
        <v>148</v>
      </c>
      <c r="I207" s="2">
        <v>59</v>
      </c>
      <c r="J207" s="2">
        <v>1.95</v>
      </c>
      <c r="K207" s="2">
        <v>1443</v>
      </c>
      <c r="L207" s="2" t="s">
        <v>17</v>
      </c>
      <c r="M207" s="2">
        <v>19.5</v>
      </c>
      <c r="N207" s="2">
        <v>2.7</v>
      </c>
      <c r="O207" s="2">
        <v>5</v>
      </c>
      <c r="P207" s="2">
        <v>3</v>
      </c>
      <c r="Q207" s="2">
        <v>19.12</v>
      </c>
      <c r="R207" s="2" t="str" cm="1">
        <f t="array" ref="R207">_xlfn.IFS(Q207&lt;18.5,"Underweight",
AND(Q207&gt;=18.5,Q207&lt;25),"Normal Weight",
AND(Q207&gt;=25,Q207&lt;30),"Overweight",
Q207&gt;=30,"Obesity")</f>
        <v>Normal Weight</v>
      </c>
      <c r="S207" s="2">
        <f t="shared" si="3"/>
        <v>740</v>
      </c>
      <c r="T207" s="2" t="str" cm="1">
        <f t="array" ref="T207">_xlfn.IFS(N207&lt;=2.5,"Low",N207&lt;=3,"Medium",N207&gt;3,"High")</f>
        <v>Medium</v>
      </c>
    </row>
    <row r="208" spans="1:20" x14ac:dyDescent="0.3">
      <c r="A208" s="2">
        <v>207</v>
      </c>
      <c r="B208" s="2" t="s">
        <v>22</v>
      </c>
      <c r="C208" s="2">
        <v>28</v>
      </c>
      <c r="D208" s="2" t="s">
        <v>15</v>
      </c>
      <c r="E208" s="2">
        <v>87</v>
      </c>
      <c r="F208" s="2">
        <v>1.76</v>
      </c>
      <c r="G208" s="2">
        <v>197</v>
      </c>
      <c r="H208" s="2">
        <v>121</v>
      </c>
      <c r="I208" s="2">
        <v>60</v>
      </c>
      <c r="J208" s="2">
        <v>1.2</v>
      </c>
      <c r="K208" s="2">
        <v>799</v>
      </c>
      <c r="L208" s="2" t="s">
        <v>17</v>
      </c>
      <c r="M208" s="2">
        <v>28.4</v>
      </c>
      <c r="N208" s="2">
        <v>3.5</v>
      </c>
      <c r="O208" s="2">
        <v>3</v>
      </c>
      <c r="P208" s="2">
        <v>2</v>
      </c>
      <c r="Q208" s="2">
        <v>28.09</v>
      </c>
      <c r="R208" s="2" t="str" cm="1">
        <f t="array" ref="R208">_xlfn.IFS(Q208&lt;18.5,"Underweight",
AND(Q208&gt;=18.5,Q208&lt;25),"Normal Weight",
AND(Q208&gt;=25,Q208&lt;30),"Overweight",
Q208&gt;=30,"Obesity")</f>
        <v>Overweight</v>
      </c>
      <c r="S208" s="2">
        <f t="shared" si="3"/>
        <v>665.83333333333337</v>
      </c>
      <c r="T208" s="2" t="str" cm="1">
        <f t="array" ref="T208">_xlfn.IFS(N208&lt;=2.5,"Low",N208&lt;=3,"Medium",N208&gt;3,"High")</f>
        <v>High</v>
      </c>
    </row>
    <row r="209" spans="1:20" x14ac:dyDescent="0.3">
      <c r="A209" s="2">
        <v>208</v>
      </c>
      <c r="B209" s="2" t="s">
        <v>26</v>
      </c>
      <c r="C209" s="2">
        <v>33</v>
      </c>
      <c r="D209" s="2" t="s">
        <v>16</v>
      </c>
      <c r="E209" s="2">
        <v>65.3</v>
      </c>
      <c r="F209" s="2">
        <v>1.71</v>
      </c>
      <c r="G209" s="2">
        <v>172</v>
      </c>
      <c r="H209" s="2">
        <v>135</v>
      </c>
      <c r="I209" s="2">
        <v>74</v>
      </c>
      <c r="J209" s="2">
        <v>1.18</v>
      </c>
      <c r="K209" s="2">
        <v>796</v>
      </c>
      <c r="L209" s="2" t="s">
        <v>18</v>
      </c>
      <c r="M209" s="2">
        <v>29.7</v>
      </c>
      <c r="N209" s="2">
        <v>2.5</v>
      </c>
      <c r="O209" s="2">
        <v>4</v>
      </c>
      <c r="P209" s="2">
        <v>2</v>
      </c>
      <c r="Q209" s="2">
        <v>22.33</v>
      </c>
      <c r="R209" s="2" t="str" cm="1">
        <f t="array" ref="R209">_xlfn.IFS(Q209&lt;18.5,"Underweight",
AND(Q209&gt;=18.5,Q209&lt;25),"Normal Weight",
AND(Q209&gt;=25,Q209&lt;30),"Overweight",
Q209&gt;=30,"Obesity")</f>
        <v>Normal Weight</v>
      </c>
      <c r="S209" s="2">
        <f t="shared" si="3"/>
        <v>674.57627118644075</v>
      </c>
      <c r="T209" s="2" t="str" cm="1">
        <f t="array" ref="T209">_xlfn.IFS(N209&lt;=2.5,"Low",N209&lt;=3,"Medium",N209&gt;3,"High")</f>
        <v>Low</v>
      </c>
    </row>
    <row r="210" spans="1:20" x14ac:dyDescent="0.3">
      <c r="A210" s="2">
        <v>209</v>
      </c>
      <c r="B210" s="2" t="s">
        <v>25</v>
      </c>
      <c r="C210" s="2">
        <v>50</v>
      </c>
      <c r="D210" s="2" t="s">
        <v>15</v>
      </c>
      <c r="E210" s="2">
        <v>45.4</v>
      </c>
      <c r="F210" s="2">
        <v>1.67</v>
      </c>
      <c r="G210" s="2">
        <v>163</v>
      </c>
      <c r="H210" s="2">
        <v>158</v>
      </c>
      <c r="I210" s="2">
        <v>62</v>
      </c>
      <c r="J210" s="2">
        <v>1.37</v>
      </c>
      <c r="K210" s="2">
        <v>1071</v>
      </c>
      <c r="L210" s="2" t="s">
        <v>17</v>
      </c>
      <c r="M210" s="2">
        <v>24.1</v>
      </c>
      <c r="N210" s="2">
        <v>2.8</v>
      </c>
      <c r="O210" s="2">
        <v>4</v>
      </c>
      <c r="P210" s="2">
        <v>2</v>
      </c>
      <c r="Q210" s="2">
        <v>16.28</v>
      </c>
      <c r="R210" s="2" t="str" cm="1">
        <f t="array" ref="R210">_xlfn.IFS(Q210&lt;18.5,"Underweight",
AND(Q210&gt;=18.5,Q210&lt;25),"Normal Weight",
AND(Q210&gt;=25,Q210&lt;30),"Overweight",
Q210&gt;=30,"Obesity")</f>
        <v>Underweight</v>
      </c>
      <c r="S210" s="2">
        <f t="shared" si="3"/>
        <v>781.75182481751824</v>
      </c>
      <c r="T210" s="2" t="str" cm="1">
        <f t="array" ref="T210">_xlfn.IFS(N210&lt;=2.5,"Low",N210&lt;=3,"Medium",N210&gt;3,"High")</f>
        <v>Medium</v>
      </c>
    </row>
    <row r="211" spans="1:20" x14ac:dyDescent="0.3">
      <c r="A211" s="2">
        <v>210</v>
      </c>
      <c r="B211" s="2" t="s">
        <v>26</v>
      </c>
      <c r="C211" s="2">
        <v>26</v>
      </c>
      <c r="D211" s="2" t="s">
        <v>15</v>
      </c>
      <c r="E211" s="2">
        <v>87.1</v>
      </c>
      <c r="F211" s="2">
        <v>1.87</v>
      </c>
      <c r="G211" s="2">
        <v>173</v>
      </c>
      <c r="H211" s="2">
        <v>132</v>
      </c>
      <c r="I211" s="2">
        <v>58</v>
      </c>
      <c r="J211" s="2">
        <v>1.71</v>
      </c>
      <c r="K211" s="2">
        <v>1241</v>
      </c>
      <c r="L211" s="2" t="s">
        <v>17</v>
      </c>
      <c r="M211" s="2">
        <v>11.2</v>
      </c>
      <c r="N211" s="2">
        <v>3.5</v>
      </c>
      <c r="O211" s="2">
        <v>4</v>
      </c>
      <c r="P211" s="2">
        <v>3</v>
      </c>
      <c r="Q211" s="2">
        <v>24.91</v>
      </c>
      <c r="R211" s="2" t="str" cm="1">
        <f t="array" ref="R211">_xlfn.IFS(Q211&lt;18.5,"Underweight",
AND(Q211&gt;=18.5,Q211&lt;25),"Normal Weight",
AND(Q211&gt;=25,Q211&lt;30),"Overweight",
Q211&gt;=30,"Obesity")</f>
        <v>Normal Weight</v>
      </c>
      <c r="S211" s="2">
        <f t="shared" si="3"/>
        <v>725.73099415204683</v>
      </c>
      <c r="T211" s="2" t="str" cm="1">
        <f t="array" ref="T211">_xlfn.IFS(N211&lt;=2.5,"Low",N211&lt;=3,"Medium",N211&gt;3,"High")</f>
        <v>High</v>
      </c>
    </row>
    <row r="212" spans="1:20" x14ac:dyDescent="0.3">
      <c r="A212" s="2">
        <v>211</v>
      </c>
      <c r="B212" s="2" t="s">
        <v>26</v>
      </c>
      <c r="C212" s="2">
        <v>23</v>
      </c>
      <c r="D212" s="2" t="s">
        <v>16</v>
      </c>
      <c r="E212" s="2">
        <v>78.599999999999994</v>
      </c>
      <c r="F212" s="2">
        <v>1.73</v>
      </c>
      <c r="G212" s="2">
        <v>192</v>
      </c>
      <c r="H212" s="2">
        <v>156</v>
      </c>
      <c r="I212" s="2">
        <v>56</v>
      </c>
      <c r="J212" s="2">
        <v>1.47</v>
      </c>
      <c r="K212" s="2">
        <v>1147</v>
      </c>
      <c r="L212" s="2" t="s">
        <v>18</v>
      </c>
      <c r="M212" s="2">
        <v>32.299999999999997</v>
      </c>
      <c r="N212" s="2">
        <v>1.5</v>
      </c>
      <c r="O212" s="2">
        <v>4</v>
      </c>
      <c r="P212" s="2">
        <v>2</v>
      </c>
      <c r="Q212" s="2">
        <v>26.26</v>
      </c>
      <c r="R212" s="2" t="str" cm="1">
        <f t="array" ref="R212">_xlfn.IFS(Q212&lt;18.5,"Underweight",
AND(Q212&gt;=18.5,Q212&lt;25),"Normal Weight",
AND(Q212&gt;=25,Q212&lt;30),"Overweight",
Q212&gt;=30,"Obesity")</f>
        <v>Overweight</v>
      </c>
      <c r="S212" s="2">
        <f t="shared" si="3"/>
        <v>780.27210884353747</v>
      </c>
      <c r="T212" s="2" t="str" cm="1">
        <f t="array" ref="T212">_xlfn.IFS(N212&lt;=2.5,"Low",N212&lt;=3,"Medium",N212&gt;3,"High")</f>
        <v>Low</v>
      </c>
    </row>
    <row r="213" spans="1:20" x14ac:dyDescent="0.3">
      <c r="A213" s="2">
        <v>212</v>
      </c>
      <c r="B213" s="2" t="s">
        <v>22</v>
      </c>
      <c r="C213" s="2">
        <v>33</v>
      </c>
      <c r="D213" s="2" t="s">
        <v>16</v>
      </c>
      <c r="E213" s="2">
        <v>78</v>
      </c>
      <c r="F213" s="2">
        <v>1.71</v>
      </c>
      <c r="G213" s="2">
        <v>187</v>
      </c>
      <c r="H213" s="2">
        <v>136</v>
      </c>
      <c r="I213" s="2">
        <v>58</v>
      </c>
      <c r="J213" s="2">
        <v>1.08</v>
      </c>
      <c r="K213" s="2">
        <v>734</v>
      </c>
      <c r="L213" s="2" t="s">
        <v>19</v>
      </c>
      <c r="M213" s="2">
        <v>26.3</v>
      </c>
      <c r="N213" s="2">
        <v>2.1</v>
      </c>
      <c r="O213" s="2">
        <v>3</v>
      </c>
      <c r="P213" s="2">
        <v>1</v>
      </c>
      <c r="Q213" s="2">
        <v>26.67</v>
      </c>
      <c r="R213" s="2" t="str" cm="1">
        <f t="array" ref="R213">_xlfn.IFS(Q213&lt;18.5,"Underweight",
AND(Q213&gt;=18.5,Q213&lt;25),"Normal Weight",
AND(Q213&gt;=25,Q213&lt;30),"Overweight",
Q213&gt;=30,"Obesity")</f>
        <v>Overweight</v>
      </c>
      <c r="S213" s="2">
        <f t="shared" si="3"/>
        <v>679.62962962962956</v>
      </c>
      <c r="T213" s="2" t="str" cm="1">
        <f t="array" ref="T213">_xlfn.IFS(N213&lt;=2.5,"Low",N213&lt;=3,"Medium",N213&gt;3,"High")</f>
        <v>Low</v>
      </c>
    </row>
    <row r="214" spans="1:20" x14ac:dyDescent="0.3">
      <c r="A214" s="2">
        <v>213</v>
      </c>
      <c r="B214" s="2" t="s">
        <v>21</v>
      </c>
      <c r="C214" s="2">
        <v>46</v>
      </c>
      <c r="D214" s="2" t="s">
        <v>16</v>
      </c>
      <c r="E214" s="2">
        <v>58</v>
      </c>
      <c r="F214" s="2">
        <v>1.53</v>
      </c>
      <c r="G214" s="2">
        <v>196</v>
      </c>
      <c r="H214" s="2">
        <v>140</v>
      </c>
      <c r="I214" s="2">
        <v>62</v>
      </c>
      <c r="J214" s="2">
        <v>1.83</v>
      </c>
      <c r="K214" s="2">
        <v>1153</v>
      </c>
      <c r="L214" s="2" t="s">
        <v>19</v>
      </c>
      <c r="M214" s="2">
        <v>18.399999999999999</v>
      </c>
      <c r="N214" s="2">
        <v>2.7</v>
      </c>
      <c r="O214" s="2">
        <v>4</v>
      </c>
      <c r="P214" s="2">
        <v>3</v>
      </c>
      <c r="Q214" s="2">
        <v>24.78</v>
      </c>
      <c r="R214" s="2" t="str" cm="1">
        <f t="array" ref="R214">_xlfn.IFS(Q214&lt;18.5,"Underweight",
AND(Q214&gt;=18.5,Q214&lt;25),"Normal Weight",
AND(Q214&gt;=25,Q214&lt;30),"Overweight",
Q214&gt;=30,"Obesity")</f>
        <v>Normal Weight</v>
      </c>
      <c r="S214" s="2">
        <f t="shared" si="3"/>
        <v>630.05464480874309</v>
      </c>
      <c r="T214" s="2" t="str" cm="1">
        <f t="array" ref="T214">_xlfn.IFS(N214&lt;=2.5,"Low",N214&lt;=3,"Medium",N214&gt;3,"High")</f>
        <v>Medium</v>
      </c>
    </row>
    <row r="215" spans="1:20" x14ac:dyDescent="0.3">
      <c r="A215" s="2">
        <v>214</v>
      </c>
      <c r="B215" s="2" t="s">
        <v>22</v>
      </c>
      <c r="C215" s="2">
        <v>20</v>
      </c>
      <c r="D215" s="2" t="s">
        <v>16</v>
      </c>
      <c r="E215" s="2">
        <v>71.3</v>
      </c>
      <c r="F215" s="2">
        <v>1.69</v>
      </c>
      <c r="G215" s="2">
        <v>167</v>
      </c>
      <c r="H215" s="2">
        <v>163</v>
      </c>
      <c r="I215" s="2">
        <v>52</v>
      </c>
      <c r="J215" s="2">
        <v>1.28</v>
      </c>
      <c r="K215" s="2">
        <v>1043</v>
      </c>
      <c r="L215" s="2" t="s">
        <v>20</v>
      </c>
      <c r="M215" s="2">
        <v>33.4</v>
      </c>
      <c r="N215" s="2">
        <v>2.2999999999999998</v>
      </c>
      <c r="O215" s="2">
        <v>3</v>
      </c>
      <c r="P215" s="2">
        <v>2</v>
      </c>
      <c r="Q215" s="2">
        <v>24.96</v>
      </c>
      <c r="R215" s="2" t="str" cm="1">
        <f t="array" ref="R215">_xlfn.IFS(Q215&lt;18.5,"Underweight",
AND(Q215&gt;=18.5,Q215&lt;25),"Normal Weight",
AND(Q215&gt;=25,Q215&lt;30),"Overweight",
Q215&gt;=30,"Obesity")</f>
        <v>Normal Weight</v>
      </c>
      <c r="S215" s="2">
        <f t="shared" si="3"/>
        <v>814.84375</v>
      </c>
      <c r="T215" s="2" t="str" cm="1">
        <f t="array" ref="T215">_xlfn.IFS(N215&lt;=2.5,"Low",N215&lt;=3,"Medium",N215&gt;3,"High")</f>
        <v>Low</v>
      </c>
    </row>
    <row r="216" spans="1:20" x14ac:dyDescent="0.3">
      <c r="A216" s="2">
        <v>215</v>
      </c>
      <c r="B216" s="2" t="s">
        <v>30</v>
      </c>
      <c r="C216" s="2">
        <v>37</v>
      </c>
      <c r="D216" s="2" t="s">
        <v>15</v>
      </c>
      <c r="E216" s="2">
        <v>49.1</v>
      </c>
      <c r="F216" s="2">
        <v>1.74</v>
      </c>
      <c r="G216" s="2">
        <v>193</v>
      </c>
      <c r="H216" s="2">
        <v>138</v>
      </c>
      <c r="I216" s="2">
        <v>52</v>
      </c>
      <c r="J216" s="2">
        <v>1.1100000000000001</v>
      </c>
      <c r="K216" s="2">
        <v>842</v>
      </c>
      <c r="L216" s="2" t="s">
        <v>17</v>
      </c>
      <c r="M216" s="2">
        <v>22.3</v>
      </c>
      <c r="N216" s="2">
        <v>2.6</v>
      </c>
      <c r="O216" s="2">
        <v>3</v>
      </c>
      <c r="P216" s="2">
        <v>2</v>
      </c>
      <c r="Q216" s="2">
        <v>16.22</v>
      </c>
      <c r="R216" s="2" t="str" cm="1">
        <f t="array" ref="R216">_xlfn.IFS(Q216&lt;18.5,"Underweight",
AND(Q216&gt;=18.5,Q216&lt;25),"Normal Weight",
AND(Q216&gt;=25,Q216&lt;30),"Overweight",
Q216&gt;=30,"Obesity")</f>
        <v>Underweight</v>
      </c>
      <c r="S216" s="2">
        <f t="shared" si="3"/>
        <v>758.5585585585585</v>
      </c>
      <c r="T216" s="2" t="str" cm="1">
        <f t="array" ref="T216">_xlfn.IFS(N216&lt;=2.5,"Low",N216&lt;=3,"Medium",N216&gt;3,"High")</f>
        <v>Medium</v>
      </c>
    </row>
    <row r="217" spans="1:20" x14ac:dyDescent="0.3">
      <c r="A217" s="2">
        <v>216</v>
      </c>
      <c r="B217" s="2" t="s">
        <v>29</v>
      </c>
      <c r="C217" s="2">
        <v>53</v>
      </c>
      <c r="D217" s="2" t="s">
        <v>16</v>
      </c>
      <c r="E217" s="2">
        <v>78.3</v>
      </c>
      <c r="F217" s="2">
        <v>1.65</v>
      </c>
      <c r="G217" s="2">
        <v>164</v>
      </c>
      <c r="H217" s="2">
        <v>126</v>
      </c>
      <c r="I217" s="2">
        <v>50</v>
      </c>
      <c r="J217" s="2">
        <v>1.24</v>
      </c>
      <c r="K217" s="2">
        <v>703</v>
      </c>
      <c r="L217" s="2" t="s">
        <v>18</v>
      </c>
      <c r="M217" s="2">
        <v>33.700000000000003</v>
      </c>
      <c r="N217" s="2">
        <v>1.6</v>
      </c>
      <c r="O217" s="2">
        <v>3</v>
      </c>
      <c r="P217" s="2">
        <v>1</v>
      </c>
      <c r="Q217" s="2">
        <v>28.76</v>
      </c>
      <c r="R217" s="2" t="str" cm="1">
        <f t="array" ref="R217">_xlfn.IFS(Q217&lt;18.5,"Underweight",
AND(Q217&gt;=18.5,Q217&lt;25),"Normal Weight",
AND(Q217&gt;=25,Q217&lt;30),"Overweight",
Q217&gt;=30,"Obesity")</f>
        <v>Overweight</v>
      </c>
      <c r="S217" s="2">
        <f t="shared" si="3"/>
        <v>566.9354838709678</v>
      </c>
      <c r="T217" s="2" t="str" cm="1">
        <f t="array" ref="T217">_xlfn.IFS(N217&lt;=2.5,"Low",N217&lt;=3,"Medium",N217&gt;3,"High")</f>
        <v>Low</v>
      </c>
    </row>
    <row r="218" spans="1:20" x14ac:dyDescent="0.3">
      <c r="A218" s="2">
        <v>217</v>
      </c>
      <c r="B218" s="2" t="s">
        <v>23</v>
      </c>
      <c r="C218" s="2">
        <v>36</v>
      </c>
      <c r="D218" s="2" t="s">
        <v>16</v>
      </c>
      <c r="E218" s="2">
        <v>57.3</v>
      </c>
      <c r="F218" s="2">
        <v>1.64</v>
      </c>
      <c r="G218" s="2">
        <v>164</v>
      </c>
      <c r="H218" s="2">
        <v>157</v>
      </c>
      <c r="I218" s="2">
        <v>70</v>
      </c>
      <c r="J218" s="2">
        <v>1.1299999999999999</v>
      </c>
      <c r="K218" s="2">
        <v>887</v>
      </c>
      <c r="L218" s="2" t="s">
        <v>20</v>
      </c>
      <c r="M218" s="2">
        <v>25.3</v>
      </c>
      <c r="N218" s="2">
        <v>1.8</v>
      </c>
      <c r="O218" s="2">
        <v>4</v>
      </c>
      <c r="P218" s="2">
        <v>2</v>
      </c>
      <c r="Q218" s="2">
        <v>21.3</v>
      </c>
      <c r="R218" s="2" t="str" cm="1">
        <f t="array" ref="R218">_xlfn.IFS(Q218&lt;18.5,"Underweight",
AND(Q218&gt;=18.5,Q218&lt;25),"Normal Weight",
AND(Q218&gt;=25,Q218&lt;30),"Overweight",
Q218&gt;=30,"Obesity")</f>
        <v>Normal Weight</v>
      </c>
      <c r="S218" s="2">
        <f t="shared" si="3"/>
        <v>784.95575221238948</v>
      </c>
      <c r="T218" s="2" t="str" cm="1">
        <f t="array" ref="T218">_xlfn.IFS(N218&lt;=2.5,"Low",N218&lt;=3,"Medium",N218&gt;3,"High")</f>
        <v>Low</v>
      </c>
    </row>
    <row r="219" spans="1:20" x14ac:dyDescent="0.3">
      <c r="A219" s="2">
        <v>218</v>
      </c>
      <c r="B219" s="2" t="s">
        <v>21</v>
      </c>
      <c r="C219" s="2">
        <v>43</v>
      </c>
      <c r="D219" s="2" t="s">
        <v>16</v>
      </c>
      <c r="E219" s="2">
        <v>48.4</v>
      </c>
      <c r="F219" s="2">
        <v>1.61</v>
      </c>
      <c r="G219" s="2">
        <v>190</v>
      </c>
      <c r="H219" s="2">
        <v>127</v>
      </c>
      <c r="I219" s="2">
        <v>69</v>
      </c>
      <c r="J219" s="2">
        <v>1.28</v>
      </c>
      <c r="K219" s="2">
        <v>732</v>
      </c>
      <c r="L219" s="2" t="s">
        <v>19</v>
      </c>
      <c r="M219" s="2">
        <v>34.1</v>
      </c>
      <c r="N219" s="2">
        <v>2.4</v>
      </c>
      <c r="O219" s="2">
        <v>2</v>
      </c>
      <c r="P219" s="2">
        <v>1</v>
      </c>
      <c r="Q219" s="2">
        <v>18.670000000000002</v>
      </c>
      <c r="R219" s="2" t="str" cm="1">
        <f t="array" ref="R219">_xlfn.IFS(Q219&lt;18.5,"Underweight",
AND(Q219&gt;=18.5,Q219&lt;25),"Normal Weight",
AND(Q219&gt;=25,Q219&lt;30),"Overweight",
Q219&gt;=30,"Obesity")</f>
        <v>Normal Weight</v>
      </c>
      <c r="S219" s="2">
        <f t="shared" si="3"/>
        <v>571.875</v>
      </c>
      <c r="T219" s="2" t="str" cm="1">
        <f t="array" ref="T219">_xlfn.IFS(N219&lt;=2.5,"Low",N219&lt;=3,"Medium",N219&gt;3,"High")</f>
        <v>Low</v>
      </c>
    </row>
    <row r="220" spans="1:20" x14ac:dyDescent="0.3">
      <c r="A220" s="2">
        <v>219</v>
      </c>
      <c r="B220" s="2" t="s">
        <v>28</v>
      </c>
      <c r="C220" s="2">
        <v>20</v>
      </c>
      <c r="D220" s="2" t="s">
        <v>15</v>
      </c>
      <c r="E220" s="2">
        <v>76.400000000000006</v>
      </c>
      <c r="F220" s="2">
        <v>1.62</v>
      </c>
      <c r="G220" s="2">
        <v>168</v>
      </c>
      <c r="H220" s="2">
        <v>132</v>
      </c>
      <c r="I220" s="2">
        <v>51</v>
      </c>
      <c r="J220" s="2">
        <v>1.35</v>
      </c>
      <c r="K220" s="2">
        <v>980</v>
      </c>
      <c r="L220" s="2" t="s">
        <v>19</v>
      </c>
      <c r="M220" s="2">
        <v>21.2</v>
      </c>
      <c r="N220" s="2">
        <v>2.6</v>
      </c>
      <c r="O220" s="2">
        <v>4</v>
      </c>
      <c r="P220" s="2">
        <v>2</v>
      </c>
      <c r="Q220" s="2">
        <v>29.11</v>
      </c>
      <c r="R220" s="2" t="str" cm="1">
        <f t="array" ref="R220">_xlfn.IFS(Q220&lt;18.5,"Underweight",
AND(Q220&gt;=18.5,Q220&lt;25),"Normal Weight",
AND(Q220&gt;=25,Q220&lt;30),"Overweight",
Q220&gt;=30,"Obesity")</f>
        <v>Overweight</v>
      </c>
      <c r="S220" s="2">
        <f t="shared" si="3"/>
        <v>725.92592592592587</v>
      </c>
      <c r="T220" s="2" t="str" cm="1">
        <f t="array" ref="T220">_xlfn.IFS(N220&lt;=2.5,"Low",N220&lt;=3,"Medium",N220&gt;3,"High")</f>
        <v>Medium</v>
      </c>
    </row>
    <row r="221" spans="1:20" x14ac:dyDescent="0.3">
      <c r="A221" s="2">
        <v>220</v>
      </c>
      <c r="B221" s="2" t="s">
        <v>23</v>
      </c>
      <c r="C221" s="2">
        <v>36</v>
      </c>
      <c r="D221" s="2" t="s">
        <v>15</v>
      </c>
      <c r="E221" s="2">
        <v>110.2</v>
      </c>
      <c r="F221" s="2">
        <v>1.77</v>
      </c>
      <c r="G221" s="2">
        <v>191</v>
      </c>
      <c r="H221" s="2">
        <v>156</v>
      </c>
      <c r="I221" s="2">
        <v>74</v>
      </c>
      <c r="J221" s="2">
        <v>1.19</v>
      </c>
      <c r="K221" s="2">
        <v>1021</v>
      </c>
      <c r="L221" s="2" t="s">
        <v>18</v>
      </c>
      <c r="M221" s="2">
        <v>26.5</v>
      </c>
      <c r="N221" s="2">
        <v>3.4</v>
      </c>
      <c r="O221" s="2">
        <v>2</v>
      </c>
      <c r="P221" s="2">
        <v>1</v>
      </c>
      <c r="Q221" s="2">
        <v>35.18</v>
      </c>
      <c r="R221" s="2" t="str" cm="1">
        <f t="array" ref="R221">_xlfn.IFS(Q221&lt;18.5,"Underweight",
AND(Q221&gt;=18.5,Q221&lt;25),"Normal Weight",
AND(Q221&gt;=25,Q221&lt;30),"Overweight",
Q221&gt;=30,"Obesity")</f>
        <v>Obesity</v>
      </c>
      <c r="S221" s="2">
        <f t="shared" si="3"/>
        <v>857.98319327731099</v>
      </c>
      <c r="T221" s="2" t="str" cm="1">
        <f t="array" ref="T221">_xlfn.IFS(N221&lt;=2.5,"Low",N221&lt;=3,"Medium",N221&gt;3,"High")</f>
        <v>High</v>
      </c>
    </row>
    <row r="222" spans="1:20" x14ac:dyDescent="0.3">
      <c r="A222" s="2">
        <v>221</v>
      </c>
      <c r="B222" s="2" t="s">
        <v>29</v>
      </c>
      <c r="C222" s="2">
        <v>37</v>
      </c>
      <c r="D222" s="2" t="s">
        <v>16</v>
      </c>
      <c r="E222" s="2">
        <v>72.900000000000006</v>
      </c>
      <c r="F222" s="2">
        <v>1.76</v>
      </c>
      <c r="G222" s="2">
        <v>192</v>
      </c>
      <c r="H222" s="2">
        <v>121</v>
      </c>
      <c r="I222" s="2">
        <v>52</v>
      </c>
      <c r="J222" s="2">
        <v>1.21</v>
      </c>
      <c r="K222" s="2">
        <v>732</v>
      </c>
      <c r="L222" s="2" t="s">
        <v>20</v>
      </c>
      <c r="M222" s="2">
        <v>27.5</v>
      </c>
      <c r="N222" s="2">
        <v>1.9</v>
      </c>
      <c r="O222" s="2">
        <v>3</v>
      </c>
      <c r="P222" s="2">
        <v>2</v>
      </c>
      <c r="Q222" s="2">
        <v>23.53</v>
      </c>
      <c r="R222" s="2" t="str" cm="1">
        <f t="array" ref="R222">_xlfn.IFS(Q222&lt;18.5,"Underweight",
AND(Q222&gt;=18.5,Q222&lt;25),"Normal Weight",
AND(Q222&gt;=25,Q222&lt;30),"Overweight",
Q222&gt;=30,"Obesity")</f>
        <v>Normal Weight</v>
      </c>
      <c r="S222" s="2">
        <f t="shared" si="3"/>
        <v>604.95867768595042</v>
      </c>
      <c r="T222" s="2" t="str" cm="1">
        <f t="array" ref="T222">_xlfn.IFS(N222&lt;=2.5,"Low",N222&lt;=3,"Medium",N222&gt;3,"High")</f>
        <v>Low</v>
      </c>
    </row>
    <row r="223" spans="1:20" x14ac:dyDescent="0.3">
      <c r="A223" s="2">
        <v>222</v>
      </c>
      <c r="B223" s="2" t="s">
        <v>30</v>
      </c>
      <c r="C223" s="2">
        <v>49</v>
      </c>
      <c r="D223" s="2" t="s">
        <v>15</v>
      </c>
      <c r="E223" s="2">
        <v>82.1</v>
      </c>
      <c r="F223" s="2">
        <v>1.86</v>
      </c>
      <c r="G223" s="2">
        <v>162</v>
      </c>
      <c r="H223" s="2">
        <v>160</v>
      </c>
      <c r="I223" s="2">
        <v>64</v>
      </c>
      <c r="J223" s="2">
        <v>1.87</v>
      </c>
      <c r="K223" s="2">
        <v>1481</v>
      </c>
      <c r="L223" s="2" t="s">
        <v>20</v>
      </c>
      <c r="M223" s="2">
        <v>14.2</v>
      </c>
      <c r="N223" s="2">
        <v>3.5</v>
      </c>
      <c r="O223" s="2">
        <v>4</v>
      </c>
      <c r="P223" s="2">
        <v>3</v>
      </c>
      <c r="Q223" s="2">
        <v>23.73</v>
      </c>
      <c r="R223" s="2" t="str" cm="1">
        <f t="array" ref="R223">_xlfn.IFS(Q223&lt;18.5,"Underweight",
AND(Q223&gt;=18.5,Q223&lt;25),"Normal Weight",
AND(Q223&gt;=25,Q223&lt;30),"Overweight",
Q223&gt;=30,"Obesity")</f>
        <v>Normal Weight</v>
      </c>
      <c r="S223" s="2">
        <f t="shared" si="3"/>
        <v>791.97860962566835</v>
      </c>
      <c r="T223" s="2" t="str" cm="1">
        <f t="array" ref="T223">_xlfn.IFS(N223&lt;=2.5,"Low",N223&lt;=3,"Medium",N223&gt;3,"High")</f>
        <v>High</v>
      </c>
    </row>
    <row r="224" spans="1:20" x14ac:dyDescent="0.3">
      <c r="A224" s="2">
        <v>223</v>
      </c>
      <c r="B224" s="2" t="s">
        <v>30</v>
      </c>
      <c r="C224" s="2">
        <v>24</v>
      </c>
      <c r="D224" s="2" t="s">
        <v>16</v>
      </c>
      <c r="E224" s="2">
        <v>58.9</v>
      </c>
      <c r="F224" s="2">
        <v>1.76</v>
      </c>
      <c r="G224" s="2">
        <v>189</v>
      </c>
      <c r="H224" s="2">
        <v>130</v>
      </c>
      <c r="I224" s="2">
        <v>73</v>
      </c>
      <c r="J224" s="2">
        <v>0.63</v>
      </c>
      <c r="K224" s="2">
        <v>410</v>
      </c>
      <c r="L224" s="2" t="s">
        <v>18</v>
      </c>
      <c r="M224" s="2">
        <v>30.1</v>
      </c>
      <c r="N224" s="2">
        <v>1.7</v>
      </c>
      <c r="O224" s="2">
        <v>3</v>
      </c>
      <c r="P224" s="2">
        <v>1</v>
      </c>
      <c r="Q224" s="2">
        <v>19.010000000000002</v>
      </c>
      <c r="R224" s="2" t="str" cm="1">
        <f t="array" ref="R224">_xlfn.IFS(Q224&lt;18.5,"Underweight",
AND(Q224&gt;=18.5,Q224&lt;25),"Normal Weight",
AND(Q224&gt;=25,Q224&lt;30),"Overweight",
Q224&gt;=30,"Obesity")</f>
        <v>Normal Weight</v>
      </c>
      <c r="S224" s="2">
        <f t="shared" si="3"/>
        <v>650.79365079365084</v>
      </c>
      <c r="T224" s="2" t="str" cm="1">
        <f t="array" ref="T224">_xlfn.IFS(N224&lt;=2.5,"Low",N224&lt;=3,"Medium",N224&gt;3,"High")</f>
        <v>Low</v>
      </c>
    </row>
    <row r="225" spans="1:20" x14ac:dyDescent="0.3">
      <c r="A225" s="2">
        <v>224</v>
      </c>
      <c r="B225" s="2" t="s">
        <v>28</v>
      </c>
      <c r="C225" s="2">
        <v>58</v>
      </c>
      <c r="D225" s="2" t="s">
        <v>15</v>
      </c>
      <c r="E225" s="2">
        <v>82.2</v>
      </c>
      <c r="F225" s="2">
        <v>1.87</v>
      </c>
      <c r="G225" s="2">
        <v>171</v>
      </c>
      <c r="H225" s="2">
        <v>143</v>
      </c>
      <c r="I225" s="2">
        <v>55</v>
      </c>
      <c r="J225" s="2">
        <v>1.57</v>
      </c>
      <c r="K225" s="2">
        <v>1111</v>
      </c>
      <c r="L225" s="2" t="s">
        <v>18</v>
      </c>
      <c r="M225" s="2">
        <v>10.7</v>
      </c>
      <c r="N225" s="2">
        <v>3.5</v>
      </c>
      <c r="O225" s="2">
        <v>4</v>
      </c>
      <c r="P225" s="2">
        <v>3</v>
      </c>
      <c r="Q225" s="2">
        <v>23.51</v>
      </c>
      <c r="R225" s="2" t="str" cm="1">
        <f t="array" ref="R225">_xlfn.IFS(Q225&lt;18.5,"Underweight",
AND(Q225&gt;=18.5,Q225&lt;25),"Normal Weight",
AND(Q225&gt;=25,Q225&lt;30),"Overweight",
Q225&gt;=30,"Obesity")</f>
        <v>Normal Weight</v>
      </c>
      <c r="S225" s="2">
        <f t="shared" si="3"/>
        <v>707.64331210191085</v>
      </c>
      <c r="T225" s="2" t="str" cm="1">
        <f t="array" ref="T225">_xlfn.IFS(N225&lt;=2.5,"Low",N225&lt;=3,"Medium",N225&gt;3,"High")</f>
        <v>High</v>
      </c>
    </row>
    <row r="226" spans="1:20" x14ac:dyDescent="0.3">
      <c r="A226" s="2">
        <v>225</v>
      </c>
      <c r="B226" s="2" t="s">
        <v>21</v>
      </c>
      <c r="C226" s="2">
        <v>50</v>
      </c>
      <c r="D226" s="2" t="s">
        <v>15</v>
      </c>
      <c r="E226" s="2">
        <v>96.7</v>
      </c>
      <c r="F226" s="2">
        <v>1.72</v>
      </c>
      <c r="G226" s="2">
        <v>188</v>
      </c>
      <c r="H226" s="2">
        <v>125</v>
      </c>
      <c r="I226" s="2">
        <v>62</v>
      </c>
      <c r="J226" s="2">
        <v>1.46</v>
      </c>
      <c r="K226" s="2">
        <v>903</v>
      </c>
      <c r="L226" s="2" t="s">
        <v>20</v>
      </c>
      <c r="M226" s="2">
        <v>25.7</v>
      </c>
      <c r="N226" s="2">
        <v>2.7</v>
      </c>
      <c r="O226" s="2">
        <v>3</v>
      </c>
      <c r="P226" s="2">
        <v>2</v>
      </c>
      <c r="Q226" s="2">
        <v>32.69</v>
      </c>
      <c r="R226" s="2" t="str" cm="1">
        <f t="array" ref="R226">_xlfn.IFS(Q226&lt;18.5,"Underweight",
AND(Q226&gt;=18.5,Q226&lt;25),"Normal Weight",
AND(Q226&gt;=25,Q226&lt;30),"Overweight",
Q226&gt;=30,"Obesity")</f>
        <v>Obesity</v>
      </c>
      <c r="S226" s="2">
        <f t="shared" si="3"/>
        <v>618.49315068493149</v>
      </c>
      <c r="T226" s="2" t="str" cm="1">
        <f t="array" ref="T226">_xlfn.IFS(N226&lt;=2.5,"Low",N226&lt;=3,"Medium",N226&gt;3,"High")</f>
        <v>Medium</v>
      </c>
    </row>
    <row r="227" spans="1:20" x14ac:dyDescent="0.3">
      <c r="A227" s="2">
        <v>226</v>
      </c>
      <c r="B227" s="2" t="s">
        <v>25</v>
      </c>
      <c r="C227" s="2">
        <v>57</v>
      </c>
      <c r="D227" s="2" t="s">
        <v>15</v>
      </c>
      <c r="E227" s="2">
        <v>81.400000000000006</v>
      </c>
      <c r="F227" s="2">
        <v>1.86</v>
      </c>
      <c r="G227" s="2">
        <v>162</v>
      </c>
      <c r="H227" s="2">
        <v>145</v>
      </c>
      <c r="I227" s="2">
        <v>70</v>
      </c>
      <c r="J227" s="2">
        <v>1.8</v>
      </c>
      <c r="K227" s="2">
        <v>1292</v>
      </c>
      <c r="L227" s="2" t="s">
        <v>19</v>
      </c>
      <c r="M227" s="2">
        <v>12</v>
      </c>
      <c r="N227" s="2">
        <v>3.5</v>
      </c>
      <c r="O227" s="2">
        <v>5</v>
      </c>
      <c r="P227" s="2">
        <v>3</v>
      </c>
      <c r="Q227" s="2">
        <v>23.53</v>
      </c>
      <c r="R227" s="2" t="str" cm="1">
        <f t="array" ref="R227">_xlfn.IFS(Q227&lt;18.5,"Underweight",
AND(Q227&gt;=18.5,Q227&lt;25),"Normal Weight",
AND(Q227&gt;=25,Q227&lt;30),"Overweight",
Q227&gt;=30,"Obesity")</f>
        <v>Normal Weight</v>
      </c>
      <c r="S227" s="2">
        <f t="shared" si="3"/>
        <v>717.77777777777771</v>
      </c>
      <c r="T227" s="2" t="str" cm="1">
        <f t="array" ref="T227">_xlfn.IFS(N227&lt;=2.5,"Low",N227&lt;=3,"Medium",N227&gt;3,"High")</f>
        <v>High</v>
      </c>
    </row>
    <row r="228" spans="1:20" x14ac:dyDescent="0.3">
      <c r="A228" s="2">
        <v>227</v>
      </c>
      <c r="B228" s="2" t="s">
        <v>26</v>
      </c>
      <c r="C228" s="2">
        <v>56</v>
      </c>
      <c r="D228" s="2" t="s">
        <v>15</v>
      </c>
      <c r="E228" s="2">
        <v>107.8</v>
      </c>
      <c r="F228" s="2">
        <v>1.73</v>
      </c>
      <c r="G228" s="2">
        <v>185</v>
      </c>
      <c r="H228" s="2">
        <v>126</v>
      </c>
      <c r="I228" s="2">
        <v>50</v>
      </c>
      <c r="J228" s="2">
        <v>1.0900000000000001</v>
      </c>
      <c r="K228" s="2">
        <v>680</v>
      </c>
      <c r="L228" s="2" t="s">
        <v>17</v>
      </c>
      <c r="M228" s="2">
        <v>26.6</v>
      </c>
      <c r="N228" s="2">
        <v>2.8</v>
      </c>
      <c r="O228" s="2">
        <v>3</v>
      </c>
      <c r="P228" s="2">
        <v>2</v>
      </c>
      <c r="Q228" s="2">
        <v>36.020000000000003</v>
      </c>
      <c r="R228" s="2" t="str" cm="1">
        <f t="array" ref="R228">_xlfn.IFS(Q228&lt;18.5,"Underweight",
AND(Q228&gt;=18.5,Q228&lt;25),"Normal Weight",
AND(Q228&gt;=25,Q228&lt;30),"Overweight",
Q228&gt;=30,"Obesity")</f>
        <v>Obesity</v>
      </c>
      <c r="S228" s="2">
        <f t="shared" si="3"/>
        <v>623.85321100917429</v>
      </c>
      <c r="T228" s="2" t="str" cm="1">
        <f t="array" ref="T228">_xlfn.IFS(N228&lt;=2.5,"Low",N228&lt;=3,"Medium",N228&gt;3,"High")</f>
        <v>Medium</v>
      </c>
    </row>
    <row r="229" spans="1:20" x14ac:dyDescent="0.3">
      <c r="A229" s="2">
        <v>228</v>
      </c>
      <c r="B229" s="2" t="s">
        <v>21</v>
      </c>
      <c r="C229" s="2">
        <v>35</v>
      </c>
      <c r="D229" s="2" t="s">
        <v>16</v>
      </c>
      <c r="E229" s="2">
        <v>65.8</v>
      </c>
      <c r="F229" s="2">
        <v>1.62</v>
      </c>
      <c r="G229" s="2">
        <v>189</v>
      </c>
      <c r="H229" s="2">
        <v>158</v>
      </c>
      <c r="I229" s="2">
        <v>69</v>
      </c>
      <c r="J229" s="2">
        <v>1</v>
      </c>
      <c r="K229" s="2">
        <v>790</v>
      </c>
      <c r="L229" s="2" t="s">
        <v>19</v>
      </c>
      <c r="M229" s="2">
        <v>33.799999999999997</v>
      </c>
      <c r="N229" s="2">
        <v>1.5</v>
      </c>
      <c r="O229" s="2">
        <v>4</v>
      </c>
      <c r="P229" s="2">
        <v>2</v>
      </c>
      <c r="Q229" s="2">
        <v>25.07</v>
      </c>
      <c r="R229" s="2" t="str" cm="1">
        <f t="array" ref="R229">_xlfn.IFS(Q229&lt;18.5,"Underweight",
AND(Q229&gt;=18.5,Q229&lt;25),"Normal Weight",
AND(Q229&gt;=25,Q229&lt;30),"Overweight",
Q229&gt;=30,"Obesity")</f>
        <v>Overweight</v>
      </c>
      <c r="S229" s="2">
        <f t="shared" si="3"/>
        <v>790</v>
      </c>
      <c r="T229" s="2" t="str" cm="1">
        <f t="array" ref="T229">_xlfn.IFS(N229&lt;=2.5,"Low",N229&lt;=3,"Medium",N229&gt;3,"High")</f>
        <v>Low</v>
      </c>
    </row>
    <row r="230" spans="1:20" x14ac:dyDescent="0.3">
      <c r="A230" s="2">
        <v>229</v>
      </c>
      <c r="B230" s="2" t="s">
        <v>25</v>
      </c>
      <c r="C230" s="2">
        <v>57</v>
      </c>
      <c r="D230" s="2" t="s">
        <v>16</v>
      </c>
      <c r="E230" s="2">
        <v>68.5</v>
      </c>
      <c r="F230" s="2">
        <v>1.56</v>
      </c>
      <c r="G230" s="2">
        <v>168</v>
      </c>
      <c r="H230" s="2">
        <v>138</v>
      </c>
      <c r="I230" s="2">
        <v>68</v>
      </c>
      <c r="J230" s="2">
        <v>1.45</v>
      </c>
      <c r="K230" s="2">
        <v>900</v>
      </c>
      <c r="L230" s="2" t="s">
        <v>18</v>
      </c>
      <c r="M230" s="2">
        <v>29.1</v>
      </c>
      <c r="N230" s="2">
        <v>1.6</v>
      </c>
      <c r="O230" s="2">
        <v>4</v>
      </c>
      <c r="P230" s="2">
        <v>2</v>
      </c>
      <c r="Q230" s="2">
        <v>28.15</v>
      </c>
      <c r="R230" s="2" t="str" cm="1">
        <f t="array" ref="R230">_xlfn.IFS(Q230&lt;18.5,"Underweight",
AND(Q230&gt;=18.5,Q230&lt;25),"Normal Weight",
AND(Q230&gt;=25,Q230&lt;30),"Overweight",
Q230&gt;=30,"Obesity")</f>
        <v>Overweight</v>
      </c>
      <c r="S230" s="2">
        <f t="shared" si="3"/>
        <v>620.68965517241384</v>
      </c>
      <c r="T230" s="2" t="str" cm="1">
        <f t="array" ref="T230">_xlfn.IFS(N230&lt;=2.5,"Low",N230&lt;=3,"Medium",N230&gt;3,"High")</f>
        <v>Low</v>
      </c>
    </row>
    <row r="231" spans="1:20" x14ac:dyDescent="0.3">
      <c r="A231" s="2">
        <v>230</v>
      </c>
      <c r="B231" s="2" t="s">
        <v>30</v>
      </c>
      <c r="C231" s="2">
        <v>18</v>
      </c>
      <c r="D231" s="2" t="s">
        <v>16</v>
      </c>
      <c r="E231" s="2">
        <v>63.9</v>
      </c>
      <c r="F231" s="2">
        <v>1.59</v>
      </c>
      <c r="G231" s="2">
        <v>185</v>
      </c>
      <c r="H231" s="2">
        <v>125</v>
      </c>
      <c r="I231" s="2">
        <v>50</v>
      </c>
      <c r="J231" s="2">
        <v>1.87</v>
      </c>
      <c r="K231" s="2">
        <v>1169</v>
      </c>
      <c r="L231" s="2" t="s">
        <v>20</v>
      </c>
      <c r="M231" s="2">
        <v>16.399999999999999</v>
      </c>
      <c r="N231" s="2">
        <v>2.7</v>
      </c>
      <c r="O231" s="2">
        <v>4</v>
      </c>
      <c r="P231" s="2">
        <v>3</v>
      </c>
      <c r="Q231" s="2">
        <v>25.28</v>
      </c>
      <c r="R231" s="2" t="str" cm="1">
        <f t="array" ref="R231">_xlfn.IFS(Q231&lt;18.5,"Underweight",
AND(Q231&gt;=18.5,Q231&lt;25),"Normal Weight",
AND(Q231&gt;=25,Q231&lt;30),"Overweight",
Q231&gt;=30,"Obesity")</f>
        <v>Overweight</v>
      </c>
      <c r="S231" s="2">
        <f t="shared" si="3"/>
        <v>625.13368983957218</v>
      </c>
      <c r="T231" s="2" t="str" cm="1">
        <f t="array" ref="T231">_xlfn.IFS(N231&lt;=2.5,"Low",N231&lt;=3,"Medium",N231&gt;3,"High")</f>
        <v>Medium</v>
      </c>
    </row>
    <row r="232" spans="1:20" x14ac:dyDescent="0.3">
      <c r="A232" s="2">
        <v>231</v>
      </c>
      <c r="B232" s="2" t="s">
        <v>22</v>
      </c>
      <c r="C232" s="2">
        <v>28</v>
      </c>
      <c r="D232" s="2" t="s">
        <v>15</v>
      </c>
      <c r="E232" s="2">
        <v>76.3</v>
      </c>
      <c r="F232" s="2">
        <v>1.62</v>
      </c>
      <c r="G232" s="2">
        <v>161</v>
      </c>
      <c r="H232" s="2">
        <v>162</v>
      </c>
      <c r="I232" s="2">
        <v>70</v>
      </c>
      <c r="J232" s="2">
        <v>1.1599999999999999</v>
      </c>
      <c r="K232" s="2">
        <v>1034</v>
      </c>
      <c r="L232" s="2" t="s">
        <v>20</v>
      </c>
      <c r="M232" s="2">
        <v>20.100000000000001</v>
      </c>
      <c r="N232" s="2">
        <v>2.2999999999999998</v>
      </c>
      <c r="O232" s="2">
        <v>3</v>
      </c>
      <c r="P232" s="2">
        <v>2</v>
      </c>
      <c r="Q232" s="2">
        <v>29.07</v>
      </c>
      <c r="R232" s="2" t="str" cm="1">
        <f t="array" ref="R232">_xlfn.IFS(Q232&lt;18.5,"Underweight",
AND(Q232&gt;=18.5,Q232&lt;25),"Normal Weight",
AND(Q232&gt;=25,Q232&lt;30),"Overweight",
Q232&gt;=30,"Obesity")</f>
        <v>Overweight</v>
      </c>
      <c r="S232" s="2">
        <f t="shared" si="3"/>
        <v>891.37931034482767</v>
      </c>
      <c r="T232" s="2" t="str" cm="1">
        <f t="array" ref="T232">_xlfn.IFS(N232&lt;=2.5,"Low",N232&lt;=3,"Medium",N232&gt;3,"High")</f>
        <v>Low</v>
      </c>
    </row>
    <row r="233" spans="1:20" x14ac:dyDescent="0.3">
      <c r="A233" s="2">
        <v>232</v>
      </c>
      <c r="B233" s="2" t="s">
        <v>29</v>
      </c>
      <c r="C233" s="2">
        <v>45</v>
      </c>
      <c r="D233" s="2" t="s">
        <v>16</v>
      </c>
      <c r="E233" s="2">
        <v>44.5</v>
      </c>
      <c r="F233" s="2">
        <v>1.65</v>
      </c>
      <c r="G233" s="2">
        <v>162</v>
      </c>
      <c r="H233" s="2">
        <v>148</v>
      </c>
      <c r="I233" s="2">
        <v>71</v>
      </c>
      <c r="J233" s="2">
        <v>1.44</v>
      </c>
      <c r="K233" s="2">
        <v>959</v>
      </c>
      <c r="L233" s="2" t="s">
        <v>17</v>
      </c>
      <c r="M233" s="2">
        <v>30.7</v>
      </c>
      <c r="N233" s="2">
        <v>1.6</v>
      </c>
      <c r="O233" s="2">
        <v>3</v>
      </c>
      <c r="P233" s="2">
        <v>1</v>
      </c>
      <c r="Q233" s="2">
        <v>16.350000000000001</v>
      </c>
      <c r="R233" s="2" t="str" cm="1">
        <f t="array" ref="R233">_xlfn.IFS(Q233&lt;18.5,"Underweight",
AND(Q233&gt;=18.5,Q233&lt;25),"Normal Weight",
AND(Q233&gt;=25,Q233&lt;30),"Overweight",
Q233&gt;=30,"Obesity")</f>
        <v>Underweight</v>
      </c>
      <c r="S233" s="2">
        <f t="shared" si="3"/>
        <v>665.97222222222229</v>
      </c>
      <c r="T233" s="2" t="str" cm="1">
        <f t="array" ref="T233">_xlfn.IFS(N233&lt;=2.5,"Low",N233&lt;=3,"Medium",N233&gt;3,"High")</f>
        <v>Low</v>
      </c>
    </row>
    <row r="234" spans="1:20" x14ac:dyDescent="0.3">
      <c r="A234" s="2">
        <v>233</v>
      </c>
      <c r="B234" s="2" t="s">
        <v>28</v>
      </c>
      <c r="C234" s="2">
        <v>42</v>
      </c>
      <c r="D234" s="2" t="s">
        <v>16</v>
      </c>
      <c r="E234" s="2">
        <v>50.7</v>
      </c>
      <c r="F234" s="2">
        <v>1.75</v>
      </c>
      <c r="G234" s="2">
        <v>163</v>
      </c>
      <c r="H234" s="2">
        <v>162</v>
      </c>
      <c r="I234" s="2">
        <v>51</v>
      </c>
      <c r="J234" s="2">
        <v>1.29</v>
      </c>
      <c r="K234" s="2">
        <v>940</v>
      </c>
      <c r="L234" s="2" t="s">
        <v>20</v>
      </c>
      <c r="M234" s="2">
        <v>29</v>
      </c>
      <c r="N234" s="2">
        <v>1.9</v>
      </c>
      <c r="O234" s="2">
        <v>3</v>
      </c>
      <c r="P234" s="2">
        <v>2</v>
      </c>
      <c r="Q234" s="2">
        <v>16.559999999999999</v>
      </c>
      <c r="R234" s="2" t="str" cm="1">
        <f t="array" ref="R234">_xlfn.IFS(Q234&lt;18.5,"Underweight",
AND(Q234&gt;=18.5,Q234&lt;25),"Normal Weight",
AND(Q234&gt;=25,Q234&lt;30),"Overweight",
Q234&gt;=30,"Obesity")</f>
        <v>Underweight</v>
      </c>
      <c r="S234" s="2">
        <f t="shared" si="3"/>
        <v>728.68217054263562</v>
      </c>
      <c r="T234" s="2" t="str" cm="1">
        <f t="array" ref="T234">_xlfn.IFS(N234&lt;=2.5,"Low",N234&lt;=3,"Medium",N234&gt;3,"High")</f>
        <v>Low</v>
      </c>
    </row>
    <row r="235" spans="1:20" x14ac:dyDescent="0.3">
      <c r="A235" s="2">
        <v>234</v>
      </c>
      <c r="B235" s="2" t="s">
        <v>29</v>
      </c>
      <c r="C235" s="2">
        <v>40</v>
      </c>
      <c r="D235" s="2" t="s">
        <v>16</v>
      </c>
      <c r="E235" s="2">
        <v>55.1</v>
      </c>
      <c r="F235" s="2">
        <v>1.61</v>
      </c>
      <c r="G235" s="2">
        <v>184</v>
      </c>
      <c r="H235" s="2">
        <v>158</v>
      </c>
      <c r="I235" s="2">
        <v>64</v>
      </c>
      <c r="J235" s="2">
        <v>1.55</v>
      </c>
      <c r="K235" s="2">
        <v>1224</v>
      </c>
      <c r="L235" s="2" t="s">
        <v>17</v>
      </c>
      <c r="M235" s="2">
        <v>16.899999999999999</v>
      </c>
      <c r="N235" s="2">
        <v>2.7</v>
      </c>
      <c r="O235" s="2">
        <v>4</v>
      </c>
      <c r="P235" s="2">
        <v>3</v>
      </c>
      <c r="Q235" s="2">
        <v>21.26</v>
      </c>
      <c r="R235" s="2" t="str" cm="1">
        <f t="array" ref="R235">_xlfn.IFS(Q235&lt;18.5,"Underweight",
AND(Q235&gt;=18.5,Q235&lt;25),"Normal Weight",
AND(Q235&gt;=25,Q235&lt;30),"Overweight",
Q235&gt;=30,"Obesity")</f>
        <v>Normal Weight</v>
      </c>
      <c r="S235" s="2">
        <f t="shared" si="3"/>
        <v>789.67741935483866</v>
      </c>
      <c r="T235" s="2" t="str" cm="1">
        <f t="array" ref="T235">_xlfn.IFS(N235&lt;=2.5,"Low",N235&lt;=3,"Medium",N235&gt;3,"High")</f>
        <v>Medium</v>
      </c>
    </row>
    <row r="236" spans="1:20" x14ac:dyDescent="0.3">
      <c r="A236" s="2">
        <v>235</v>
      </c>
      <c r="B236" s="2" t="s">
        <v>24</v>
      </c>
      <c r="C236" s="2">
        <v>48</v>
      </c>
      <c r="D236" s="2" t="s">
        <v>15</v>
      </c>
      <c r="E236" s="2">
        <v>73.7</v>
      </c>
      <c r="F236" s="2">
        <v>1.61</v>
      </c>
      <c r="G236" s="2">
        <v>172</v>
      </c>
      <c r="H236" s="2">
        <v>121</v>
      </c>
      <c r="I236" s="2">
        <v>63</v>
      </c>
      <c r="J236" s="2">
        <v>1.36</v>
      </c>
      <c r="K236" s="2">
        <v>815</v>
      </c>
      <c r="L236" s="2" t="s">
        <v>19</v>
      </c>
      <c r="M236" s="2">
        <v>21.8</v>
      </c>
      <c r="N236" s="2">
        <v>3.6</v>
      </c>
      <c r="O236" s="2">
        <v>4</v>
      </c>
      <c r="P236" s="2">
        <v>2</v>
      </c>
      <c r="Q236" s="2">
        <v>28.43</v>
      </c>
      <c r="R236" s="2" t="str" cm="1">
        <f t="array" ref="R236">_xlfn.IFS(Q236&lt;18.5,"Underweight",
AND(Q236&gt;=18.5,Q236&lt;25),"Normal Weight",
AND(Q236&gt;=25,Q236&lt;30),"Overweight",
Q236&gt;=30,"Obesity")</f>
        <v>Overweight</v>
      </c>
      <c r="S236" s="2">
        <f t="shared" si="3"/>
        <v>599.26470588235293</v>
      </c>
      <c r="T236" s="2" t="str" cm="1">
        <f t="array" ref="T236">_xlfn.IFS(N236&lt;=2.5,"Low",N236&lt;=3,"Medium",N236&gt;3,"High")</f>
        <v>High</v>
      </c>
    </row>
    <row r="237" spans="1:20" x14ac:dyDescent="0.3">
      <c r="A237" s="2">
        <v>236</v>
      </c>
      <c r="B237" s="2" t="s">
        <v>24</v>
      </c>
      <c r="C237" s="2">
        <v>47</v>
      </c>
      <c r="D237" s="2" t="s">
        <v>15</v>
      </c>
      <c r="E237" s="2">
        <v>55.6</v>
      </c>
      <c r="F237" s="2">
        <v>1.77</v>
      </c>
      <c r="G237" s="2">
        <v>198</v>
      </c>
      <c r="H237" s="2">
        <v>138</v>
      </c>
      <c r="I237" s="2">
        <v>68</v>
      </c>
      <c r="J237" s="2">
        <v>1.2</v>
      </c>
      <c r="K237" s="2">
        <v>820</v>
      </c>
      <c r="L237" s="2" t="s">
        <v>19</v>
      </c>
      <c r="M237" s="2">
        <v>24.3</v>
      </c>
      <c r="N237" s="2">
        <v>2.9</v>
      </c>
      <c r="O237" s="2">
        <v>4</v>
      </c>
      <c r="P237" s="2">
        <v>2</v>
      </c>
      <c r="Q237" s="2">
        <v>17.75</v>
      </c>
      <c r="R237" s="2" t="str" cm="1">
        <f t="array" ref="R237">_xlfn.IFS(Q237&lt;18.5,"Underweight",
AND(Q237&gt;=18.5,Q237&lt;25),"Normal Weight",
AND(Q237&gt;=25,Q237&lt;30),"Overweight",
Q237&gt;=30,"Obesity")</f>
        <v>Underweight</v>
      </c>
      <c r="S237" s="2">
        <f t="shared" si="3"/>
        <v>683.33333333333337</v>
      </c>
      <c r="T237" s="2" t="str" cm="1">
        <f t="array" ref="T237">_xlfn.IFS(N237&lt;=2.5,"Low",N237&lt;=3,"Medium",N237&gt;3,"High")</f>
        <v>Medium</v>
      </c>
    </row>
    <row r="238" spans="1:20" x14ac:dyDescent="0.3">
      <c r="A238" s="2">
        <v>237</v>
      </c>
      <c r="B238" s="2" t="s">
        <v>21</v>
      </c>
      <c r="C238" s="2">
        <v>59</v>
      </c>
      <c r="D238" s="2" t="s">
        <v>15</v>
      </c>
      <c r="E238" s="2">
        <v>86.9</v>
      </c>
      <c r="F238" s="2">
        <v>1.76</v>
      </c>
      <c r="G238" s="2">
        <v>194</v>
      </c>
      <c r="H238" s="2">
        <v>123</v>
      </c>
      <c r="I238" s="2">
        <v>60</v>
      </c>
      <c r="J238" s="2">
        <v>1.1299999999999999</v>
      </c>
      <c r="K238" s="2">
        <v>688</v>
      </c>
      <c r="L238" s="2" t="s">
        <v>20</v>
      </c>
      <c r="M238" s="2">
        <v>29.8</v>
      </c>
      <c r="N238" s="2">
        <v>3.1</v>
      </c>
      <c r="O238" s="2">
        <v>3</v>
      </c>
      <c r="P238" s="2">
        <v>2</v>
      </c>
      <c r="Q238" s="2">
        <v>28.05</v>
      </c>
      <c r="R238" s="2" t="str" cm="1">
        <f t="array" ref="R238">_xlfn.IFS(Q238&lt;18.5,"Underweight",
AND(Q238&gt;=18.5,Q238&lt;25),"Normal Weight",
AND(Q238&gt;=25,Q238&lt;30),"Overweight",
Q238&gt;=30,"Obesity")</f>
        <v>Overweight</v>
      </c>
      <c r="S238" s="2">
        <f t="shared" si="3"/>
        <v>608.84955752212397</v>
      </c>
      <c r="T238" s="2" t="str" cm="1">
        <f t="array" ref="T238">_xlfn.IFS(N238&lt;=2.5,"Low",N238&lt;=3,"Medium",N238&gt;3,"High")</f>
        <v>High</v>
      </c>
    </row>
    <row r="239" spans="1:20" x14ac:dyDescent="0.3">
      <c r="A239" s="2">
        <v>238</v>
      </c>
      <c r="B239" s="2" t="s">
        <v>30</v>
      </c>
      <c r="C239" s="2">
        <v>52</v>
      </c>
      <c r="D239" s="2" t="s">
        <v>16</v>
      </c>
      <c r="E239" s="2">
        <v>60.3</v>
      </c>
      <c r="F239" s="2">
        <v>1.68</v>
      </c>
      <c r="G239" s="2">
        <v>182</v>
      </c>
      <c r="H239" s="2">
        <v>125</v>
      </c>
      <c r="I239" s="2">
        <v>64</v>
      </c>
      <c r="J239" s="2">
        <v>1.6</v>
      </c>
      <c r="K239" s="2">
        <v>900</v>
      </c>
      <c r="L239" s="2" t="s">
        <v>20</v>
      </c>
      <c r="M239" s="2">
        <v>16.5</v>
      </c>
      <c r="N239" s="2">
        <v>2.7</v>
      </c>
      <c r="O239" s="2">
        <v>4</v>
      </c>
      <c r="P239" s="2">
        <v>3</v>
      </c>
      <c r="Q239" s="2">
        <v>21.36</v>
      </c>
      <c r="R239" s="2" t="str" cm="1">
        <f t="array" ref="R239">_xlfn.IFS(Q239&lt;18.5,"Underweight",
AND(Q239&gt;=18.5,Q239&lt;25),"Normal Weight",
AND(Q239&gt;=25,Q239&lt;30),"Overweight",
Q239&gt;=30,"Obesity")</f>
        <v>Normal Weight</v>
      </c>
      <c r="S239" s="2">
        <f t="shared" si="3"/>
        <v>562.5</v>
      </c>
      <c r="T239" s="2" t="str" cm="1">
        <f t="array" ref="T239">_xlfn.IFS(N239&lt;=2.5,"Low",N239&lt;=3,"Medium",N239&gt;3,"High")</f>
        <v>Medium</v>
      </c>
    </row>
    <row r="240" spans="1:20" x14ac:dyDescent="0.3">
      <c r="A240" s="2">
        <v>239</v>
      </c>
      <c r="B240" s="2" t="s">
        <v>30</v>
      </c>
      <c r="C240" s="2">
        <v>24</v>
      </c>
      <c r="D240" s="2" t="s">
        <v>16</v>
      </c>
      <c r="E240" s="2">
        <v>40.4</v>
      </c>
      <c r="F240" s="2">
        <v>1.64</v>
      </c>
      <c r="G240" s="2">
        <v>168</v>
      </c>
      <c r="H240" s="2">
        <v>168</v>
      </c>
      <c r="I240" s="2">
        <v>55</v>
      </c>
      <c r="J240" s="2">
        <v>0.99</v>
      </c>
      <c r="K240" s="2">
        <v>832</v>
      </c>
      <c r="L240" s="2" t="s">
        <v>18</v>
      </c>
      <c r="M240" s="2">
        <v>31</v>
      </c>
      <c r="N240" s="2">
        <v>1.9</v>
      </c>
      <c r="O240" s="2">
        <v>2</v>
      </c>
      <c r="P240" s="2">
        <v>1</v>
      </c>
      <c r="Q240" s="2">
        <v>15.02</v>
      </c>
      <c r="R240" s="2" t="str" cm="1">
        <f t="array" ref="R240">_xlfn.IFS(Q240&lt;18.5,"Underweight",
AND(Q240&gt;=18.5,Q240&lt;25),"Normal Weight",
AND(Q240&gt;=25,Q240&lt;30),"Overweight",
Q240&gt;=30,"Obesity")</f>
        <v>Underweight</v>
      </c>
      <c r="S240" s="2">
        <f t="shared" si="3"/>
        <v>840.40404040404042</v>
      </c>
      <c r="T240" s="2" t="str" cm="1">
        <f t="array" ref="T240">_xlfn.IFS(N240&lt;=2.5,"Low",N240&lt;=3,"Medium",N240&gt;3,"High")</f>
        <v>Low</v>
      </c>
    </row>
    <row r="241" spans="1:20" x14ac:dyDescent="0.3">
      <c r="A241" s="2">
        <v>240</v>
      </c>
      <c r="B241" s="2" t="s">
        <v>26</v>
      </c>
      <c r="C241" s="2">
        <v>33</v>
      </c>
      <c r="D241" s="2" t="s">
        <v>16</v>
      </c>
      <c r="E241" s="2">
        <v>78.5</v>
      </c>
      <c r="F241" s="2">
        <v>1.66</v>
      </c>
      <c r="G241" s="2">
        <v>161</v>
      </c>
      <c r="H241" s="2">
        <v>156</v>
      </c>
      <c r="I241" s="2">
        <v>69</v>
      </c>
      <c r="J241" s="2">
        <v>1.29</v>
      </c>
      <c r="K241" s="2">
        <v>1006</v>
      </c>
      <c r="L241" s="2" t="s">
        <v>18</v>
      </c>
      <c r="M241" s="2">
        <v>32.799999999999997</v>
      </c>
      <c r="N241" s="2">
        <v>1.9</v>
      </c>
      <c r="O241" s="2">
        <v>4</v>
      </c>
      <c r="P241" s="2">
        <v>2</v>
      </c>
      <c r="Q241" s="2">
        <v>28.49</v>
      </c>
      <c r="R241" s="2" t="str" cm="1">
        <f t="array" ref="R241">_xlfn.IFS(Q241&lt;18.5,"Underweight",
AND(Q241&gt;=18.5,Q241&lt;25),"Normal Weight",
AND(Q241&gt;=25,Q241&lt;30),"Overweight",
Q241&gt;=30,"Obesity")</f>
        <v>Overweight</v>
      </c>
      <c r="S241" s="2">
        <f t="shared" si="3"/>
        <v>779.84496124031011</v>
      </c>
      <c r="T241" s="2" t="str" cm="1">
        <f t="array" ref="T241">_xlfn.IFS(N241&lt;=2.5,"Low",N241&lt;=3,"Medium",N241&gt;3,"High")</f>
        <v>Low</v>
      </c>
    </row>
    <row r="242" spans="1:20" x14ac:dyDescent="0.3">
      <c r="A242" s="2">
        <v>241</v>
      </c>
      <c r="B242" s="2" t="s">
        <v>26</v>
      </c>
      <c r="C242" s="2">
        <v>43</v>
      </c>
      <c r="D242" s="2" t="s">
        <v>15</v>
      </c>
      <c r="E242" s="2">
        <v>102.6</v>
      </c>
      <c r="F242" s="2">
        <v>1.72</v>
      </c>
      <c r="G242" s="2">
        <v>190</v>
      </c>
      <c r="H242" s="2">
        <v>147</v>
      </c>
      <c r="I242" s="2">
        <v>58</v>
      </c>
      <c r="J242" s="2">
        <v>0.82</v>
      </c>
      <c r="K242" s="2">
        <v>597</v>
      </c>
      <c r="L242" s="2" t="s">
        <v>20</v>
      </c>
      <c r="M242" s="2">
        <v>27.5</v>
      </c>
      <c r="N242" s="2">
        <v>2</v>
      </c>
      <c r="O242" s="2">
        <v>2</v>
      </c>
      <c r="P242" s="2">
        <v>1</v>
      </c>
      <c r="Q242" s="2">
        <v>34.68</v>
      </c>
      <c r="R242" s="2" t="str" cm="1">
        <f t="array" ref="R242">_xlfn.IFS(Q242&lt;18.5,"Underweight",
AND(Q242&gt;=18.5,Q242&lt;25),"Normal Weight",
AND(Q242&gt;=25,Q242&lt;30),"Overweight",
Q242&gt;=30,"Obesity")</f>
        <v>Obesity</v>
      </c>
      <c r="S242" s="2">
        <f t="shared" si="3"/>
        <v>728.04878048780495</v>
      </c>
      <c r="T242" s="2" t="str" cm="1">
        <f t="array" ref="T242">_xlfn.IFS(N242&lt;=2.5,"Low",N242&lt;=3,"Medium",N242&gt;3,"High")</f>
        <v>Low</v>
      </c>
    </row>
    <row r="243" spans="1:20" x14ac:dyDescent="0.3">
      <c r="A243" s="2">
        <v>242</v>
      </c>
      <c r="B243" s="2" t="s">
        <v>26</v>
      </c>
      <c r="C243" s="2">
        <v>19</v>
      </c>
      <c r="D243" s="2" t="s">
        <v>15</v>
      </c>
      <c r="E243" s="2">
        <v>110.8</v>
      </c>
      <c r="F243" s="2">
        <v>1.91</v>
      </c>
      <c r="G243" s="2">
        <v>161</v>
      </c>
      <c r="H243" s="2">
        <v>149</v>
      </c>
      <c r="I243" s="2">
        <v>54</v>
      </c>
      <c r="J243" s="2">
        <v>1.31</v>
      </c>
      <c r="K243" s="2">
        <v>1074</v>
      </c>
      <c r="L243" s="2" t="s">
        <v>20</v>
      </c>
      <c r="M243" s="2">
        <v>23.3</v>
      </c>
      <c r="N243" s="2">
        <v>2.9</v>
      </c>
      <c r="O243" s="2">
        <v>2</v>
      </c>
      <c r="P243" s="2">
        <v>1</v>
      </c>
      <c r="Q243" s="2">
        <v>30.37</v>
      </c>
      <c r="R243" s="2" t="str" cm="1">
        <f t="array" ref="R243">_xlfn.IFS(Q243&lt;18.5,"Underweight",
AND(Q243&gt;=18.5,Q243&lt;25),"Normal Weight",
AND(Q243&gt;=25,Q243&lt;30),"Overweight",
Q243&gt;=30,"Obesity")</f>
        <v>Obesity</v>
      </c>
      <c r="S243" s="2">
        <f t="shared" si="3"/>
        <v>819.84732824427476</v>
      </c>
      <c r="T243" s="2" t="str" cm="1">
        <f t="array" ref="T243">_xlfn.IFS(N243&lt;=2.5,"Low",N243&lt;=3,"Medium",N243&gt;3,"High")</f>
        <v>Medium</v>
      </c>
    </row>
    <row r="244" spans="1:20" x14ac:dyDescent="0.3">
      <c r="A244" s="2">
        <v>243</v>
      </c>
      <c r="B244" s="2" t="s">
        <v>22</v>
      </c>
      <c r="C244" s="2">
        <v>18</v>
      </c>
      <c r="D244" s="2" t="s">
        <v>16</v>
      </c>
      <c r="E244" s="2">
        <v>60.9</v>
      </c>
      <c r="F244" s="2">
        <v>1.79</v>
      </c>
      <c r="G244" s="2">
        <v>191</v>
      </c>
      <c r="H244" s="2">
        <v>126</v>
      </c>
      <c r="I244" s="2">
        <v>69</v>
      </c>
      <c r="J244" s="2">
        <v>1.1100000000000001</v>
      </c>
      <c r="K244" s="2">
        <v>699</v>
      </c>
      <c r="L244" s="2" t="s">
        <v>19</v>
      </c>
      <c r="M244" s="2">
        <v>31.1</v>
      </c>
      <c r="N244" s="2">
        <v>2.1</v>
      </c>
      <c r="O244" s="2">
        <v>2</v>
      </c>
      <c r="P244" s="2">
        <v>1</v>
      </c>
      <c r="Q244" s="2">
        <v>19.010000000000002</v>
      </c>
      <c r="R244" s="2" t="str" cm="1">
        <f t="array" ref="R244">_xlfn.IFS(Q244&lt;18.5,"Underweight",
AND(Q244&gt;=18.5,Q244&lt;25),"Normal Weight",
AND(Q244&gt;=25,Q244&lt;30),"Overweight",
Q244&gt;=30,"Obesity")</f>
        <v>Normal Weight</v>
      </c>
      <c r="S244" s="2">
        <f t="shared" si="3"/>
        <v>629.72972972972968</v>
      </c>
      <c r="T244" s="2" t="str" cm="1">
        <f t="array" ref="T244">_xlfn.IFS(N244&lt;=2.5,"Low",N244&lt;=3,"Medium",N244&gt;3,"High")</f>
        <v>Low</v>
      </c>
    </row>
    <row r="245" spans="1:20" x14ac:dyDescent="0.3">
      <c r="A245" s="2">
        <v>244</v>
      </c>
      <c r="B245" s="2" t="s">
        <v>23</v>
      </c>
      <c r="C245" s="2">
        <v>29</v>
      </c>
      <c r="D245" s="2" t="s">
        <v>15</v>
      </c>
      <c r="E245" s="2">
        <v>55.7</v>
      </c>
      <c r="F245" s="2">
        <v>1.61</v>
      </c>
      <c r="G245" s="2">
        <v>177</v>
      </c>
      <c r="H245" s="2">
        <v>128</v>
      </c>
      <c r="I245" s="2">
        <v>51</v>
      </c>
      <c r="J245" s="2">
        <v>1.41</v>
      </c>
      <c r="K245" s="2">
        <v>993</v>
      </c>
      <c r="L245" s="2" t="s">
        <v>20</v>
      </c>
      <c r="M245" s="2">
        <v>28.7</v>
      </c>
      <c r="N245" s="2">
        <v>2.2999999999999998</v>
      </c>
      <c r="O245" s="2">
        <v>3</v>
      </c>
      <c r="P245" s="2">
        <v>1</v>
      </c>
      <c r="Q245" s="2">
        <v>21.49</v>
      </c>
      <c r="R245" s="2" t="str" cm="1">
        <f t="array" ref="R245">_xlfn.IFS(Q245&lt;18.5,"Underweight",
AND(Q245&gt;=18.5,Q245&lt;25),"Normal Weight",
AND(Q245&gt;=25,Q245&lt;30),"Overweight",
Q245&gt;=30,"Obesity")</f>
        <v>Normal Weight</v>
      </c>
      <c r="S245" s="2">
        <f t="shared" si="3"/>
        <v>704.25531914893622</v>
      </c>
      <c r="T245" s="2" t="str" cm="1">
        <f t="array" ref="T245">_xlfn.IFS(N245&lt;=2.5,"Low",N245&lt;=3,"Medium",N245&gt;3,"High")</f>
        <v>Low</v>
      </c>
    </row>
    <row r="246" spans="1:20" x14ac:dyDescent="0.3">
      <c r="A246" s="2">
        <v>245</v>
      </c>
      <c r="B246" s="2" t="s">
        <v>27</v>
      </c>
      <c r="C246" s="2">
        <v>22</v>
      </c>
      <c r="D246" s="2" t="s">
        <v>15</v>
      </c>
      <c r="E246" s="2">
        <v>110.5</v>
      </c>
      <c r="F246" s="2">
        <v>1.92</v>
      </c>
      <c r="G246" s="2">
        <v>172</v>
      </c>
      <c r="H246" s="2">
        <v>144</v>
      </c>
      <c r="I246" s="2">
        <v>55</v>
      </c>
      <c r="J246" s="2">
        <v>1.1599999999999999</v>
      </c>
      <c r="K246" s="2">
        <v>919</v>
      </c>
      <c r="L246" s="2" t="s">
        <v>18</v>
      </c>
      <c r="M246" s="2">
        <v>20.2</v>
      </c>
      <c r="N246" s="2">
        <v>3.3</v>
      </c>
      <c r="O246" s="2">
        <v>3</v>
      </c>
      <c r="P246" s="2">
        <v>2</v>
      </c>
      <c r="Q246" s="2">
        <v>29.98</v>
      </c>
      <c r="R246" s="2" t="str" cm="1">
        <f t="array" ref="R246">_xlfn.IFS(Q246&lt;18.5,"Underweight",
AND(Q246&gt;=18.5,Q246&lt;25),"Normal Weight",
AND(Q246&gt;=25,Q246&lt;30),"Overweight",
Q246&gt;=30,"Obesity")</f>
        <v>Overweight</v>
      </c>
      <c r="S246" s="2">
        <f t="shared" si="3"/>
        <v>792.24137931034488</v>
      </c>
      <c r="T246" s="2" t="str" cm="1">
        <f t="array" ref="T246">_xlfn.IFS(N246&lt;=2.5,"Low",N246&lt;=3,"Medium",N246&gt;3,"High")</f>
        <v>High</v>
      </c>
    </row>
    <row r="247" spans="1:20" x14ac:dyDescent="0.3">
      <c r="A247" s="2">
        <v>246</v>
      </c>
      <c r="B247" s="2" t="s">
        <v>23</v>
      </c>
      <c r="C247" s="2">
        <v>54</v>
      </c>
      <c r="D247" s="2" t="s">
        <v>15</v>
      </c>
      <c r="E247" s="2">
        <v>55.2</v>
      </c>
      <c r="F247" s="2">
        <v>1.71</v>
      </c>
      <c r="G247" s="2">
        <v>164</v>
      </c>
      <c r="H247" s="2">
        <v>152</v>
      </c>
      <c r="I247" s="2">
        <v>67</v>
      </c>
      <c r="J247" s="2">
        <v>0.77</v>
      </c>
      <c r="K247" s="2">
        <v>579</v>
      </c>
      <c r="L247" s="2" t="s">
        <v>19</v>
      </c>
      <c r="M247" s="2">
        <v>24.4</v>
      </c>
      <c r="N247" s="2">
        <v>2.8</v>
      </c>
      <c r="O247" s="2">
        <v>2</v>
      </c>
      <c r="P247" s="2">
        <v>1</v>
      </c>
      <c r="Q247" s="2">
        <v>18.88</v>
      </c>
      <c r="R247" s="2" t="str" cm="1">
        <f t="array" ref="R247">_xlfn.IFS(Q247&lt;18.5,"Underweight",
AND(Q247&gt;=18.5,Q247&lt;25),"Normal Weight",
AND(Q247&gt;=25,Q247&lt;30),"Overweight",
Q247&gt;=30,"Obesity")</f>
        <v>Normal Weight</v>
      </c>
      <c r="S247" s="2">
        <f t="shared" si="3"/>
        <v>751.9480519480519</v>
      </c>
      <c r="T247" s="2" t="str" cm="1">
        <f t="array" ref="T247">_xlfn.IFS(N247&lt;=2.5,"Low",N247&lt;=3,"Medium",N247&gt;3,"High")</f>
        <v>Medium</v>
      </c>
    </row>
    <row r="248" spans="1:20" x14ac:dyDescent="0.3">
      <c r="A248" s="2">
        <v>247</v>
      </c>
      <c r="B248" s="2" t="s">
        <v>29</v>
      </c>
      <c r="C248" s="2">
        <v>49</v>
      </c>
      <c r="D248" s="2" t="s">
        <v>15</v>
      </c>
      <c r="E248" s="2">
        <v>46.5</v>
      </c>
      <c r="F248" s="2">
        <v>1.72</v>
      </c>
      <c r="G248" s="2">
        <v>169</v>
      </c>
      <c r="H248" s="2">
        <v>120</v>
      </c>
      <c r="I248" s="2">
        <v>72</v>
      </c>
      <c r="J248" s="2">
        <v>1.4</v>
      </c>
      <c r="K248" s="2">
        <v>832</v>
      </c>
      <c r="L248" s="2" t="s">
        <v>17</v>
      </c>
      <c r="M248" s="2">
        <v>22.2</v>
      </c>
      <c r="N248" s="2">
        <v>2.6</v>
      </c>
      <c r="O248" s="2">
        <v>4</v>
      </c>
      <c r="P248" s="2">
        <v>2</v>
      </c>
      <c r="Q248" s="2">
        <v>15.72</v>
      </c>
      <c r="R248" s="2" t="str" cm="1">
        <f t="array" ref="R248">_xlfn.IFS(Q248&lt;18.5,"Underweight",
AND(Q248&gt;=18.5,Q248&lt;25),"Normal Weight",
AND(Q248&gt;=25,Q248&lt;30),"Overweight",
Q248&gt;=30,"Obesity")</f>
        <v>Underweight</v>
      </c>
      <c r="S248" s="2">
        <f t="shared" si="3"/>
        <v>594.28571428571433</v>
      </c>
      <c r="T248" s="2" t="str" cm="1">
        <f t="array" ref="T248">_xlfn.IFS(N248&lt;=2.5,"Low",N248&lt;=3,"Medium",N248&gt;3,"High")</f>
        <v>Medium</v>
      </c>
    </row>
    <row r="249" spans="1:20" x14ac:dyDescent="0.3">
      <c r="A249" s="2">
        <v>248</v>
      </c>
      <c r="B249" s="2" t="s">
        <v>23</v>
      </c>
      <c r="C249" s="2">
        <v>26</v>
      </c>
      <c r="D249" s="2" t="s">
        <v>16</v>
      </c>
      <c r="E249" s="2">
        <v>70.900000000000006</v>
      </c>
      <c r="F249" s="2">
        <v>1.66</v>
      </c>
      <c r="G249" s="2">
        <v>184</v>
      </c>
      <c r="H249" s="2">
        <v>125</v>
      </c>
      <c r="I249" s="2">
        <v>68</v>
      </c>
      <c r="J249" s="2">
        <v>0.81</v>
      </c>
      <c r="K249" s="2">
        <v>506</v>
      </c>
      <c r="L249" s="2" t="s">
        <v>18</v>
      </c>
      <c r="M249" s="2">
        <v>28.9</v>
      </c>
      <c r="N249" s="2">
        <v>1.7</v>
      </c>
      <c r="O249" s="2">
        <v>3</v>
      </c>
      <c r="P249" s="2">
        <v>1</v>
      </c>
      <c r="Q249" s="2">
        <v>25.73</v>
      </c>
      <c r="R249" s="2" t="str" cm="1">
        <f t="array" ref="R249">_xlfn.IFS(Q249&lt;18.5,"Underweight",
AND(Q249&gt;=18.5,Q249&lt;25),"Normal Weight",
AND(Q249&gt;=25,Q249&lt;30),"Overweight",
Q249&gt;=30,"Obesity")</f>
        <v>Overweight</v>
      </c>
      <c r="S249" s="2">
        <f t="shared" si="3"/>
        <v>624.69135802469134</v>
      </c>
      <c r="T249" s="2" t="str" cm="1">
        <f t="array" ref="T249">_xlfn.IFS(N249&lt;=2.5,"Low",N249&lt;=3,"Medium",N249&gt;3,"High")</f>
        <v>Low</v>
      </c>
    </row>
    <row r="250" spans="1:20" x14ac:dyDescent="0.3">
      <c r="A250" s="2">
        <v>249</v>
      </c>
      <c r="B250" s="2" t="s">
        <v>22</v>
      </c>
      <c r="C250" s="2">
        <v>58</v>
      </c>
      <c r="D250" s="2" t="s">
        <v>15</v>
      </c>
      <c r="E250" s="2">
        <v>74.599999999999994</v>
      </c>
      <c r="F250" s="2">
        <v>1.75</v>
      </c>
      <c r="G250" s="2">
        <v>193</v>
      </c>
      <c r="H250" s="2">
        <v>137</v>
      </c>
      <c r="I250" s="2">
        <v>58</v>
      </c>
      <c r="J250" s="2">
        <v>1.0900000000000001</v>
      </c>
      <c r="K250" s="2">
        <v>739</v>
      </c>
      <c r="L250" s="2" t="s">
        <v>18</v>
      </c>
      <c r="M250" s="2">
        <v>24.2</v>
      </c>
      <c r="N250" s="2">
        <v>2.9</v>
      </c>
      <c r="O250" s="2">
        <v>2</v>
      </c>
      <c r="P250" s="2">
        <v>1</v>
      </c>
      <c r="Q250" s="2">
        <v>24.36</v>
      </c>
      <c r="R250" s="2" t="str" cm="1">
        <f t="array" ref="R250">_xlfn.IFS(Q250&lt;18.5,"Underweight",
AND(Q250&gt;=18.5,Q250&lt;25),"Normal Weight",
AND(Q250&gt;=25,Q250&lt;30),"Overweight",
Q250&gt;=30,"Obesity")</f>
        <v>Normal Weight</v>
      </c>
      <c r="S250" s="2">
        <f t="shared" si="3"/>
        <v>677.98165137614671</v>
      </c>
      <c r="T250" s="2" t="str" cm="1">
        <f t="array" ref="T250">_xlfn.IFS(N250&lt;=2.5,"Low",N250&lt;=3,"Medium",N250&gt;3,"High")</f>
        <v>Medium</v>
      </c>
    </row>
    <row r="251" spans="1:20" x14ac:dyDescent="0.3">
      <c r="A251" s="2">
        <v>250</v>
      </c>
      <c r="B251" s="2" t="s">
        <v>29</v>
      </c>
      <c r="C251" s="2">
        <v>52</v>
      </c>
      <c r="D251" s="2" t="s">
        <v>15</v>
      </c>
      <c r="E251" s="2">
        <v>45.1</v>
      </c>
      <c r="F251" s="2">
        <v>1.72</v>
      </c>
      <c r="G251" s="2">
        <v>196</v>
      </c>
      <c r="H251" s="2">
        <v>129</v>
      </c>
      <c r="I251" s="2">
        <v>70</v>
      </c>
      <c r="J251" s="2">
        <v>0.93</v>
      </c>
      <c r="K251" s="2">
        <v>594</v>
      </c>
      <c r="L251" s="2" t="s">
        <v>19</v>
      </c>
      <c r="M251" s="2">
        <v>27.5</v>
      </c>
      <c r="N251" s="2">
        <v>3.3</v>
      </c>
      <c r="O251" s="2">
        <v>2</v>
      </c>
      <c r="P251" s="2">
        <v>1</v>
      </c>
      <c r="Q251" s="2">
        <v>15.24</v>
      </c>
      <c r="R251" s="2" t="str" cm="1">
        <f t="array" ref="R251">_xlfn.IFS(Q251&lt;18.5,"Underweight",
AND(Q251&gt;=18.5,Q251&lt;25),"Normal Weight",
AND(Q251&gt;=25,Q251&lt;30),"Overweight",
Q251&gt;=30,"Obesity")</f>
        <v>Underweight</v>
      </c>
      <c r="S251" s="2">
        <f t="shared" si="3"/>
        <v>638.70967741935476</v>
      </c>
      <c r="T251" s="2" t="str" cm="1">
        <f t="array" ref="T251">_xlfn.IFS(N251&lt;=2.5,"Low",N251&lt;=3,"Medium",N251&gt;3,"High")</f>
        <v>High</v>
      </c>
    </row>
    <row r="252" spans="1:20" x14ac:dyDescent="0.3">
      <c r="A252" s="2">
        <v>251</v>
      </c>
      <c r="B252" s="2" t="s">
        <v>23</v>
      </c>
      <c r="C252" s="2">
        <v>36</v>
      </c>
      <c r="D252" s="2" t="s">
        <v>15</v>
      </c>
      <c r="E252" s="2">
        <v>99.9</v>
      </c>
      <c r="F252" s="2">
        <v>1.99</v>
      </c>
      <c r="G252" s="2">
        <v>189</v>
      </c>
      <c r="H252" s="2">
        <v>147</v>
      </c>
      <c r="I252" s="2">
        <v>73</v>
      </c>
      <c r="J252" s="2">
        <v>1.33</v>
      </c>
      <c r="K252" s="2">
        <v>1075</v>
      </c>
      <c r="L252" s="2" t="s">
        <v>17</v>
      </c>
      <c r="M252" s="2">
        <v>20.9</v>
      </c>
      <c r="N252" s="2">
        <v>2.5</v>
      </c>
      <c r="O252" s="2">
        <v>3</v>
      </c>
      <c r="P252" s="2">
        <v>1</v>
      </c>
      <c r="Q252" s="2">
        <v>25.23</v>
      </c>
      <c r="R252" s="2" t="str" cm="1">
        <f t="array" ref="R252">_xlfn.IFS(Q252&lt;18.5,"Underweight",
AND(Q252&gt;=18.5,Q252&lt;25),"Normal Weight",
AND(Q252&gt;=25,Q252&lt;30),"Overweight",
Q252&gt;=30,"Obesity")</f>
        <v>Overweight</v>
      </c>
      <c r="S252" s="2">
        <f t="shared" si="3"/>
        <v>808.27067669172925</v>
      </c>
      <c r="T252" s="2" t="str" cm="1">
        <f t="array" ref="T252">_xlfn.IFS(N252&lt;=2.5,"Low",N252&lt;=3,"Medium",N252&gt;3,"High")</f>
        <v>Low</v>
      </c>
    </row>
    <row r="253" spans="1:20" x14ac:dyDescent="0.3">
      <c r="A253" s="2">
        <v>252</v>
      </c>
      <c r="B253" s="2" t="s">
        <v>22</v>
      </c>
      <c r="C253" s="2">
        <v>33</v>
      </c>
      <c r="D253" s="2" t="s">
        <v>15</v>
      </c>
      <c r="E253" s="2">
        <v>117</v>
      </c>
      <c r="F253" s="2">
        <v>1.61</v>
      </c>
      <c r="G253" s="2">
        <v>166</v>
      </c>
      <c r="H253" s="2">
        <v>130</v>
      </c>
      <c r="I253" s="2">
        <v>55</v>
      </c>
      <c r="J253" s="2">
        <v>1.04</v>
      </c>
      <c r="K253" s="2">
        <v>744</v>
      </c>
      <c r="L253" s="2" t="s">
        <v>18</v>
      </c>
      <c r="M253" s="2">
        <v>25.1</v>
      </c>
      <c r="N253" s="2">
        <v>2.4</v>
      </c>
      <c r="O253" s="2">
        <v>3</v>
      </c>
      <c r="P253" s="2">
        <v>2</v>
      </c>
      <c r="Q253" s="2">
        <v>45.14</v>
      </c>
      <c r="R253" s="2" t="str" cm="1">
        <f t="array" ref="R253">_xlfn.IFS(Q253&lt;18.5,"Underweight",
AND(Q253&gt;=18.5,Q253&lt;25),"Normal Weight",
AND(Q253&gt;=25,Q253&lt;30),"Overweight",
Q253&gt;=30,"Obesity")</f>
        <v>Obesity</v>
      </c>
      <c r="S253" s="2">
        <f t="shared" si="3"/>
        <v>715.38461538461536</v>
      </c>
      <c r="T253" s="2" t="str" cm="1">
        <f t="array" ref="T253">_xlfn.IFS(N253&lt;=2.5,"Low",N253&lt;=3,"Medium",N253&gt;3,"High")</f>
        <v>Low</v>
      </c>
    </row>
    <row r="254" spans="1:20" x14ac:dyDescent="0.3">
      <c r="A254" s="2">
        <v>253</v>
      </c>
      <c r="B254" s="2" t="s">
        <v>27</v>
      </c>
      <c r="C254" s="2">
        <v>20</v>
      </c>
      <c r="D254" s="2" t="s">
        <v>16</v>
      </c>
      <c r="E254" s="2">
        <v>75.900000000000006</v>
      </c>
      <c r="F254" s="2">
        <v>1.73</v>
      </c>
      <c r="G254" s="2">
        <v>165</v>
      </c>
      <c r="H254" s="2">
        <v>152</v>
      </c>
      <c r="I254" s="2">
        <v>63</v>
      </c>
      <c r="J254" s="2">
        <v>1.39</v>
      </c>
      <c r="K254" s="2">
        <v>1056</v>
      </c>
      <c r="L254" s="2" t="s">
        <v>20</v>
      </c>
      <c r="M254" s="2">
        <v>30.6</v>
      </c>
      <c r="N254" s="2">
        <v>2.1</v>
      </c>
      <c r="O254" s="2">
        <v>4</v>
      </c>
      <c r="P254" s="2">
        <v>2</v>
      </c>
      <c r="Q254" s="2">
        <v>25.36</v>
      </c>
      <c r="R254" s="2" t="str" cm="1">
        <f t="array" ref="R254">_xlfn.IFS(Q254&lt;18.5,"Underweight",
AND(Q254&gt;=18.5,Q254&lt;25),"Normal Weight",
AND(Q254&gt;=25,Q254&lt;30),"Overweight",
Q254&gt;=30,"Obesity")</f>
        <v>Overweight</v>
      </c>
      <c r="S254" s="2">
        <f t="shared" si="3"/>
        <v>759.71223021582739</v>
      </c>
      <c r="T254" s="2" t="str" cm="1">
        <f t="array" ref="T254">_xlfn.IFS(N254&lt;=2.5,"Low",N254&lt;=3,"Medium",N254&gt;3,"High")</f>
        <v>Low</v>
      </c>
    </row>
    <row r="255" spans="1:20" x14ac:dyDescent="0.3">
      <c r="A255" s="2">
        <v>254</v>
      </c>
      <c r="B255" s="2" t="s">
        <v>23</v>
      </c>
      <c r="C255" s="2">
        <v>37</v>
      </c>
      <c r="D255" s="2" t="s">
        <v>16</v>
      </c>
      <c r="E255" s="2">
        <v>71.2</v>
      </c>
      <c r="F255" s="2">
        <v>1.64</v>
      </c>
      <c r="G255" s="2">
        <v>162</v>
      </c>
      <c r="H255" s="2">
        <v>120</v>
      </c>
      <c r="I255" s="2">
        <v>73</v>
      </c>
      <c r="J255" s="2">
        <v>1.1100000000000001</v>
      </c>
      <c r="K255" s="2">
        <v>666</v>
      </c>
      <c r="L255" s="2" t="s">
        <v>18</v>
      </c>
      <c r="M255" s="2">
        <v>29.9</v>
      </c>
      <c r="N255" s="2">
        <v>1.7</v>
      </c>
      <c r="O255" s="2">
        <v>3</v>
      </c>
      <c r="P255" s="2">
        <v>2</v>
      </c>
      <c r="Q255" s="2">
        <v>26.47</v>
      </c>
      <c r="R255" s="2" t="str" cm="1">
        <f t="array" ref="R255">_xlfn.IFS(Q255&lt;18.5,"Underweight",
AND(Q255&gt;=18.5,Q255&lt;25),"Normal Weight",
AND(Q255&gt;=25,Q255&lt;30),"Overweight",
Q255&gt;=30,"Obesity")</f>
        <v>Overweight</v>
      </c>
      <c r="S255" s="2">
        <f t="shared" si="3"/>
        <v>600</v>
      </c>
      <c r="T255" s="2" t="str" cm="1">
        <f t="array" ref="T255">_xlfn.IFS(N255&lt;=2.5,"Low",N255&lt;=3,"Medium",N255&gt;3,"High")</f>
        <v>Low</v>
      </c>
    </row>
    <row r="256" spans="1:20" x14ac:dyDescent="0.3">
      <c r="A256" s="2">
        <v>255</v>
      </c>
      <c r="B256" s="2" t="s">
        <v>22</v>
      </c>
      <c r="C256" s="2">
        <v>41</v>
      </c>
      <c r="D256" s="2" t="s">
        <v>15</v>
      </c>
      <c r="E256" s="2">
        <v>78.8</v>
      </c>
      <c r="F256" s="2">
        <v>1.72</v>
      </c>
      <c r="G256" s="2">
        <v>172</v>
      </c>
      <c r="H256" s="2">
        <v>132</v>
      </c>
      <c r="I256" s="2">
        <v>62</v>
      </c>
      <c r="J256" s="2">
        <v>1.01</v>
      </c>
      <c r="K256" s="2">
        <v>660</v>
      </c>
      <c r="L256" s="2" t="s">
        <v>19</v>
      </c>
      <c r="M256" s="2">
        <v>27.3</v>
      </c>
      <c r="N256" s="2">
        <v>3.1</v>
      </c>
      <c r="O256" s="2">
        <v>4</v>
      </c>
      <c r="P256" s="2">
        <v>2</v>
      </c>
      <c r="Q256" s="2">
        <v>26.64</v>
      </c>
      <c r="R256" s="2" t="str" cm="1">
        <f t="array" ref="R256">_xlfn.IFS(Q256&lt;18.5,"Underweight",
AND(Q256&gt;=18.5,Q256&lt;25),"Normal Weight",
AND(Q256&gt;=25,Q256&lt;30),"Overweight",
Q256&gt;=30,"Obesity")</f>
        <v>Overweight</v>
      </c>
      <c r="S256" s="2">
        <f t="shared" si="3"/>
        <v>653.46534653465346</v>
      </c>
      <c r="T256" s="2" t="str" cm="1">
        <f t="array" ref="T256">_xlfn.IFS(N256&lt;=2.5,"Low",N256&lt;=3,"Medium",N256&gt;3,"High")</f>
        <v>High</v>
      </c>
    </row>
    <row r="257" spans="1:20" x14ac:dyDescent="0.3">
      <c r="A257" s="2">
        <v>256</v>
      </c>
      <c r="B257" s="2" t="s">
        <v>26</v>
      </c>
      <c r="C257" s="2">
        <v>50</v>
      </c>
      <c r="D257" s="2" t="s">
        <v>15</v>
      </c>
      <c r="E257" s="2">
        <v>50.6</v>
      </c>
      <c r="F257" s="2">
        <v>1.69</v>
      </c>
      <c r="G257" s="2">
        <v>162</v>
      </c>
      <c r="H257" s="2">
        <v>156</v>
      </c>
      <c r="I257" s="2">
        <v>60</v>
      </c>
      <c r="J257" s="2">
        <v>1.31</v>
      </c>
      <c r="K257" s="2">
        <v>1012</v>
      </c>
      <c r="L257" s="2" t="s">
        <v>19</v>
      </c>
      <c r="M257" s="2">
        <v>23.8</v>
      </c>
      <c r="N257" s="2">
        <v>3</v>
      </c>
      <c r="O257" s="2">
        <v>2</v>
      </c>
      <c r="P257" s="2">
        <v>1</v>
      </c>
      <c r="Q257" s="2">
        <v>17.72</v>
      </c>
      <c r="R257" s="2" t="str" cm="1">
        <f t="array" ref="R257">_xlfn.IFS(Q257&lt;18.5,"Underweight",
AND(Q257&gt;=18.5,Q257&lt;25),"Normal Weight",
AND(Q257&gt;=25,Q257&lt;30),"Overweight",
Q257&gt;=30,"Obesity")</f>
        <v>Underweight</v>
      </c>
      <c r="S257" s="2">
        <f t="shared" si="3"/>
        <v>772.51908396946567</v>
      </c>
      <c r="T257" s="2" t="str" cm="1">
        <f t="array" ref="T257">_xlfn.IFS(N257&lt;=2.5,"Low",N257&lt;=3,"Medium",N257&gt;3,"High")</f>
        <v>Medium</v>
      </c>
    </row>
    <row r="258" spans="1:20" x14ac:dyDescent="0.3">
      <c r="A258" s="2">
        <v>257</v>
      </c>
      <c r="B258" s="2" t="s">
        <v>30</v>
      </c>
      <c r="C258" s="2">
        <v>41</v>
      </c>
      <c r="D258" s="2" t="s">
        <v>15</v>
      </c>
      <c r="E258" s="2">
        <v>82.5</v>
      </c>
      <c r="F258" s="2">
        <v>1.79</v>
      </c>
      <c r="G258" s="2">
        <v>185</v>
      </c>
      <c r="H258" s="2">
        <v>139</v>
      </c>
      <c r="I258" s="2">
        <v>61</v>
      </c>
      <c r="J258" s="2">
        <v>1.69</v>
      </c>
      <c r="K258" s="2">
        <v>1163</v>
      </c>
      <c r="L258" s="2" t="s">
        <v>19</v>
      </c>
      <c r="M258" s="2">
        <v>14.7</v>
      </c>
      <c r="N258" s="2">
        <v>3.5</v>
      </c>
      <c r="O258" s="2">
        <v>4</v>
      </c>
      <c r="P258" s="2">
        <v>3</v>
      </c>
      <c r="Q258" s="2">
        <v>25.75</v>
      </c>
      <c r="R258" s="2" t="str" cm="1">
        <f t="array" ref="R258">_xlfn.IFS(Q258&lt;18.5,"Underweight",
AND(Q258&gt;=18.5,Q258&lt;25),"Normal Weight",
AND(Q258&gt;=25,Q258&lt;30),"Overweight",
Q258&gt;=30,"Obesity")</f>
        <v>Overweight</v>
      </c>
      <c r="S258" s="2">
        <f t="shared" si="3"/>
        <v>688.16568047337284</v>
      </c>
      <c r="T258" s="2" t="str" cm="1">
        <f t="array" ref="T258">_xlfn.IFS(N258&lt;=2.5,"Low",N258&lt;=3,"Medium",N258&gt;3,"High")</f>
        <v>High</v>
      </c>
    </row>
    <row r="259" spans="1:20" x14ac:dyDescent="0.3">
      <c r="A259" s="2">
        <v>258</v>
      </c>
      <c r="B259" s="2" t="s">
        <v>26</v>
      </c>
      <c r="C259" s="2">
        <v>28</v>
      </c>
      <c r="D259" s="2" t="s">
        <v>15</v>
      </c>
      <c r="E259" s="2">
        <v>108.5</v>
      </c>
      <c r="F259" s="2">
        <v>1.79</v>
      </c>
      <c r="G259" s="2">
        <v>183</v>
      </c>
      <c r="H259" s="2">
        <v>120</v>
      </c>
      <c r="I259" s="2">
        <v>68</v>
      </c>
      <c r="J259" s="2">
        <v>1.33</v>
      </c>
      <c r="K259" s="2">
        <v>878</v>
      </c>
      <c r="L259" s="2" t="s">
        <v>18</v>
      </c>
      <c r="M259" s="2">
        <v>24.8</v>
      </c>
      <c r="N259" s="2">
        <v>2.1</v>
      </c>
      <c r="O259" s="2">
        <v>4</v>
      </c>
      <c r="P259" s="2">
        <v>2</v>
      </c>
      <c r="Q259" s="2">
        <v>33.86</v>
      </c>
      <c r="R259" s="2" t="str" cm="1">
        <f t="array" ref="R259">_xlfn.IFS(Q259&lt;18.5,"Underweight",
AND(Q259&gt;=18.5,Q259&lt;25),"Normal Weight",
AND(Q259&gt;=25,Q259&lt;30),"Overweight",
Q259&gt;=30,"Obesity")</f>
        <v>Obesity</v>
      </c>
      <c r="S259" s="2">
        <f t="shared" ref="S259:S322" si="4">K259/J259</f>
        <v>660.1503759398496</v>
      </c>
      <c r="T259" s="2" t="str" cm="1">
        <f t="array" ref="T259">_xlfn.IFS(N259&lt;=2.5,"Low",N259&lt;=3,"Medium",N259&gt;3,"High")</f>
        <v>Low</v>
      </c>
    </row>
    <row r="260" spans="1:20" x14ac:dyDescent="0.3">
      <c r="A260" s="2">
        <v>259</v>
      </c>
      <c r="B260" s="2" t="s">
        <v>30</v>
      </c>
      <c r="C260" s="2">
        <v>25</v>
      </c>
      <c r="D260" s="2" t="s">
        <v>15</v>
      </c>
      <c r="E260" s="2">
        <v>49.9</v>
      </c>
      <c r="F260" s="2">
        <v>1.98</v>
      </c>
      <c r="G260" s="2">
        <v>165</v>
      </c>
      <c r="H260" s="2">
        <v>122</v>
      </c>
      <c r="I260" s="2">
        <v>68</v>
      </c>
      <c r="J260" s="2">
        <v>1.1499999999999999</v>
      </c>
      <c r="K260" s="2">
        <v>772</v>
      </c>
      <c r="L260" s="2" t="s">
        <v>17</v>
      </c>
      <c r="M260" s="2">
        <v>25.7</v>
      </c>
      <c r="N260" s="2">
        <v>2.1</v>
      </c>
      <c r="O260" s="2">
        <v>3</v>
      </c>
      <c r="P260" s="2">
        <v>2</v>
      </c>
      <c r="Q260" s="2">
        <v>12.73</v>
      </c>
      <c r="R260" s="2" t="str" cm="1">
        <f t="array" ref="R260">_xlfn.IFS(Q260&lt;18.5,"Underweight",
AND(Q260&gt;=18.5,Q260&lt;25),"Normal Weight",
AND(Q260&gt;=25,Q260&lt;30),"Overweight",
Q260&gt;=30,"Obesity")</f>
        <v>Underweight</v>
      </c>
      <c r="S260" s="2">
        <f t="shared" si="4"/>
        <v>671.304347826087</v>
      </c>
      <c r="T260" s="2" t="str" cm="1">
        <f t="array" ref="T260">_xlfn.IFS(N260&lt;=2.5,"Low",N260&lt;=3,"Medium",N260&gt;3,"High")</f>
        <v>Low</v>
      </c>
    </row>
    <row r="261" spans="1:20" x14ac:dyDescent="0.3">
      <c r="A261" s="2">
        <v>260</v>
      </c>
      <c r="B261" s="2" t="s">
        <v>28</v>
      </c>
      <c r="C261" s="2">
        <v>53</v>
      </c>
      <c r="D261" s="2" t="s">
        <v>15</v>
      </c>
      <c r="E261" s="2">
        <v>125.1</v>
      </c>
      <c r="F261" s="2">
        <v>1.91</v>
      </c>
      <c r="G261" s="2">
        <v>171</v>
      </c>
      <c r="H261" s="2">
        <v>137</v>
      </c>
      <c r="I261" s="2">
        <v>70</v>
      </c>
      <c r="J261" s="2">
        <v>0.52</v>
      </c>
      <c r="K261" s="2">
        <v>353</v>
      </c>
      <c r="L261" s="2" t="s">
        <v>20</v>
      </c>
      <c r="M261" s="2">
        <v>28.3</v>
      </c>
      <c r="N261" s="2">
        <v>3.1</v>
      </c>
      <c r="O261" s="2">
        <v>2</v>
      </c>
      <c r="P261" s="2">
        <v>1</v>
      </c>
      <c r="Q261" s="2">
        <v>34.29</v>
      </c>
      <c r="R261" s="2" t="str" cm="1">
        <f t="array" ref="R261">_xlfn.IFS(Q261&lt;18.5,"Underweight",
AND(Q261&gt;=18.5,Q261&lt;25),"Normal Weight",
AND(Q261&gt;=25,Q261&lt;30),"Overweight",
Q261&gt;=30,"Obesity")</f>
        <v>Obesity</v>
      </c>
      <c r="S261" s="2">
        <f t="shared" si="4"/>
        <v>678.84615384615381</v>
      </c>
      <c r="T261" s="2" t="str" cm="1">
        <f t="array" ref="T261">_xlfn.IFS(N261&lt;=2.5,"Low",N261&lt;=3,"Medium",N261&gt;3,"High")</f>
        <v>High</v>
      </c>
    </row>
    <row r="262" spans="1:20" x14ac:dyDescent="0.3">
      <c r="A262" s="2">
        <v>261</v>
      </c>
      <c r="B262" s="2" t="s">
        <v>28</v>
      </c>
      <c r="C262" s="2">
        <v>55</v>
      </c>
      <c r="D262" s="2" t="s">
        <v>16</v>
      </c>
      <c r="E262" s="2">
        <v>79.7</v>
      </c>
      <c r="F262" s="2">
        <v>1.66</v>
      </c>
      <c r="G262" s="2">
        <v>195</v>
      </c>
      <c r="H262" s="2">
        <v>160</v>
      </c>
      <c r="I262" s="2">
        <v>68</v>
      </c>
      <c r="J262" s="2">
        <v>1.06</v>
      </c>
      <c r="K262" s="2">
        <v>763</v>
      </c>
      <c r="L262" s="2" t="s">
        <v>19</v>
      </c>
      <c r="M262" s="2">
        <v>27.8</v>
      </c>
      <c r="N262" s="2">
        <v>1.9</v>
      </c>
      <c r="O262" s="2">
        <v>2</v>
      </c>
      <c r="P262" s="2">
        <v>1</v>
      </c>
      <c r="Q262" s="2">
        <v>28.92</v>
      </c>
      <c r="R262" s="2" t="str" cm="1">
        <f t="array" ref="R262">_xlfn.IFS(Q262&lt;18.5,"Underweight",
AND(Q262&gt;=18.5,Q262&lt;25),"Normal Weight",
AND(Q262&gt;=25,Q262&lt;30),"Overweight",
Q262&gt;=30,"Obesity")</f>
        <v>Overweight</v>
      </c>
      <c r="S262" s="2">
        <f t="shared" si="4"/>
        <v>719.81132075471692</v>
      </c>
      <c r="T262" s="2" t="str" cm="1">
        <f t="array" ref="T262">_xlfn.IFS(N262&lt;=2.5,"Low",N262&lt;=3,"Medium",N262&gt;3,"High")</f>
        <v>Low</v>
      </c>
    </row>
    <row r="263" spans="1:20" x14ac:dyDescent="0.3">
      <c r="A263" s="2">
        <v>262</v>
      </c>
      <c r="B263" s="2" t="s">
        <v>28</v>
      </c>
      <c r="C263" s="2">
        <v>57</v>
      </c>
      <c r="D263" s="2" t="s">
        <v>15</v>
      </c>
      <c r="E263" s="2">
        <v>126.8</v>
      </c>
      <c r="F263" s="2">
        <v>1.63</v>
      </c>
      <c r="G263" s="2">
        <v>161</v>
      </c>
      <c r="H263" s="2">
        <v>133</v>
      </c>
      <c r="I263" s="2">
        <v>73</v>
      </c>
      <c r="J263" s="2">
        <v>0.96</v>
      </c>
      <c r="K263" s="2">
        <v>632</v>
      </c>
      <c r="L263" s="2" t="s">
        <v>17</v>
      </c>
      <c r="M263" s="2">
        <v>20.8</v>
      </c>
      <c r="N263" s="2">
        <v>2.1</v>
      </c>
      <c r="O263" s="2">
        <v>2</v>
      </c>
      <c r="P263" s="2">
        <v>1</v>
      </c>
      <c r="Q263" s="2">
        <v>47.72</v>
      </c>
      <c r="R263" s="2" t="str" cm="1">
        <f t="array" ref="R263">_xlfn.IFS(Q263&lt;18.5,"Underweight",
AND(Q263&gt;=18.5,Q263&lt;25),"Normal Weight",
AND(Q263&gt;=25,Q263&lt;30),"Overweight",
Q263&gt;=30,"Obesity")</f>
        <v>Obesity</v>
      </c>
      <c r="S263" s="2">
        <f t="shared" si="4"/>
        <v>658.33333333333337</v>
      </c>
      <c r="T263" s="2" t="str" cm="1">
        <f t="array" ref="T263">_xlfn.IFS(N263&lt;=2.5,"Low",N263&lt;=3,"Medium",N263&gt;3,"High")</f>
        <v>Low</v>
      </c>
    </row>
    <row r="264" spans="1:20" x14ac:dyDescent="0.3">
      <c r="A264" s="2">
        <v>263</v>
      </c>
      <c r="B264" s="2" t="s">
        <v>27</v>
      </c>
      <c r="C264" s="2">
        <v>37</v>
      </c>
      <c r="D264" s="2" t="s">
        <v>16</v>
      </c>
      <c r="E264" s="2">
        <v>54.6</v>
      </c>
      <c r="F264" s="2">
        <v>1.57</v>
      </c>
      <c r="G264" s="2">
        <v>170</v>
      </c>
      <c r="H264" s="2">
        <v>150</v>
      </c>
      <c r="I264" s="2">
        <v>62</v>
      </c>
      <c r="J264" s="2">
        <v>1.31</v>
      </c>
      <c r="K264" s="2">
        <v>982</v>
      </c>
      <c r="L264" s="2" t="s">
        <v>20</v>
      </c>
      <c r="M264" s="2">
        <v>32.1</v>
      </c>
      <c r="N264" s="2">
        <v>2.4</v>
      </c>
      <c r="O264" s="2">
        <v>3</v>
      </c>
      <c r="P264" s="2">
        <v>1</v>
      </c>
      <c r="Q264" s="2">
        <v>22.15</v>
      </c>
      <c r="R264" s="2" t="str" cm="1">
        <f t="array" ref="R264">_xlfn.IFS(Q264&lt;18.5,"Underweight",
AND(Q264&gt;=18.5,Q264&lt;25),"Normal Weight",
AND(Q264&gt;=25,Q264&lt;30),"Overweight",
Q264&gt;=30,"Obesity")</f>
        <v>Normal Weight</v>
      </c>
      <c r="S264" s="2">
        <f t="shared" si="4"/>
        <v>749.61832061068696</v>
      </c>
      <c r="T264" s="2" t="str" cm="1">
        <f t="array" ref="T264">_xlfn.IFS(N264&lt;=2.5,"Low",N264&lt;=3,"Medium",N264&gt;3,"High")</f>
        <v>Low</v>
      </c>
    </row>
    <row r="265" spans="1:20" x14ac:dyDescent="0.3">
      <c r="A265" s="2">
        <v>264</v>
      </c>
      <c r="B265" s="2" t="s">
        <v>26</v>
      </c>
      <c r="C265" s="2">
        <v>52</v>
      </c>
      <c r="D265" s="2" t="s">
        <v>16</v>
      </c>
      <c r="E265" s="2">
        <v>47.8</v>
      </c>
      <c r="F265" s="2">
        <v>1.54</v>
      </c>
      <c r="G265" s="2">
        <v>198</v>
      </c>
      <c r="H265" s="2">
        <v>146</v>
      </c>
      <c r="I265" s="2">
        <v>63</v>
      </c>
      <c r="J265" s="2">
        <v>1.34</v>
      </c>
      <c r="K265" s="2">
        <v>880</v>
      </c>
      <c r="L265" s="2" t="s">
        <v>19</v>
      </c>
      <c r="M265" s="2">
        <v>29.8</v>
      </c>
      <c r="N265" s="2">
        <v>1.9</v>
      </c>
      <c r="O265" s="2">
        <v>3</v>
      </c>
      <c r="P265" s="2">
        <v>2</v>
      </c>
      <c r="Q265" s="2">
        <v>20.16</v>
      </c>
      <c r="R265" s="2" t="str" cm="1">
        <f t="array" ref="R265">_xlfn.IFS(Q265&lt;18.5,"Underweight",
AND(Q265&gt;=18.5,Q265&lt;25),"Normal Weight",
AND(Q265&gt;=25,Q265&lt;30),"Overweight",
Q265&gt;=30,"Obesity")</f>
        <v>Normal Weight</v>
      </c>
      <c r="S265" s="2">
        <f t="shared" si="4"/>
        <v>656.71641791044772</v>
      </c>
      <c r="T265" s="2" t="str" cm="1">
        <f t="array" ref="T265">_xlfn.IFS(N265&lt;=2.5,"Low",N265&lt;=3,"Medium",N265&gt;3,"High")</f>
        <v>Low</v>
      </c>
    </row>
    <row r="266" spans="1:20" x14ac:dyDescent="0.3">
      <c r="A266" s="2">
        <v>265</v>
      </c>
      <c r="B266" s="2" t="s">
        <v>30</v>
      </c>
      <c r="C266" s="2">
        <v>42</v>
      </c>
      <c r="D266" s="2" t="s">
        <v>15</v>
      </c>
      <c r="E266" s="2">
        <v>97.9</v>
      </c>
      <c r="F266" s="2">
        <v>1.91</v>
      </c>
      <c r="G266" s="2">
        <v>193</v>
      </c>
      <c r="H266" s="2">
        <v>136</v>
      </c>
      <c r="I266" s="2">
        <v>73</v>
      </c>
      <c r="J266" s="2">
        <v>1.01</v>
      </c>
      <c r="K266" s="2">
        <v>680</v>
      </c>
      <c r="L266" s="2" t="s">
        <v>20</v>
      </c>
      <c r="M266" s="2">
        <v>29</v>
      </c>
      <c r="N266" s="2">
        <v>2.8</v>
      </c>
      <c r="O266" s="2">
        <v>3</v>
      </c>
      <c r="P266" s="2">
        <v>2</v>
      </c>
      <c r="Q266" s="2">
        <v>26.84</v>
      </c>
      <c r="R266" s="2" t="str" cm="1">
        <f t="array" ref="R266">_xlfn.IFS(Q266&lt;18.5,"Underweight",
AND(Q266&gt;=18.5,Q266&lt;25),"Normal Weight",
AND(Q266&gt;=25,Q266&lt;30),"Overweight",
Q266&gt;=30,"Obesity")</f>
        <v>Overweight</v>
      </c>
      <c r="S266" s="2">
        <f t="shared" si="4"/>
        <v>673.26732673267327</v>
      </c>
      <c r="T266" s="2" t="str" cm="1">
        <f t="array" ref="T266">_xlfn.IFS(N266&lt;=2.5,"Low",N266&lt;=3,"Medium",N266&gt;3,"High")</f>
        <v>Medium</v>
      </c>
    </row>
    <row r="267" spans="1:20" x14ac:dyDescent="0.3">
      <c r="A267" s="2">
        <v>266</v>
      </c>
      <c r="B267" s="2" t="s">
        <v>22</v>
      </c>
      <c r="C267" s="2">
        <v>52</v>
      </c>
      <c r="D267" s="2" t="s">
        <v>16</v>
      </c>
      <c r="E267" s="2">
        <v>63.1</v>
      </c>
      <c r="F267" s="2">
        <v>1.54</v>
      </c>
      <c r="G267" s="2">
        <v>185</v>
      </c>
      <c r="H267" s="2">
        <v>165</v>
      </c>
      <c r="I267" s="2">
        <v>67</v>
      </c>
      <c r="J267" s="2">
        <v>1.36</v>
      </c>
      <c r="K267" s="2">
        <v>1010</v>
      </c>
      <c r="L267" s="2" t="s">
        <v>20</v>
      </c>
      <c r="M267" s="2">
        <v>34.799999999999997</v>
      </c>
      <c r="N267" s="2">
        <v>1.8</v>
      </c>
      <c r="O267" s="2">
        <v>3</v>
      </c>
      <c r="P267" s="2">
        <v>2</v>
      </c>
      <c r="Q267" s="2">
        <v>26.61</v>
      </c>
      <c r="R267" s="2" t="str" cm="1">
        <f t="array" ref="R267">_xlfn.IFS(Q267&lt;18.5,"Underweight",
AND(Q267&gt;=18.5,Q267&lt;25),"Normal Weight",
AND(Q267&gt;=25,Q267&lt;30),"Overweight",
Q267&gt;=30,"Obesity")</f>
        <v>Overweight</v>
      </c>
      <c r="S267" s="2">
        <f t="shared" si="4"/>
        <v>742.64705882352939</v>
      </c>
      <c r="T267" s="2" t="str" cm="1">
        <f t="array" ref="T267">_xlfn.IFS(N267&lt;=2.5,"Low",N267&lt;=3,"Medium",N267&gt;3,"High")</f>
        <v>Low</v>
      </c>
    </row>
    <row r="268" spans="1:20" x14ac:dyDescent="0.3">
      <c r="A268" s="2">
        <v>267</v>
      </c>
      <c r="B268" s="2" t="s">
        <v>29</v>
      </c>
      <c r="C268" s="2">
        <v>42</v>
      </c>
      <c r="D268" s="2" t="s">
        <v>16</v>
      </c>
      <c r="E268" s="2">
        <v>72.400000000000006</v>
      </c>
      <c r="F268" s="2">
        <v>1.69</v>
      </c>
      <c r="G268" s="2">
        <v>177</v>
      </c>
      <c r="H268" s="2">
        <v>148</v>
      </c>
      <c r="I268" s="2">
        <v>61</v>
      </c>
      <c r="J268" s="2">
        <v>1.07</v>
      </c>
      <c r="K268" s="2">
        <v>713</v>
      </c>
      <c r="L268" s="2" t="s">
        <v>17</v>
      </c>
      <c r="M268" s="2">
        <v>29</v>
      </c>
      <c r="N268" s="2">
        <v>2.2999999999999998</v>
      </c>
      <c r="O268" s="2">
        <v>3</v>
      </c>
      <c r="P268" s="2">
        <v>2</v>
      </c>
      <c r="Q268" s="2">
        <v>25.35</v>
      </c>
      <c r="R268" s="2" t="str" cm="1">
        <f t="array" ref="R268">_xlfn.IFS(Q268&lt;18.5,"Underweight",
AND(Q268&gt;=18.5,Q268&lt;25),"Normal Weight",
AND(Q268&gt;=25,Q268&lt;30),"Overweight",
Q268&gt;=30,"Obesity")</f>
        <v>Overweight</v>
      </c>
      <c r="S268" s="2">
        <f t="shared" si="4"/>
        <v>666.35514018691583</v>
      </c>
      <c r="T268" s="2" t="str" cm="1">
        <f t="array" ref="T268">_xlfn.IFS(N268&lt;=2.5,"Low",N268&lt;=3,"Medium",N268&gt;3,"High")</f>
        <v>Low</v>
      </c>
    </row>
    <row r="269" spans="1:20" x14ac:dyDescent="0.3">
      <c r="A269" s="2">
        <v>268</v>
      </c>
      <c r="B269" s="2" t="s">
        <v>22</v>
      </c>
      <c r="C269" s="2">
        <v>46</v>
      </c>
      <c r="D269" s="2" t="s">
        <v>16</v>
      </c>
      <c r="E269" s="2">
        <v>58.9</v>
      </c>
      <c r="F269" s="2">
        <v>1.7</v>
      </c>
      <c r="G269" s="2">
        <v>180</v>
      </c>
      <c r="H269" s="2">
        <v>155</v>
      </c>
      <c r="I269" s="2">
        <v>53</v>
      </c>
      <c r="J269" s="2">
        <v>1.52</v>
      </c>
      <c r="K269" s="2">
        <v>1060</v>
      </c>
      <c r="L269" s="2" t="s">
        <v>20</v>
      </c>
      <c r="M269" s="2">
        <v>17.100000000000001</v>
      </c>
      <c r="N269" s="2">
        <v>2.7</v>
      </c>
      <c r="O269" s="2">
        <v>4</v>
      </c>
      <c r="P269" s="2">
        <v>3</v>
      </c>
      <c r="Q269" s="2">
        <v>20.38</v>
      </c>
      <c r="R269" s="2" t="str" cm="1">
        <f t="array" ref="R269">_xlfn.IFS(Q269&lt;18.5,"Underweight",
AND(Q269&gt;=18.5,Q269&lt;25),"Normal Weight",
AND(Q269&gt;=25,Q269&lt;30),"Overweight",
Q269&gt;=30,"Obesity")</f>
        <v>Normal Weight</v>
      </c>
      <c r="S269" s="2">
        <f t="shared" si="4"/>
        <v>697.36842105263156</v>
      </c>
      <c r="T269" s="2" t="str" cm="1">
        <f t="array" ref="T269">_xlfn.IFS(N269&lt;=2.5,"Low",N269&lt;=3,"Medium",N269&gt;3,"High")</f>
        <v>Medium</v>
      </c>
    </row>
    <row r="270" spans="1:20" x14ac:dyDescent="0.3">
      <c r="A270" s="2">
        <v>269</v>
      </c>
      <c r="B270" s="2" t="s">
        <v>29</v>
      </c>
      <c r="C270" s="2">
        <v>35</v>
      </c>
      <c r="D270" s="2" t="s">
        <v>16</v>
      </c>
      <c r="E270" s="2">
        <v>50.4</v>
      </c>
      <c r="F270" s="2">
        <v>1.6</v>
      </c>
      <c r="G270" s="2">
        <v>195</v>
      </c>
      <c r="H270" s="2">
        <v>156</v>
      </c>
      <c r="I270" s="2">
        <v>59</v>
      </c>
      <c r="J270" s="2">
        <v>1.03</v>
      </c>
      <c r="K270" s="2">
        <v>803</v>
      </c>
      <c r="L270" s="2" t="s">
        <v>19</v>
      </c>
      <c r="M270" s="2">
        <v>29.1</v>
      </c>
      <c r="N270" s="2">
        <v>1.9</v>
      </c>
      <c r="O270" s="2">
        <v>4</v>
      </c>
      <c r="P270" s="2">
        <v>2</v>
      </c>
      <c r="Q270" s="2">
        <v>19.690000000000001</v>
      </c>
      <c r="R270" s="2" t="str" cm="1">
        <f t="array" ref="R270">_xlfn.IFS(Q270&lt;18.5,"Underweight",
AND(Q270&gt;=18.5,Q270&lt;25),"Normal Weight",
AND(Q270&gt;=25,Q270&lt;30),"Overweight",
Q270&gt;=30,"Obesity")</f>
        <v>Normal Weight</v>
      </c>
      <c r="S270" s="2">
        <f t="shared" si="4"/>
        <v>779.61165048543683</v>
      </c>
      <c r="T270" s="2" t="str" cm="1">
        <f t="array" ref="T270">_xlfn.IFS(N270&lt;=2.5,"Low",N270&lt;=3,"Medium",N270&gt;3,"High")</f>
        <v>Low</v>
      </c>
    </row>
    <row r="271" spans="1:20" x14ac:dyDescent="0.3">
      <c r="A271" s="2">
        <v>270</v>
      </c>
      <c r="B271" s="2" t="s">
        <v>24</v>
      </c>
      <c r="C271" s="2">
        <v>35</v>
      </c>
      <c r="D271" s="2" t="s">
        <v>16</v>
      </c>
      <c r="E271" s="2">
        <v>64.2</v>
      </c>
      <c r="F271" s="2">
        <v>1.59</v>
      </c>
      <c r="G271" s="2">
        <v>199</v>
      </c>
      <c r="H271" s="2">
        <v>145</v>
      </c>
      <c r="I271" s="2">
        <v>66</v>
      </c>
      <c r="J271" s="2">
        <v>1.63</v>
      </c>
      <c r="K271" s="2">
        <v>1182</v>
      </c>
      <c r="L271" s="2" t="s">
        <v>17</v>
      </c>
      <c r="M271" s="2">
        <v>16.600000000000001</v>
      </c>
      <c r="N271" s="2">
        <v>2.7</v>
      </c>
      <c r="O271" s="2">
        <v>5</v>
      </c>
      <c r="P271" s="2">
        <v>3</v>
      </c>
      <c r="Q271" s="2">
        <v>25.39</v>
      </c>
      <c r="R271" s="2" t="str" cm="1">
        <f t="array" ref="R271">_xlfn.IFS(Q271&lt;18.5,"Underweight",
AND(Q271&gt;=18.5,Q271&lt;25),"Normal Weight",
AND(Q271&gt;=25,Q271&lt;30),"Overweight",
Q271&gt;=30,"Obesity")</f>
        <v>Overweight</v>
      </c>
      <c r="S271" s="2">
        <f t="shared" si="4"/>
        <v>725.15337423312883</v>
      </c>
      <c r="T271" s="2" t="str" cm="1">
        <f t="array" ref="T271">_xlfn.IFS(N271&lt;=2.5,"Low",N271&lt;=3,"Medium",N271&gt;3,"High")</f>
        <v>Medium</v>
      </c>
    </row>
    <row r="272" spans="1:20" x14ac:dyDescent="0.3">
      <c r="A272" s="2">
        <v>271</v>
      </c>
      <c r="B272" s="2" t="s">
        <v>22</v>
      </c>
      <c r="C272" s="2">
        <v>19</v>
      </c>
      <c r="D272" s="2" t="s">
        <v>16</v>
      </c>
      <c r="E272" s="2">
        <v>58.8</v>
      </c>
      <c r="F272" s="2">
        <v>1.77</v>
      </c>
      <c r="G272" s="2">
        <v>181</v>
      </c>
      <c r="H272" s="2">
        <v>136</v>
      </c>
      <c r="I272" s="2">
        <v>53</v>
      </c>
      <c r="J272" s="2">
        <v>1.4</v>
      </c>
      <c r="K272" s="2">
        <v>952</v>
      </c>
      <c r="L272" s="2" t="s">
        <v>18</v>
      </c>
      <c r="M272" s="2">
        <v>32.799999999999997</v>
      </c>
      <c r="N272" s="2">
        <v>2.7</v>
      </c>
      <c r="O272" s="2">
        <v>2</v>
      </c>
      <c r="P272" s="2">
        <v>1</v>
      </c>
      <c r="Q272" s="2">
        <v>18.77</v>
      </c>
      <c r="R272" s="2" t="str" cm="1">
        <f t="array" ref="R272">_xlfn.IFS(Q272&lt;18.5,"Underweight",
AND(Q272&gt;=18.5,Q272&lt;25),"Normal Weight",
AND(Q272&gt;=25,Q272&lt;30),"Overweight",
Q272&gt;=30,"Obesity")</f>
        <v>Normal Weight</v>
      </c>
      <c r="S272" s="2">
        <f t="shared" si="4"/>
        <v>680</v>
      </c>
      <c r="T272" s="2" t="str" cm="1">
        <f t="array" ref="T272">_xlfn.IFS(N272&lt;=2.5,"Low",N272&lt;=3,"Medium",N272&gt;3,"High")</f>
        <v>Medium</v>
      </c>
    </row>
    <row r="273" spans="1:20" x14ac:dyDescent="0.3">
      <c r="A273" s="2">
        <v>272</v>
      </c>
      <c r="B273" s="2" t="s">
        <v>23</v>
      </c>
      <c r="C273" s="2">
        <v>52</v>
      </c>
      <c r="D273" s="2" t="s">
        <v>15</v>
      </c>
      <c r="E273" s="2">
        <v>105.2</v>
      </c>
      <c r="F273" s="2">
        <v>1.62</v>
      </c>
      <c r="G273" s="2">
        <v>189</v>
      </c>
      <c r="H273" s="2">
        <v>141</v>
      </c>
      <c r="I273" s="2">
        <v>61</v>
      </c>
      <c r="J273" s="2">
        <v>1.36</v>
      </c>
      <c r="K273" s="2">
        <v>949</v>
      </c>
      <c r="L273" s="2" t="s">
        <v>18</v>
      </c>
      <c r="M273" s="2">
        <v>27.6</v>
      </c>
      <c r="N273" s="2">
        <v>3.2</v>
      </c>
      <c r="O273" s="2">
        <v>3</v>
      </c>
      <c r="P273" s="2">
        <v>1</v>
      </c>
      <c r="Q273" s="2">
        <v>40.090000000000003</v>
      </c>
      <c r="R273" s="2" t="str" cm="1">
        <f t="array" ref="R273">_xlfn.IFS(Q273&lt;18.5,"Underweight",
AND(Q273&gt;=18.5,Q273&lt;25),"Normal Weight",
AND(Q273&gt;=25,Q273&lt;30),"Overweight",
Q273&gt;=30,"Obesity")</f>
        <v>Obesity</v>
      </c>
      <c r="S273" s="2">
        <f t="shared" si="4"/>
        <v>697.79411764705878</v>
      </c>
      <c r="T273" s="2" t="str" cm="1">
        <f t="array" ref="T273">_xlfn.IFS(N273&lt;=2.5,"Low",N273&lt;=3,"Medium",N273&gt;3,"High")</f>
        <v>High</v>
      </c>
    </row>
    <row r="274" spans="1:20" x14ac:dyDescent="0.3">
      <c r="A274" s="2">
        <v>273</v>
      </c>
      <c r="B274" s="2" t="s">
        <v>23</v>
      </c>
      <c r="C274" s="2">
        <v>33</v>
      </c>
      <c r="D274" s="2" t="s">
        <v>16</v>
      </c>
      <c r="E274" s="2">
        <v>45.9</v>
      </c>
      <c r="F274" s="2">
        <v>1.5</v>
      </c>
      <c r="G274" s="2">
        <v>189</v>
      </c>
      <c r="H274" s="2">
        <v>144</v>
      </c>
      <c r="I274" s="2">
        <v>62</v>
      </c>
      <c r="J274" s="2">
        <v>0.92</v>
      </c>
      <c r="K274" s="2">
        <v>662</v>
      </c>
      <c r="L274" s="2" t="s">
        <v>17</v>
      </c>
      <c r="M274" s="2">
        <v>29.8</v>
      </c>
      <c r="N274" s="2">
        <v>1.7</v>
      </c>
      <c r="O274" s="2">
        <v>3</v>
      </c>
      <c r="P274" s="2">
        <v>1</v>
      </c>
      <c r="Q274" s="2">
        <v>20.399999999999999</v>
      </c>
      <c r="R274" s="2" t="str" cm="1">
        <f t="array" ref="R274">_xlfn.IFS(Q274&lt;18.5,"Underweight",
AND(Q274&gt;=18.5,Q274&lt;25),"Normal Weight",
AND(Q274&gt;=25,Q274&lt;30),"Overweight",
Q274&gt;=30,"Obesity")</f>
        <v>Normal Weight</v>
      </c>
      <c r="S274" s="2">
        <f t="shared" si="4"/>
        <v>719.56521739130437</v>
      </c>
      <c r="T274" s="2" t="str" cm="1">
        <f t="array" ref="T274">_xlfn.IFS(N274&lt;=2.5,"Low",N274&lt;=3,"Medium",N274&gt;3,"High")</f>
        <v>Low</v>
      </c>
    </row>
    <row r="275" spans="1:20" x14ac:dyDescent="0.3">
      <c r="A275" s="2">
        <v>274</v>
      </c>
      <c r="B275" s="2" t="s">
        <v>21</v>
      </c>
      <c r="C275" s="2">
        <v>58</v>
      </c>
      <c r="D275" s="2" t="s">
        <v>16</v>
      </c>
      <c r="E275" s="2">
        <v>65.2</v>
      </c>
      <c r="F275" s="2">
        <v>1.63</v>
      </c>
      <c r="G275" s="2">
        <v>167</v>
      </c>
      <c r="H275" s="2">
        <v>121</v>
      </c>
      <c r="I275" s="2">
        <v>53</v>
      </c>
      <c r="J275" s="2">
        <v>1.1200000000000001</v>
      </c>
      <c r="K275" s="2">
        <v>610</v>
      </c>
      <c r="L275" s="2" t="s">
        <v>18</v>
      </c>
      <c r="M275" s="2">
        <v>25.4</v>
      </c>
      <c r="N275" s="2">
        <v>2</v>
      </c>
      <c r="O275" s="2">
        <v>3</v>
      </c>
      <c r="P275" s="2">
        <v>2</v>
      </c>
      <c r="Q275" s="2">
        <v>24.54</v>
      </c>
      <c r="R275" s="2" t="str" cm="1">
        <f t="array" ref="R275">_xlfn.IFS(Q275&lt;18.5,"Underweight",
AND(Q275&gt;=18.5,Q275&lt;25),"Normal Weight",
AND(Q275&gt;=25,Q275&lt;30),"Overweight",
Q275&gt;=30,"Obesity")</f>
        <v>Normal Weight</v>
      </c>
      <c r="S275" s="2">
        <f t="shared" si="4"/>
        <v>544.64285714285711</v>
      </c>
      <c r="T275" s="2" t="str" cm="1">
        <f t="array" ref="T275">_xlfn.IFS(N275&lt;=2.5,"Low",N275&lt;=3,"Medium",N275&gt;3,"High")</f>
        <v>Low</v>
      </c>
    </row>
    <row r="276" spans="1:20" x14ac:dyDescent="0.3">
      <c r="A276" s="2">
        <v>275</v>
      </c>
      <c r="B276" s="2" t="s">
        <v>26</v>
      </c>
      <c r="C276" s="2">
        <v>53</v>
      </c>
      <c r="D276" s="2" t="s">
        <v>16</v>
      </c>
      <c r="E276" s="2">
        <v>56.3</v>
      </c>
      <c r="F276" s="2">
        <v>1.79</v>
      </c>
      <c r="G276" s="2">
        <v>193</v>
      </c>
      <c r="H276" s="2">
        <v>141</v>
      </c>
      <c r="I276" s="2">
        <v>59</v>
      </c>
      <c r="J276" s="2">
        <v>1.52</v>
      </c>
      <c r="K276" s="2">
        <v>964</v>
      </c>
      <c r="L276" s="2" t="s">
        <v>20</v>
      </c>
      <c r="M276" s="2">
        <v>16.5</v>
      </c>
      <c r="N276" s="2">
        <v>2.7</v>
      </c>
      <c r="O276" s="2">
        <v>5</v>
      </c>
      <c r="P276" s="2">
        <v>3</v>
      </c>
      <c r="Q276" s="2">
        <v>17.57</v>
      </c>
      <c r="R276" s="2" t="str" cm="1">
        <f t="array" ref="R276">_xlfn.IFS(Q276&lt;18.5,"Underweight",
AND(Q276&gt;=18.5,Q276&lt;25),"Normal Weight",
AND(Q276&gt;=25,Q276&lt;30),"Overweight",
Q276&gt;=30,"Obesity")</f>
        <v>Underweight</v>
      </c>
      <c r="S276" s="2">
        <f t="shared" si="4"/>
        <v>634.21052631578948</v>
      </c>
      <c r="T276" s="2" t="str" cm="1">
        <f t="array" ref="T276">_xlfn.IFS(N276&lt;=2.5,"Low",N276&lt;=3,"Medium",N276&gt;3,"High")</f>
        <v>Medium</v>
      </c>
    </row>
    <row r="277" spans="1:20" x14ac:dyDescent="0.3">
      <c r="A277" s="2">
        <v>276</v>
      </c>
      <c r="B277" s="2" t="s">
        <v>29</v>
      </c>
      <c r="C277" s="2">
        <v>50</v>
      </c>
      <c r="D277" s="2" t="s">
        <v>15</v>
      </c>
      <c r="E277" s="2">
        <v>90</v>
      </c>
      <c r="F277" s="2">
        <v>1.7</v>
      </c>
      <c r="G277" s="2">
        <v>168</v>
      </c>
      <c r="H277" s="2">
        <v>124</v>
      </c>
      <c r="I277" s="2">
        <v>74</v>
      </c>
      <c r="J277" s="2">
        <v>0.81</v>
      </c>
      <c r="K277" s="2">
        <v>497</v>
      </c>
      <c r="L277" s="2" t="s">
        <v>19</v>
      </c>
      <c r="M277" s="2">
        <v>22.9</v>
      </c>
      <c r="N277" s="2">
        <v>2.7</v>
      </c>
      <c r="O277" s="2">
        <v>2</v>
      </c>
      <c r="P277" s="2">
        <v>1</v>
      </c>
      <c r="Q277" s="2">
        <v>31.14</v>
      </c>
      <c r="R277" s="2" t="str" cm="1">
        <f t="array" ref="R277">_xlfn.IFS(Q277&lt;18.5,"Underweight",
AND(Q277&gt;=18.5,Q277&lt;25),"Normal Weight",
AND(Q277&gt;=25,Q277&lt;30),"Overweight",
Q277&gt;=30,"Obesity")</f>
        <v>Obesity</v>
      </c>
      <c r="S277" s="2">
        <f t="shared" si="4"/>
        <v>613.58024691358025</v>
      </c>
      <c r="T277" s="2" t="str" cm="1">
        <f t="array" ref="T277">_xlfn.IFS(N277&lt;=2.5,"Low",N277&lt;=3,"Medium",N277&gt;3,"High")</f>
        <v>Medium</v>
      </c>
    </row>
    <row r="278" spans="1:20" x14ac:dyDescent="0.3">
      <c r="A278" s="2">
        <v>277</v>
      </c>
      <c r="B278" s="2" t="s">
        <v>29</v>
      </c>
      <c r="C278" s="2">
        <v>21</v>
      </c>
      <c r="D278" s="2" t="s">
        <v>16</v>
      </c>
      <c r="E278" s="2">
        <v>60</v>
      </c>
      <c r="F278" s="2">
        <v>1.7</v>
      </c>
      <c r="G278" s="2">
        <v>179</v>
      </c>
      <c r="H278" s="2">
        <v>123</v>
      </c>
      <c r="I278" s="2">
        <v>52</v>
      </c>
      <c r="J278" s="2">
        <v>1.97</v>
      </c>
      <c r="K278" s="2">
        <v>1212</v>
      </c>
      <c r="L278" s="2" t="s">
        <v>20</v>
      </c>
      <c r="M278" s="2">
        <v>19.100000000000001</v>
      </c>
      <c r="N278" s="2">
        <v>2.7</v>
      </c>
      <c r="O278" s="2">
        <v>5</v>
      </c>
      <c r="P278" s="2">
        <v>3</v>
      </c>
      <c r="Q278" s="2">
        <v>20.76</v>
      </c>
      <c r="R278" s="2" t="str" cm="1">
        <f t="array" ref="R278">_xlfn.IFS(Q278&lt;18.5,"Underweight",
AND(Q278&gt;=18.5,Q278&lt;25),"Normal Weight",
AND(Q278&gt;=25,Q278&lt;30),"Overweight",
Q278&gt;=30,"Obesity")</f>
        <v>Normal Weight</v>
      </c>
      <c r="S278" s="2">
        <f t="shared" si="4"/>
        <v>615.2284263959391</v>
      </c>
      <c r="T278" s="2" t="str" cm="1">
        <f t="array" ref="T278">_xlfn.IFS(N278&lt;=2.5,"Low",N278&lt;=3,"Medium",N278&gt;3,"High")</f>
        <v>Medium</v>
      </c>
    </row>
    <row r="279" spans="1:20" x14ac:dyDescent="0.3">
      <c r="A279" s="2">
        <v>278</v>
      </c>
      <c r="B279" s="2" t="s">
        <v>26</v>
      </c>
      <c r="C279" s="2">
        <v>50</v>
      </c>
      <c r="D279" s="2" t="s">
        <v>15</v>
      </c>
      <c r="E279" s="2">
        <v>51.5</v>
      </c>
      <c r="F279" s="2">
        <v>1.71</v>
      </c>
      <c r="G279" s="2">
        <v>199</v>
      </c>
      <c r="H279" s="2">
        <v>155</v>
      </c>
      <c r="I279" s="2">
        <v>64</v>
      </c>
      <c r="J279" s="2">
        <v>1.48</v>
      </c>
      <c r="K279" s="2">
        <v>1136</v>
      </c>
      <c r="L279" s="2" t="s">
        <v>17</v>
      </c>
      <c r="M279" s="2">
        <v>20.9</v>
      </c>
      <c r="N279" s="2">
        <v>2.9</v>
      </c>
      <c r="O279" s="2">
        <v>2</v>
      </c>
      <c r="P279" s="2">
        <v>1</v>
      </c>
      <c r="Q279" s="2">
        <v>17.61</v>
      </c>
      <c r="R279" s="2" t="str" cm="1">
        <f t="array" ref="R279">_xlfn.IFS(Q279&lt;18.5,"Underweight",
AND(Q279&gt;=18.5,Q279&lt;25),"Normal Weight",
AND(Q279&gt;=25,Q279&lt;30),"Overweight",
Q279&gt;=30,"Obesity")</f>
        <v>Underweight</v>
      </c>
      <c r="S279" s="2">
        <f t="shared" si="4"/>
        <v>767.56756756756761</v>
      </c>
      <c r="T279" s="2" t="str" cm="1">
        <f t="array" ref="T279">_xlfn.IFS(N279&lt;=2.5,"Low",N279&lt;=3,"Medium",N279&gt;3,"High")</f>
        <v>Medium</v>
      </c>
    </row>
    <row r="280" spans="1:20" x14ac:dyDescent="0.3">
      <c r="A280" s="2">
        <v>279</v>
      </c>
      <c r="B280" s="2" t="s">
        <v>27</v>
      </c>
      <c r="C280" s="2">
        <v>31</v>
      </c>
      <c r="D280" s="2" t="s">
        <v>16</v>
      </c>
      <c r="E280" s="2">
        <v>63.1</v>
      </c>
      <c r="F280" s="2">
        <v>1.64</v>
      </c>
      <c r="G280" s="2">
        <v>184</v>
      </c>
      <c r="H280" s="2">
        <v>125</v>
      </c>
      <c r="I280" s="2">
        <v>51</v>
      </c>
      <c r="J280" s="2">
        <v>1.54</v>
      </c>
      <c r="K280" s="2">
        <v>962</v>
      </c>
      <c r="L280" s="2" t="s">
        <v>19</v>
      </c>
      <c r="M280" s="2">
        <v>19</v>
      </c>
      <c r="N280" s="2">
        <v>2.7</v>
      </c>
      <c r="O280" s="2">
        <v>4</v>
      </c>
      <c r="P280" s="2">
        <v>3</v>
      </c>
      <c r="Q280" s="2">
        <v>23.46</v>
      </c>
      <c r="R280" s="2" t="str" cm="1">
        <f t="array" ref="R280">_xlfn.IFS(Q280&lt;18.5,"Underweight",
AND(Q280&gt;=18.5,Q280&lt;25),"Normal Weight",
AND(Q280&gt;=25,Q280&lt;30),"Overweight",
Q280&gt;=30,"Obesity")</f>
        <v>Normal Weight</v>
      </c>
      <c r="S280" s="2">
        <f t="shared" si="4"/>
        <v>624.67532467532465</v>
      </c>
      <c r="T280" s="2" t="str" cm="1">
        <f t="array" ref="T280">_xlfn.IFS(N280&lt;=2.5,"Low",N280&lt;=3,"Medium",N280&gt;3,"High")</f>
        <v>Medium</v>
      </c>
    </row>
    <row r="281" spans="1:20" x14ac:dyDescent="0.3">
      <c r="A281" s="2">
        <v>280</v>
      </c>
      <c r="B281" s="2" t="s">
        <v>21</v>
      </c>
      <c r="C281" s="2">
        <v>38</v>
      </c>
      <c r="D281" s="2" t="s">
        <v>15</v>
      </c>
      <c r="E281" s="2">
        <v>91.5</v>
      </c>
      <c r="F281" s="2">
        <v>1.77</v>
      </c>
      <c r="G281" s="2">
        <v>178</v>
      </c>
      <c r="H281" s="2">
        <v>140</v>
      </c>
      <c r="I281" s="2">
        <v>74</v>
      </c>
      <c r="J281" s="2">
        <v>0.8</v>
      </c>
      <c r="K281" s="2">
        <v>616</v>
      </c>
      <c r="L281" s="2" t="s">
        <v>17</v>
      </c>
      <c r="M281" s="2">
        <v>26.7</v>
      </c>
      <c r="N281" s="2">
        <v>3.4</v>
      </c>
      <c r="O281" s="2">
        <v>2</v>
      </c>
      <c r="P281" s="2">
        <v>1</v>
      </c>
      <c r="Q281" s="2">
        <v>29.21</v>
      </c>
      <c r="R281" s="2" t="str" cm="1">
        <f t="array" ref="R281">_xlfn.IFS(Q281&lt;18.5,"Underweight",
AND(Q281&gt;=18.5,Q281&lt;25),"Normal Weight",
AND(Q281&gt;=25,Q281&lt;30),"Overweight",
Q281&gt;=30,"Obesity")</f>
        <v>Overweight</v>
      </c>
      <c r="S281" s="2">
        <f t="shared" si="4"/>
        <v>770</v>
      </c>
      <c r="T281" s="2" t="str" cm="1">
        <f t="array" ref="T281">_xlfn.IFS(N281&lt;=2.5,"Low",N281&lt;=3,"Medium",N281&gt;3,"High")</f>
        <v>High</v>
      </c>
    </row>
    <row r="282" spans="1:20" x14ac:dyDescent="0.3">
      <c r="A282" s="2">
        <v>281</v>
      </c>
      <c r="B282" s="2" t="s">
        <v>27</v>
      </c>
      <c r="C282" s="2">
        <v>37</v>
      </c>
      <c r="D282" s="2" t="s">
        <v>15</v>
      </c>
      <c r="E282" s="2">
        <v>48.7</v>
      </c>
      <c r="F282" s="2">
        <v>1.67</v>
      </c>
      <c r="G282" s="2">
        <v>164</v>
      </c>
      <c r="H282" s="2">
        <v>132</v>
      </c>
      <c r="I282" s="2">
        <v>74</v>
      </c>
      <c r="J282" s="2">
        <v>1.39</v>
      </c>
      <c r="K282" s="2">
        <v>1009</v>
      </c>
      <c r="L282" s="2" t="s">
        <v>17</v>
      </c>
      <c r="M282" s="2">
        <v>27.3</v>
      </c>
      <c r="N282" s="2">
        <v>3</v>
      </c>
      <c r="O282" s="2">
        <v>2</v>
      </c>
      <c r="P282" s="2">
        <v>1</v>
      </c>
      <c r="Q282" s="2">
        <v>17.46</v>
      </c>
      <c r="R282" s="2" t="str" cm="1">
        <f t="array" ref="R282">_xlfn.IFS(Q282&lt;18.5,"Underweight",
AND(Q282&gt;=18.5,Q282&lt;25),"Normal Weight",
AND(Q282&gt;=25,Q282&lt;30),"Overweight",
Q282&gt;=30,"Obesity")</f>
        <v>Underweight</v>
      </c>
      <c r="S282" s="2">
        <f t="shared" si="4"/>
        <v>725.89928057553959</v>
      </c>
      <c r="T282" s="2" t="str" cm="1">
        <f t="array" ref="T282">_xlfn.IFS(N282&lt;=2.5,"Low",N282&lt;=3,"Medium",N282&gt;3,"High")</f>
        <v>Medium</v>
      </c>
    </row>
    <row r="283" spans="1:20" x14ac:dyDescent="0.3">
      <c r="A283" s="2">
        <v>282</v>
      </c>
      <c r="B283" s="2" t="s">
        <v>27</v>
      </c>
      <c r="C283" s="2">
        <v>25</v>
      </c>
      <c r="D283" s="2" t="s">
        <v>16</v>
      </c>
      <c r="E283" s="2">
        <v>57.8</v>
      </c>
      <c r="F283" s="2">
        <v>1.56</v>
      </c>
      <c r="G283" s="2">
        <v>170</v>
      </c>
      <c r="H283" s="2">
        <v>156</v>
      </c>
      <c r="I283" s="2">
        <v>66</v>
      </c>
      <c r="J283" s="2">
        <v>1.35</v>
      </c>
      <c r="K283" s="2">
        <v>1053</v>
      </c>
      <c r="L283" s="2" t="s">
        <v>17</v>
      </c>
      <c r="M283" s="2">
        <v>29.3</v>
      </c>
      <c r="N283" s="2">
        <v>1.6</v>
      </c>
      <c r="O283" s="2">
        <v>3</v>
      </c>
      <c r="P283" s="2">
        <v>2</v>
      </c>
      <c r="Q283" s="2">
        <v>23.75</v>
      </c>
      <c r="R283" s="2" t="str" cm="1">
        <f t="array" ref="R283">_xlfn.IFS(Q283&lt;18.5,"Underweight",
AND(Q283&gt;=18.5,Q283&lt;25),"Normal Weight",
AND(Q283&gt;=25,Q283&lt;30),"Overweight",
Q283&gt;=30,"Obesity")</f>
        <v>Normal Weight</v>
      </c>
      <c r="S283" s="2">
        <f t="shared" si="4"/>
        <v>780</v>
      </c>
      <c r="T283" s="2" t="str" cm="1">
        <f t="array" ref="T283">_xlfn.IFS(N283&lt;=2.5,"Low",N283&lt;=3,"Medium",N283&gt;3,"High")</f>
        <v>Low</v>
      </c>
    </row>
    <row r="284" spans="1:20" x14ac:dyDescent="0.3">
      <c r="A284" s="2">
        <v>283</v>
      </c>
      <c r="B284" s="2" t="s">
        <v>27</v>
      </c>
      <c r="C284" s="2">
        <v>24</v>
      </c>
      <c r="D284" s="2" t="s">
        <v>16</v>
      </c>
      <c r="E284" s="2">
        <v>42</v>
      </c>
      <c r="F284" s="2">
        <v>1.75</v>
      </c>
      <c r="G284" s="2">
        <v>174</v>
      </c>
      <c r="H284" s="2">
        <v>144</v>
      </c>
      <c r="I284" s="2">
        <v>55</v>
      </c>
      <c r="J284" s="2">
        <v>0.83</v>
      </c>
      <c r="K284" s="2">
        <v>598</v>
      </c>
      <c r="L284" s="2" t="s">
        <v>20</v>
      </c>
      <c r="M284" s="2">
        <v>31.8</v>
      </c>
      <c r="N284" s="2">
        <v>2.2999999999999998</v>
      </c>
      <c r="O284" s="2">
        <v>3</v>
      </c>
      <c r="P284" s="2">
        <v>1</v>
      </c>
      <c r="Q284" s="2">
        <v>13.71</v>
      </c>
      <c r="R284" s="2" t="str" cm="1">
        <f t="array" ref="R284">_xlfn.IFS(Q284&lt;18.5,"Underweight",
AND(Q284&gt;=18.5,Q284&lt;25),"Normal Weight",
AND(Q284&gt;=25,Q284&lt;30),"Overweight",
Q284&gt;=30,"Obesity")</f>
        <v>Underweight</v>
      </c>
      <c r="S284" s="2">
        <f t="shared" si="4"/>
        <v>720.48192771084337</v>
      </c>
      <c r="T284" s="2" t="str" cm="1">
        <f t="array" ref="T284">_xlfn.IFS(N284&lt;=2.5,"Low",N284&lt;=3,"Medium",N284&gt;3,"High")</f>
        <v>Low</v>
      </c>
    </row>
    <row r="285" spans="1:20" x14ac:dyDescent="0.3">
      <c r="A285" s="2">
        <v>284</v>
      </c>
      <c r="B285" s="2" t="s">
        <v>26</v>
      </c>
      <c r="C285" s="2">
        <v>20</v>
      </c>
      <c r="D285" s="2" t="s">
        <v>15</v>
      </c>
      <c r="E285" s="2">
        <v>128.4</v>
      </c>
      <c r="F285" s="2">
        <v>1.92</v>
      </c>
      <c r="G285" s="2">
        <v>167</v>
      </c>
      <c r="H285" s="2">
        <v>145</v>
      </c>
      <c r="I285" s="2">
        <v>57</v>
      </c>
      <c r="J285" s="2">
        <v>0.63</v>
      </c>
      <c r="K285" s="2">
        <v>502</v>
      </c>
      <c r="L285" s="2" t="s">
        <v>19</v>
      </c>
      <c r="M285" s="2">
        <v>26.1</v>
      </c>
      <c r="N285" s="2">
        <v>2</v>
      </c>
      <c r="O285" s="2">
        <v>2</v>
      </c>
      <c r="P285" s="2">
        <v>1</v>
      </c>
      <c r="Q285" s="2">
        <v>34.83</v>
      </c>
      <c r="R285" s="2" t="str" cm="1">
        <f t="array" ref="R285">_xlfn.IFS(Q285&lt;18.5,"Underweight",
AND(Q285&gt;=18.5,Q285&lt;25),"Normal Weight",
AND(Q285&gt;=25,Q285&lt;30),"Overweight",
Q285&gt;=30,"Obesity")</f>
        <v>Obesity</v>
      </c>
      <c r="S285" s="2">
        <f t="shared" si="4"/>
        <v>796.82539682539687</v>
      </c>
      <c r="T285" s="2" t="str" cm="1">
        <f t="array" ref="T285">_xlfn.IFS(N285&lt;=2.5,"Low",N285&lt;=3,"Medium",N285&gt;3,"High")</f>
        <v>Low</v>
      </c>
    </row>
    <row r="286" spans="1:20" x14ac:dyDescent="0.3">
      <c r="A286" s="2">
        <v>285</v>
      </c>
      <c r="B286" s="2" t="s">
        <v>27</v>
      </c>
      <c r="C286" s="2">
        <v>34</v>
      </c>
      <c r="D286" s="2" t="s">
        <v>16</v>
      </c>
      <c r="E286" s="2">
        <v>74.2</v>
      </c>
      <c r="F286" s="2">
        <v>1.57</v>
      </c>
      <c r="G286" s="2">
        <v>178</v>
      </c>
      <c r="H286" s="2">
        <v>158</v>
      </c>
      <c r="I286" s="2">
        <v>52</v>
      </c>
      <c r="J286" s="2">
        <v>1.47</v>
      </c>
      <c r="K286" s="2">
        <v>1161</v>
      </c>
      <c r="L286" s="2" t="s">
        <v>19</v>
      </c>
      <c r="M286" s="2">
        <v>32.700000000000003</v>
      </c>
      <c r="N286" s="2">
        <v>2.4</v>
      </c>
      <c r="O286" s="2">
        <v>3</v>
      </c>
      <c r="P286" s="2">
        <v>1</v>
      </c>
      <c r="Q286" s="2">
        <v>30.1</v>
      </c>
      <c r="R286" s="2" t="str" cm="1">
        <f t="array" ref="R286">_xlfn.IFS(Q286&lt;18.5,"Underweight",
AND(Q286&gt;=18.5,Q286&lt;25),"Normal Weight",
AND(Q286&gt;=25,Q286&lt;30),"Overweight",
Q286&gt;=30,"Obesity")</f>
        <v>Obesity</v>
      </c>
      <c r="S286" s="2">
        <f t="shared" si="4"/>
        <v>789.79591836734699</v>
      </c>
      <c r="T286" s="2" t="str" cm="1">
        <f t="array" ref="T286">_xlfn.IFS(N286&lt;=2.5,"Low",N286&lt;=3,"Medium",N286&gt;3,"High")</f>
        <v>Low</v>
      </c>
    </row>
    <row r="287" spans="1:20" x14ac:dyDescent="0.3">
      <c r="A287" s="2">
        <v>286</v>
      </c>
      <c r="B287" s="2" t="s">
        <v>23</v>
      </c>
      <c r="C287" s="2">
        <v>50</v>
      </c>
      <c r="D287" s="2" t="s">
        <v>15</v>
      </c>
      <c r="E287" s="2">
        <v>89.6</v>
      </c>
      <c r="F287" s="2">
        <v>1.68</v>
      </c>
      <c r="G287" s="2">
        <v>182</v>
      </c>
      <c r="H287" s="2">
        <v>139</v>
      </c>
      <c r="I287" s="2">
        <v>74</v>
      </c>
      <c r="J287" s="2">
        <v>1.79</v>
      </c>
      <c r="K287" s="2">
        <v>1232</v>
      </c>
      <c r="L287" s="2" t="s">
        <v>19</v>
      </c>
      <c r="M287" s="2">
        <v>12.2</v>
      </c>
      <c r="N287" s="2">
        <v>3.5</v>
      </c>
      <c r="O287" s="2">
        <v>5</v>
      </c>
      <c r="P287" s="2">
        <v>3</v>
      </c>
      <c r="Q287" s="2">
        <v>31.75</v>
      </c>
      <c r="R287" s="2" t="str" cm="1">
        <f t="array" ref="R287">_xlfn.IFS(Q287&lt;18.5,"Underweight",
AND(Q287&gt;=18.5,Q287&lt;25),"Normal Weight",
AND(Q287&gt;=25,Q287&lt;30),"Overweight",
Q287&gt;=30,"Obesity")</f>
        <v>Obesity</v>
      </c>
      <c r="S287" s="2">
        <f t="shared" si="4"/>
        <v>688.26815642458098</v>
      </c>
      <c r="T287" s="2" t="str" cm="1">
        <f t="array" ref="T287">_xlfn.IFS(N287&lt;=2.5,"Low",N287&lt;=3,"Medium",N287&gt;3,"High")</f>
        <v>High</v>
      </c>
    </row>
    <row r="288" spans="1:20" x14ac:dyDescent="0.3">
      <c r="A288" s="2">
        <v>287</v>
      </c>
      <c r="B288" s="2" t="s">
        <v>28</v>
      </c>
      <c r="C288" s="2">
        <v>29</v>
      </c>
      <c r="D288" s="2" t="s">
        <v>15</v>
      </c>
      <c r="E288" s="2">
        <v>125.9</v>
      </c>
      <c r="F288" s="2">
        <v>2</v>
      </c>
      <c r="G288" s="2">
        <v>186</v>
      </c>
      <c r="H288" s="2">
        <v>152</v>
      </c>
      <c r="I288" s="2">
        <v>67</v>
      </c>
      <c r="J288" s="2">
        <v>1.36</v>
      </c>
      <c r="K288" s="2">
        <v>1137</v>
      </c>
      <c r="L288" s="2" t="s">
        <v>20</v>
      </c>
      <c r="M288" s="2">
        <v>24.7</v>
      </c>
      <c r="N288" s="2">
        <v>3.1</v>
      </c>
      <c r="O288" s="2">
        <v>4</v>
      </c>
      <c r="P288" s="2">
        <v>2</v>
      </c>
      <c r="Q288" s="2">
        <v>31.48</v>
      </c>
      <c r="R288" s="2" t="str" cm="1">
        <f t="array" ref="R288">_xlfn.IFS(Q288&lt;18.5,"Underweight",
AND(Q288&gt;=18.5,Q288&lt;25),"Normal Weight",
AND(Q288&gt;=25,Q288&lt;30),"Overweight",
Q288&gt;=30,"Obesity")</f>
        <v>Obesity</v>
      </c>
      <c r="S288" s="2">
        <f t="shared" si="4"/>
        <v>836.02941176470586</v>
      </c>
      <c r="T288" s="2" t="str" cm="1">
        <f t="array" ref="T288">_xlfn.IFS(N288&lt;=2.5,"Low",N288&lt;=3,"Medium",N288&gt;3,"High")</f>
        <v>High</v>
      </c>
    </row>
    <row r="289" spans="1:20" x14ac:dyDescent="0.3">
      <c r="A289" s="2">
        <v>288</v>
      </c>
      <c r="B289" s="2" t="s">
        <v>24</v>
      </c>
      <c r="C289" s="2">
        <v>39</v>
      </c>
      <c r="D289" s="2" t="s">
        <v>15</v>
      </c>
      <c r="E289" s="2">
        <v>105.5</v>
      </c>
      <c r="F289" s="2">
        <v>1.99</v>
      </c>
      <c r="G289" s="2">
        <v>199</v>
      </c>
      <c r="H289" s="2">
        <v>133</v>
      </c>
      <c r="I289" s="2">
        <v>71</v>
      </c>
      <c r="J289" s="2">
        <v>0.81</v>
      </c>
      <c r="K289" s="2">
        <v>593</v>
      </c>
      <c r="L289" s="2" t="s">
        <v>18</v>
      </c>
      <c r="M289" s="2">
        <v>26.4</v>
      </c>
      <c r="N289" s="2">
        <v>2.5</v>
      </c>
      <c r="O289" s="2">
        <v>2</v>
      </c>
      <c r="P289" s="2">
        <v>1</v>
      </c>
      <c r="Q289" s="2">
        <v>26.64</v>
      </c>
      <c r="R289" s="2" t="str" cm="1">
        <f t="array" ref="R289">_xlfn.IFS(Q289&lt;18.5,"Underweight",
AND(Q289&gt;=18.5,Q289&lt;25),"Normal Weight",
AND(Q289&gt;=25,Q289&lt;30),"Overweight",
Q289&gt;=30,"Obesity")</f>
        <v>Overweight</v>
      </c>
      <c r="S289" s="2">
        <f t="shared" si="4"/>
        <v>732.09876543209873</v>
      </c>
      <c r="T289" s="2" t="str" cm="1">
        <f t="array" ref="T289">_xlfn.IFS(N289&lt;=2.5,"Low",N289&lt;=3,"Medium",N289&gt;3,"High")</f>
        <v>Low</v>
      </c>
    </row>
    <row r="290" spans="1:20" x14ac:dyDescent="0.3">
      <c r="A290" s="2">
        <v>289</v>
      </c>
      <c r="B290" s="2" t="s">
        <v>29</v>
      </c>
      <c r="C290" s="2">
        <v>39</v>
      </c>
      <c r="D290" s="2" t="s">
        <v>15</v>
      </c>
      <c r="E290" s="2">
        <v>93.4</v>
      </c>
      <c r="F290" s="2">
        <v>1.7</v>
      </c>
      <c r="G290" s="2">
        <v>191</v>
      </c>
      <c r="H290" s="2">
        <v>155</v>
      </c>
      <c r="I290" s="2">
        <v>50</v>
      </c>
      <c r="J290" s="2">
        <v>1.1000000000000001</v>
      </c>
      <c r="K290" s="2">
        <v>938</v>
      </c>
      <c r="L290" s="2" t="s">
        <v>20</v>
      </c>
      <c r="M290" s="2">
        <v>21.1</v>
      </c>
      <c r="N290" s="2">
        <v>2.5</v>
      </c>
      <c r="O290" s="2">
        <v>4</v>
      </c>
      <c r="P290" s="2">
        <v>2</v>
      </c>
      <c r="Q290" s="2">
        <v>32.32</v>
      </c>
      <c r="R290" s="2" t="str" cm="1">
        <f t="array" ref="R290">_xlfn.IFS(Q290&lt;18.5,"Underweight",
AND(Q290&gt;=18.5,Q290&lt;25),"Normal Weight",
AND(Q290&gt;=25,Q290&lt;30),"Overweight",
Q290&gt;=30,"Obesity")</f>
        <v>Obesity</v>
      </c>
      <c r="S290" s="2">
        <f t="shared" si="4"/>
        <v>852.72727272727263</v>
      </c>
      <c r="T290" s="2" t="str" cm="1">
        <f t="array" ref="T290">_xlfn.IFS(N290&lt;=2.5,"Low",N290&lt;=3,"Medium",N290&gt;3,"High")</f>
        <v>Low</v>
      </c>
    </row>
    <row r="291" spans="1:20" x14ac:dyDescent="0.3">
      <c r="A291" s="2">
        <v>290</v>
      </c>
      <c r="B291" s="2" t="s">
        <v>29</v>
      </c>
      <c r="C291" s="2">
        <v>47</v>
      </c>
      <c r="D291" s="2" t="s">
        <v>15</v>
      </c>
      <c r="E291" s="2">
        <v>82.1</v>
      </c>
      <c r="F291" s="2">
        <v>1.84</v>
      </c>
      <c r="G291" s="2">
        <v>185</v>
      </c>
      <c r="H291" s="2">
        <v>136</v>
      </c>
      <c r="I291" s="2">
        <v>65</v>
      </c>
      <c r="J291" s="2">
        <v>1.37</v>
      </c>
      <c r="K291" s="2">
        <v>922</v>
      </c>
      <c r="L291" s="2" t="s">
        <v>20</v>
      </c>
      <c r="M291" s="2">
        <v>24.4</v>
      </c>
      <c r="N291" s="2">
        <v>3.4</v>
      </c>
      <c r="O291" s="2">
        <v>4</v>
      </c>
      <c r="P291" s="2">
        <v>2</v>
      </c>
      <c r="Q291" s="2">
        <v>24.25</v>
      </c>
      <c r="R291" s="2" t="str" cm="1">
        <f t="array" ref="R291">_xlfn.IFS(Q291&lt;18.5,"Underweight",
AND(Q291&gt;=18.5,Q291&lt;25),"Normal Weight",
AND(Q291&gt;=25,Q291&lt;30),"Overweight",
Q291&gt;=30,"Obesity")</f>
        <v>Normal Weight</v>
      </c>
      <c r="S291" s="2">
        <f t="shared" si="4"/>
        <v>672.99270072992692</v>
      </c>
      <c r="T291" s="2" t="str" cm="1">
        <f t="array" ref="T291">_xlfn.IFS(N291&lt;=2.5,"Low",N291&lt;=3,"Medium",N291&gt;3,"High")</f>
        <v>High</v>
      </c>
    </row>
    <row r="292" spans="1:20" x14ac:dyDescent="0.3">
      <c r="A292" s="2">
        <v>291</v>
      </c>
      <c r="B292" s="2" t="s">
        <v>24</v>
      </c>
      <c r="C292" s="2">
        <v>55</v>
      </c>
      <c r="D292" s="2" t="s">
        <v>16</v>
      </c>
      <c r="E292" s="2">
        <v>42.9</v>
      </c>
      <c r="F292" s="2">
        <v>1.69</v>
      </c>
      <c r="G292" s="2">
        <v>186</v>
      </c>
      <c r="H292" s="2">
        <v>140</v>
      </c>
      <c r="I292" s="2">
        <v>56</v>
      </c>
      <c r="J292" s="2">
        <v>0.9</v>
      </c>
      <c r="K292" s="2">
        <v>567</v>
      </c>
      <c r="L292" s="2" t="s">
        <v>17</v>
      </c>
      <c r="M292" s="2">
        <v>34.700000000000003</v>
      </c>
      <c r="N292" s="2">
        <v>2.4</v>
      </c>
      <c r="O292" s="2">
        <v>2</v>
      </c>
      <c r="P292" s="2">
        <v>1</v>
      </c>
      <c r="Q292" s="2">
        <v>15.02</v>
      </c>
      <c r="R292" s="2" t="str" cm="1">
        <f t="array" ref="R292">_xlfn.IFS(Q292&lt;18.5,"Underweight",
AND(Q292&gt;=18.5,Q292&lt;25),"Normal Weight",
AND(Q292&gt;=25,Q292&lt;30),"Overweight",
Q292&gt;=30,"Obesity")</f>
        <v>Underweight</v>
      </c>
      <c r="S292" s="2">
        <f t="shared" si="4"/>
        <v>630</v>
      </c>
      <c r="T292" s="2" t="str" cm="1">
        <f t="array" ref="T292">_xlfn.IFS(N292&lt;=2.5,"Low",N292&lt;=3,"Medium",N292&gt;3,"High")</f>
        <v>Low</v>
      </c>
    </row>
    <row r="293" spans="1:20" x14ac:dyDescent="0.3">
      <c r="A293" s="2">
        <v>292</v>
      </c>
      <c r="B293" s="2" t="s">
        <v>26</v>
      </c>
      <c r="C293" s="2">
        <v>55</v>
      </c>
      <c r="D293" s="2" t="s">
        <v>15</v>
      </c>
      <c r="E293" s="2">
        <v>128.4</v>
      </c>
      <c r="F293" s="2">
        <v>1.68</v>
      </c>
      <c r="G293" s="2">
        <v>178</v>
      </c>
      <c r="H293" s="2">
        <v>165</v>
      </c>
      <c r="I293" s="2">
        <v>52</v>
      </c>
      <c r="J293" s="2">
        <v>1.1299999999999999</v>
      </c>
      <c r="K293" s="2">
        <v>923</v>
      </c>
      <c r="L293" s="2" t="s">
        <v>19</v>
      </c>
      <c r="M293" s="2">
        <v>20.399999999999999</v>
      </c>
      <c r="N293" s="2">
        <v>2.6</v>
      </c>
      <c r="O293" s="2">
        <v>4</v>
      </c>
      <c r="P293" s="2">
        <v>2</v>
      </c>
      <c r="Q293" s="2">
        <v>45.49</v>
      </c>
      <c r="R293" s="2" t="str" cm="1">
        <f t="array" ref="R293">_xlfn.IFS(Q293&lt;18.5,"Underweight",
AND(Q293&gt;=18.5,Q293&lt;25),"Normal Weight",
AND(Q293&gt;=25,Q293&lt;30),"Overweight",
Q293&gt;=30,"Obesity")</f>
        <v>Obesity</v>
      </c>
      <c r="S293" s="2">
        <f t="shared" si="4"/>
        <v>816.81415929203547</v>
      </c>
      <c r="T293" s="2" t="str" cm="1">
        <f t="array" ref="T293">_xlfn.IFS(N293&lt;=2.5,"Low",N293&lt;=3,"Medium",N293&gt;3,"High")</f>
        <v>Medium</v>
      </c>
    </row>
    <row r="294" spans="1:20" x14ac:dyDescent="0.3">
      <c r="A294" s="2">
        <v>293</v>
      </c>
      <c r="B294" s="2" t="s">
        <v>22</v>
      </c>
      <c r="C294" s="2">
        <v>25</v>
      </c>
      <c r="D294" s="2" t="s">
        <v>15</v>
      </c>
      <c r="E294" s="2">
        <v>112.4</v>
      </c>
      <c r="F294" s="2">
        <v>1.96</v>
      </c>
      <c r="G294" s="2">
        <v>188</v>
      </c>
      <c r="H294" s="2">
        <v>135</v>
      </c>
      <c r="I294" s="2">
        <v>72</v>
      </c>
      <c r="J294" s="2">
        <v>1.42</v>
      </c>
      <c r="K294" s="2">
        <v>1054</v>
      </c>
      <c r="L294" s="2" t="s">
        <v>19</v>
      </c>
      <c r="M294" s="2">
        <v>23.2</v>
      </c>
      <c r="N294" s="2">
        <v>2.5</v>
      </c>
      <c r="O294" s="2">
        <v>2</v>
      </c>
      <c r="P294" s="2">
        <v>1</v>
      </c>
      <c r="Q294" s="2">
        <v>29.26</v>
      </c>
      <c r="R294" s="2" t="str" cm="1">
        <f t="array" ref="R294">_xlfn.IFS(Q294&lt;18.5,"Underweight",
AND(Q294&gt;=18.5,Q294&lt;25),"Normal Weight",
AND(Q294&gt;=25,Q294&lt;30),"Overweight",
Q294&gt;=30,"Obesity")</f>
        <v>Overweight</v>
      </c>
      <c r="S294" s="2">
        <f t="shared" si="4"/>
        <v>742.25352112676057</v>
      </c>
      <c r="T294" s="2" t="str" cm="1">
        <f t="array" ref="T294">_xlfn.IFS(N294&lt;=2.5,"Low",N294&lt;=3,"Medium",N294&gt;3,"High")</f>
        <v>Low</v>
      </c>
    </row>
    <row r="295" spans="1:20" x14ac:dyDescent="0.3">
      <c r="A295" s="2">
        <v>294</v>
      </c>
      <c r="B295" s="2" t="s">
        <v>26</v>
      </c>
      <c r="C295" s="2">
        <v>44</v>
      </c>
      <c r="D295" s="2" t="s">
        <v>16</v>
      </c>
      <c r="E295" s="2">
        <v>77.7</v>
      </c>
      <c r="F295" s="2">
        <v>1.79</v>
      </c>
      <c r="G295" s="2">
        <v>198</v>
      </c>
      <c r="H295" s="2">
        <v>165</v>
      </c>
      <c r="I295" s="2">
        <v>53</v>
      </c>
      <c r="J295" s="2">
        <v>1.41</v>
      </c>
      <c r="K295" s="2">
        <v>1047</v>
      </c>
      <c r="L295" s="2" t="s">
        <v>18</v>
      </c>
      <c r="M295" s="2">
        <v>28.1</v>
      </c>
      <c r="N295" s="2">
        <v>2.2000000000000002</v>
      </c>
      <c r="O295" s="2">
        <v>3</v>
      </c>
      <c r="P295" s="2">
        <v>1</v>
      </c>
      <c r="Q295" s="2">
        <v>24.25</v>
      </c>
      <c r="R295" s="2" t="str" cm="1">
        <f t="array" ref="R295">_xlfn.IFS(Q295&lt;18.5,"Underweight",
AND(Q295&gt;=18.5,Q295&lt;25),"Normal Weight",
AND(Q295&gt;=25,Q295&lt;30),"Overweight",
Q295&gt;=30,"Obesity")</f>
        <v>Normal Weight</v>
      </c>
      <c r="S295" s="2">
        <f t="shared" si="4"/>
        <v>742.55319148936178</v>
      </c>
      <c r="T295" s="2" t="str" cm="1">
        <f t="array" ref="T295">_xlfn.IFS(N295&lt;=2.5,"Low",N295&lt;=3,"Medium",N295&gt;3,"High")</f>
        <v>Low</v>
      </c>
    </row>
    <row r="296" spans="1:20" x14ac:dyDescent="0.3">
      <c r="A296" s="2">
        <v>295</v>
      </c>
      <c r="B296" s="2" t="s">
        <v>29</v>
      </c>
      <c r="C296" s="2">
        <v>44</v>
      </c>
      <c r="D296" s="2" t="s">
        <v>15</v>
      </c>
      <c r="E296" s="2">
        <v>89.3</v>
      </c>
      <c r="F296" s="2">
        <v>1.99</v>
      </c>
      <c r="G296" s="2">
        <v>192</v>
      </c>
      <c r="H296" s="2">
        <v>135</v>
      </c>
      <c r="I296" s="2">
        <v>58</v>
      </c>
      <c r="J296" s="2">
        <v>1.4</v>
      </c>
      <c r="K296" s="2">
        <v>936</v>
      </c>
      <c r="L296" s="2" t="s">
        <v>18</v>
      </c>
      <c r="M296" s="2">
        <v>26.3</v>
      </c>
      <c r="N296" s="2">
        <v>2</v>
      </c>
      <c r="O296" s="2">
        <v>4</v>
      </c>
      <c r="P296" s="2">
        <v>2</v>
      </c>
      <c r="Q296" s="2">
        <v>22.55</v>
      </c>
      <c r="R296" s="2" t="str" cm="1">
        <f t="array" ref="R296">_xlfn.IFS(Q296&lt;18.5,"Underweight",
AND(Q296&gt;=18.5,Q296&lt;25),"Normal Weight",
AND(Q296&gt;=25,Q296&lt;30),"Overweight",
Q296&gt;=30,"Obesity")</f>
        <v>Normal Weight</v>
      </c>
      <c r="S296" s="2">
        <f t="shared" si="4"/>
        <v>668.57142857142867</v>
      </c>
      <c r="T296" s="2" t="str" cm="1">
        <f t="array" ref="T296">_xlfn.IFS(N296&lt;=2.5,"Low",N296&lt;=3,"Medium",N296&gt;3,"High")</f>
        <v>Low</v>
      </c>
    </row>
    <row r="297" spans="1:20" x14ac:dyDescent="0.3">
      <c r="A297" s="2">
        <v>296</v>
      </c>
      <c r="B297" s="2" t="s">
        <v>29</v>
      </c>
      <c r="C297" s="2">
        <v>51</v>
      </c>
      <c r="D297" s="2" t="s">
        <v>16</v>
      </c>
      <c r="E297" s="2">
        <v>70.3</v>
      </c>
      <c r="F297" s="2">
        <v>1.55</v>
      </c>
      <c r="G297" s="2">
        <v>178</v>
      </c>
      <c r="H297" s="2">
        <v>139</v>
      </c>
      <c r="I297" s="2">
        <v>54</v>
      </c>
      <c r="J297" s="2">
        <v>1.4</v>
      </c>
      <c r="K297" s="2">
        <v>876</v>
      </c>
      <c r="L297" s="2" t="s">
        <v>17</v>
      </c>
      <c r="M297" s="2">
        <v>26.1</v>
      </c>
      <c r="N297" s="2">
        <v>1.6</v>
      </c>
      <c r="O297" s="2">
        <v>3</v>
      </c>
      <c r="P297" s="2">
        <v>1</v>
      </c>
      <c r="Q297" s="2">
        <v>29.26</v>
      </c>
      <c r="R297" s="2" t="str" cm="1">
        <f t="array" ref="R297">_xlfn.IFS(Q297&lt;18.5,"Underweight",
AND(Q297&gt;=18.5,Q297&lt;25),"Normal Weight",
AND(Q297&gt;=25,Q297&lt;30),"Overweight",
Q297&gt;=30,"Obesity")</f>
        <v>Overweight</v>
      </c>
      <c r="S297" s="2">
        <f t="shared" si="4"/>
        <v>625.71428571428578</v>
      </c>
      <c r="T297" s="2" t="str" cm="1">
        <f t="array" ref="T297">_xlfn.IFS(N297&lt;=2.5,"Low",N297&lt;=3,"Medium",N297&gt;3,"High")</f>
        <v>Low</v>
      </c>
    </row>
    <row r="298" spans="1:20" x14ac:dyDescent="0.3">
      <c r="A298" s="2">
        <v>297</v>
      </c>
      <c r="B298" s="2" t="s">
        <v>24</v>
      </c>
      <c r="C298" s="2">
        <v>38</v>
      </c>
      <c r="D298" s="2" t="s">
        <v>16</v>
      </c>
      <c r="E298" s="2">
        <v>59.1</v>
      </c>
      <c r="F298" s="2">
        <v>1.72</v>
      </c>
      <c r="G298" s="2">
        <v>196</v>
      </c>
      <c r="H298" s="2">
        <v>148</v>
      </c>
      <c r="I298" s="2">
        <v>68</v>
      </c>
      <c r="J298" s="2">
        <v>1.07</v>
      </c>
      <c r="K298" s="2">
        <v>792</v>
      </c>
      <c r="L298" s="2" t="s">
        <v>19</v>
      </c>
      <c r="M298" s="2">
        <v>31.3</v>
      </c>
      <c r="N298" s="2">
        <v>1.7</v>
      </c>
      <c r="O298" s="2">
        <v>3</v>
      </c>
      <c r="P298" s="2">
        <v>2</v>
      </c>
      <c r="Q298" s="2">
        <v>19.98</v>
      </c>
      <c r="R298" s="2" t="str" cm="1">
        <f t="array" ref="R298">_xlfn.IFS(Q298&lt;18.5,"Underweight",
AND(Q298&gt;=18.5,Q298&lt;25),"Normal Weight",
AND(Q298&gt;=25,Q298&lt;30),"Overweight",
Q298&gt;=30,"Obesity")</f>
        <v>Normal Weight</v>
      </c>
      <c r="S298" s="2">
        <f t="shared" si="4"/>
        <v>740.18691588785043</v>
      </c>
      <c r="T298" s="2" t="str" cm="1">
        <f t="array" ref="T298">_xlfn.IFS(N298&lt;=2.5,"Low",N298&lt;=3,"Medium",N298&gt;3,"High")</f>
        <v>Low</v>
      </c>
    </row>
    <row r="299" spans="1:20" x14ac:dyDescent="0.3">
      <c r="A299" s="2">
        <v>298</v>
      </c>
      <c r="B299" s="2" t="s">
        <v>27</v>
      </c>
      <c r="C299" s="2">
        <v>47</v>
      </c>
      <c r="D299" s="2" t="s">
        <v>16</v>
      </c>
      <c r="E299" s="2">
        <v>49.9</v>
      </c>
      <c r="F299" s="2">
        <v>1.69</v>
      </c>
      <c r="G299" s="2">
        <v>178</v>
      </c>
      <c r="H299" s="2">
        <v>147</v>
      </c>
      <c r="I299" s="2">
        <v>64</v>
      </c>
      <c r="J299" s="2">
        <v>1.48</v>
      </c>
      <c r="K299" s="2">
        <v>979</v>
      </c>
      <c r="L299" s="2" t="s">
        <v>18</v>
      </c>
      <c r="M299" s="2">
        <v>26</v>
      </c>
      <c r="N299" s="2">
        <v>1.7</v>
      </c>
      <c r="O299" s="2">
        <v>3</v>
      </c>
      <c r="P299" s="2">
        <v>2</v>
      </c>
      <c r="Q299" s="2">
        <v>17.47</v>
      </c>
      <c r="R299" s="2" t="str" cm="1">
        <f t="array" ref="R299">_xlfn.IFS(Q299&lt;18.5,"Underweight",
AND(Q299&gt;=18.5,Q299&lt;25),"Normal Weight",
AND(Q299&gt;=25,Q299&lt;30),"Overweight",
Q299&gt;=30,"Obesity")</f>
        <v>Underweight</v>
      </c>
      <c r="S299" s="2">
        <f t="shared" si="4"/>
        <v>661.48648648648646</v>
      </c>
      <c r="T299" s="2" t="str" cm="1">
        <f t="array" ref="T299">_xlfn.IFS(N299&lt;=2.5,"Low",N299&lt;=3,"Medium",N299&gt;3,"High")</f>
        <v>Low</v>
      </c>
    </row>
    <row r="300" spans="1:20" x14ac:dyDescent="0.3">
      <c r="A300" s="2">
        <v>299</v>
      </c>
      <c r="B300" s="2" t="s">
        <v>26</v>
      </c>
      <c r="C300" s="2">
        <v>50</v>
      </c>
      <c r="D300" s="2" t="s">
        <v>15</v>
      </c>
      <c r="E300" s="2">
        <v>101.7</v>
      </c>
      <c r="F300" s="2">
        <v>1.67</v>
      </c>
      <c r="G300" s="2">
        <v>192</v>
      </c>
      <c r="H300" s="2">
        <v>127</v>
      </c>
      <c r="I300" s="2">
        <v>57</v>
      </c>
      <c r="J300" s="2">
        <v>0.53</v>
      </c>
      <c r="K300" s="2">
        <v>333</v>
      </c>
      <c r="L300" s="2" t="s">
        <v>18</v>
      </c>
      <c r="M300" s="2">
        <v>20.9</v>
      </c>
      <c r="N300" s="2">
        <v>2.9</v>
      </c>
      <c r="O300" s="2">
        <v>2</v>
      </c>
      <c r="P300" s="2">
        <v>1</v>
      </c>
      <c r="Q300" s="2">
        <v>36.47</v>
      </c>
      <c r="R300" s="2" t="str" cm="1">
        <f t="array" ref="R300">_xlfn.IFS(Q300&lt;18.5,"Underweight",
AND(Q300&gt;=18.5,Q300&lt;25),"Normal Weight",
AND(Q300&gt;=25,Q300&lt;30),"Overweight",
Q300&gt;=30,"Obesity")</f>
        <v>Obesity</v>
      </c>
      <c r="S300" s="2">
        <f t="shared" si="4"/>
        <v>628.30188679245282</v>
      </c>
      <c r="T300" s="2" t="str" cm="1">
        <f t="array" ref="T300">_xlfn.IFS(N300&lt;=2.5,"Low",N300&lt;=3,"Medium",N300&gt;3,"High")</f>
        <v>Medium</v>
      </c>
    </row>
    <row r="301" spans="1:20" x14ac:dyDescent="0.3">
      <c r="A301" s="2">
        <v>300</v>
      </c>
      <c r="B301" s="2" t="s">
        <v>30</v>
      </c>
      <c r="C301" s="2">
        <v>45</v>
      </c>
      <c r="D301" s="2" t="s">
        <v>15</v>
      </c>
      <c r="E301" s="2">
        <v>93</v>
      </c>
      <c r="F301" s="2">
        <v>1.91</v>
      </c>
      <c r="G301" s="2">
        <v>175</v>
      </c>
      <c r="H301" s="2">
        <v>143</v>
      </c>
      <c r="I301" s="2">
        <v>55</v>
      </c>
      <c r="J301" s="2">
        <v>1.03</v>
      </c>
      <c r="K301" s="2">
        <v>729</v>
      </c>
      <c r="L301" s="2" t="s">
        <v>19</v>
      </c>
      <c r="M301" s="2">
        <v>27.3</v>
      </c>
      <c r="N301" s="2">
        <v>3.7</v>
      </c>
      <c r="O301" s="2">
        <v>3</v>
      </c>
      <c r="P301" s="2">
        <v>2</v>
      </c>
      <c r="Q301" s="2">
        <v>25.49</v>
      </c>
      <c r="R301" s="2" t="str" cm="1">
        <f t="array" ref="R301">_xlfn.IFS(Q301&lt;18.5,"Underweight",
AND(Q301&gt;=18.5,Q301&lt;25),"Normal Weight",
AND(Q301&gt;=25,Q301&lt;30),"Overweight",
Q301&gt;=30,"Obesity")</f>
        <v>Overweight</v>
      </c>
      <c r="S301" s="2">
        <f t="shared" si="4"/>
        <v>707.76699029126212</v>
      </c>
      <c r="T301" s="2" t="str" cm="1">
        <f t="array" ref="T301">_xlfn.IFS(N301&lt;=2.5,"Low",N301&lt;=3,"Medium",N301&gt;3,"High")</f>
        <v>High</v>
      </c>
    </row>
    <row r="302" spans="1:20" x14ac:dyDescent="0.3">
      <c r="A302" s="2">
        <v>301</v>
      </c>
      <c r="B302" s="2" t="s">
        <v>24</v>
      </c>
      <c r="C302" s="2">
        <v>50</v>
      </c>
      <c r="D302" s="2" t="s">
        <v>15</v>
      </c>
      <c r="E302" s="2">
        <v>87.4</v>
      </c>
      <c r="F302" s="2">
        <v>1.6</v>
      </c>
      <c r="G302" s="2">
        <v>182</v>
      </c>
      <c r="H302" s="2">
        <v>122</v>
      </c>
      <c r="I302" s="2">
        <v>67</v>
      </c>
      <c r="J302" s="2">
        <v>0.77</v>
      </c>
      <c r="K302" s="2">
        <v>465</v>
      </c>
      <c r="L302" s="2" t="s">
        <v>20</v>
      </c>
      <c r="M302" s="2">
        <v>23.2</v>
      </c>
      <c r="N302" s="2">
        <v>3.1</v>
      </c>
      <c r="O302" s="2">
        <v>2</v>
      </c>
      <c r="P302" s="2">
        <v>1</v>
      </c>
      <c r="Q302" s="2">
        <v>34.14</v>
      </c>
      <c r="R302" s="2" t="str" cm="1">
        <f t="array" ref="R302">_xlfn.IFS(Q302&lt;18.5,"Underweight",
AND(Q302&gt;=18.5,Q302&lt;25),"Normal Weight",
AND(Q302&gt;=25,Q302&lt;30),"Overweight",
Q302&gt;=30,"Obesity")</f>
        <v>Obesity</v>
      </c>
      <c r="S302" s="2">
        <f t="shared" si="4"/>
        <v>603.89610389610391</v>
      </c>
      <c r="T302" s="2" t="str" cm="1">
        <f t="array" ref="T302">_xlfn.IFS(N302&lt;=2.5,"Low",N302&lt;=3,"Medium",N302&gt;3,"High")</f>
        <v>High</v>
      </c>
    </row>
    <row r="303" spans="1:20" x14ac:dyDescent="0.3">
      <c r="A303" s="2">
        <v>302</v>
      </c>
      <c r="B303" s="2" t="s">
        <v>23</v>
      </c>
      <c r="C303" s="2">
        <v>22</v>
      </c>
      <c r="D303" s="2" t="s">
        <v>16</v>
      </c>
      <c r="E303" s="2">
        <v>55.1</v>
      </c>
      <c r="F303" s="2">
        <v>1.61</v>
      </c>
      <c r="G303" s="2">
        <v>166</v>
      </c>
      <c r="H303" s="2">
        <v>144</v>
      </c>
      <c r="I303" s="2">
        <v>68</v>
      </c>
      <c r="J303" s="2">
        <v>1.62</v>
      </c>
      <c r="K303" s="2">
        <v>1166</v>
      </c>
      <c r="L303" s="2" t="s">
        <v>18</v>
      </c>
      <c r="M303" s="2">
        <v>19.899999999999999</v>
      </c>
      <c r="N303" s="2">
        <v>2.7</v>
      </c>
      <c r="O303" s="2">
        <v>4</v>
      </c>
      <c r="P303" s="2">
        <v>3</v>
      </c>
      <c r="Q303" s="2">
        <v>21.26</v>
      </c>
      <c r="R303" s="2" t="str" cm="1">
        <f t="array" ref="R303">_xlfn.IFS(Q303&lt;18.5,"Underweight",
AND(Q303&gt;=18.5,Q303&lt;25),"Normal Weight",
AND(Q303&gt;=25,Q303&lt;30),"Overweight",
Q303&gt;=30,"Obesity")</f>
        <v>Normal Weight</v>
      </c>
      <c r="S303" s="2">
        <f t="shared" si="4"/>
        <v>719.753086419753</v>
      </c>
      <c r="T303" s="2" t="str" cm="1">
        <f t="array" ref="T303">_xlfn.IFS(N303&lt;=2.5,"Low",N303&lt;=3,"Medium",N303&gt;3,"High")</f>
        <v>Medium</v>
      </c>
    </row>
    <row r="304" spans="1:20" x14ac:dyDescent="0.3">
      <c r="A304" s="2">
        <v>303</v>
      </c>
      <c r="B304" s="2" t="s">
        <v>29</v>
      </c>
      <c r="C304" s="2">
        <v>36</v>
      </c>
      <c r="D304" s="2" t="s">
        <v>15</v>
      </c>
      <c r="E304" s="2">
        <v>123.7</v>
      </c>
      <c r="F304" s="2">
        <v>1.69</v>
      </c>
      <c r="G304" s="2">
        <v>185</v>
      </c>
      <c r="H304" s="2">
        <v>138</v>
      </c>
      <c r="I304" s="2">
        <v>73</v>
      </c>
      <c r="J304" s="2">
        <v>1.3</v>
      </c>
      <c r="K304" s="2">
        <v>987</v>
      </c>
      <c r="L304" s="2" t="s">
        <v>19</v>
      </c>
      <c r="M304" s="2">
        <v>20.399999999999999</v>
      </c>
      <c r="N304" s="2">
        <v>2.1</v>
      </c>
      <c r="O304" s="2">
        <v>4</v>
      </c>
      <c r="P304" s="2">
        <v>2</v>
      </c>
      <c r="Q304" s="2">
        <v>43.31</v>
      </c>
      <c r="R304" s="2" t="str" cm="1">
        <f t="array" ref="R304">_xlfn.IFS(Q304&lt;18.5,"Underweight",
AND(Q304&gt;=18.5,Q304&lt;25),"Normal Weight",
AND(Q304&gt;=25,Q304&lt;30),"Overweight",
Q304&gt;=30,"Obesity")</f>
        <v>Obesity</v>
      </c>
      <c r="S304" s="2">
        <f t="shared" si="4"/>
        <v>759.23076923076917</v>
      </c>
      <c r="T304" s="2" t="str" cm="1">
        <f t="array" ref="T304">_xlfn.IFS(N304&lt;=2.5,"Low",N304&lt;=3,"Medium",N304&gt;3,"High")</f>
        <v>Low</v>
      </c>
    </row>
    <row r="305" spans="1:20" x14ac:dyDescent="0.3">
      <c r="A305" s="2">
        <v>304</v>
      </c>
      <c r="B305" s="2" t="s">
        <v>24</v>
      </c>
      <c r="C305" s="2">
        <v>21</v>
      </c>
      <c r="D305" s="2" t="s">
        <v>16</v>
      </c>
      <c r="E305" s="2">
        <v>61.3</v>
      </c>
      <c r="F305" s="2">
        <v>1.57</v>
      </c>
      <c r="G305" s="2">
        <v>191</v>
      </c>
      <c r="H305" s="2">
        <v>152</v>
      </c>
      <c r="I305" s="2">
        <v>64</v>
      </c>
      <c r="J305" s="2">
        <v>1.94</v>
      </c>
      <c r="K305" s="2">
        <v>1474</v>
      </c>
      <c r="L305" s="2" t="s">
        <v>18</v>
      </c>
      <c r="M305" s="2">
        <v>17.2</v>
      </c>
      <c r="N305" s="2">
        <v>2.7</v>
      </c>
      <c r="O305" s="2">
        <v>4</v>
      </c>
      <c r="P305" s="2">
        <v>3</v>
      </c>
      <c r="Q305" s="2">
        <v>24.87</v>
      </c>
      <c r="R305" s="2" t="str" cm="1">
        <f t="array" ref="R305">_xlfn.IFS(Q305&lt;18.5,"Underweight",
AND(Q305&gt;=18.5,Q305&lt;25),"Normal Weight",
AND(Q305&gt;=25,Q305&lt;30),"Overweight",
Q305&gt;=30,"Obesity")</f>
        <v>Normal Weight</v>
      </c>
      <c r="S305" s="2">
        <f t="shared" si="4"/>
        <v>759.79381443298973</v>
      </c>
      <c r="T305" s="2" t="str" cm="1">
        <f t="array" ref="T305">_xlfn.IFS(N305&lt;=2.5,"Low",N305&lt;=3,"Medium",N305&gt;3,"High")</f>
        <v>Medium</v>
      </c>
    </row>
    <row r="306" spans="1:20" x14ac:dyDescent="0.3">
      <c r="A306" s="2">
        <v>305</v>
      </c>
      <c r="B306" s="2" t="s">
        <v>26</v>
      </c>
      <c r="C306" s="2">
        <v>52</v>
      </c>
      <c r="D306" s="2" t="s">
        <v>15</v>
      </c>
      <c r="E306" s="2">
        <v>72.3</v>
      </c>
      <c r="F306" s="2">
        <v>1.94</v>
      </c>
      <c r="G306" s="2">
        <v>171</v>
      </c>
      <c r="H306" s="2">
        <v>121</v>
      </c>
      <c r="I306" s="2">
        <v>56</v>
      </c>
      <c r="J306" s="2">
        <v>1.46</v>
      </c>
      <c r="K306" s="2">
        <v>874</v>
      </c>
      <c r="L306" s="2" t="s">
        <v>17</v>
      </c>
      <c r="M306" s="2">
        <v>21.1</v>
      </c>
      <c r="N306" s="2">
        <v>2.9</v>
      </c>
      <c r="O306" s="2">
        <v>3</v>
      </c>
      <c r="P306" s="2">
        <v>2</v>
      </c>
      <c r="Q306" s="2">
        <v>19.21</v>
      </c>
      <c r="R306" s="2" t="str" cm="1">
        <f t="array" ref="R306">_xlfn.IFS(Q306&lt;18.5,"Underweight",
AND(Q306&gt;=18.5,Q306&lt;25),"Normal Weight",
AND(Q306&gt;=25,Q306&lt;30),"Overweight",
Q306&gt;=30,"Obesity")</f>
        <v>Normal Weight</v>
      </c>
      <c r="S306" s="2">
        <f t="shared" si="4"/>
        <v>598.63013698630141</v>
      </c>
      <c r="T306" s="2" t="str" cm="1">
        <f t="array" ref="T306">_xlfn.IFS(N306&lt;=2.5,"Low",N306&lt;=3,"Medium",N306&gt;3,"High")</f>
        <v>Medium</v>
      </c>
    </row>
    <row r="307" spans="1:20" x14ac:dyDescent="0.3">
      <c r="A307" s="2">
        <v>306</v>
      </c>
      <c r="B307" s="2" t="s">
        <v>29</v>
      </c>
      <c r="C307" s="2">
        <v>34</v>
      </c>
      <c r="D307" s="2" t="s">
        <v>16</v>
      </c>
      <c r="E307" s="2">
        <v>69.2</v>
      </c>
      <c r="F307" s="2">
        <v>1.53</v>
      </c>
      <c r="G307" s="2">
        <v>167</v>
      </c>
      <c r="H307" s="2">
        <v>134</v>
      </c>
      <c r="I307" s="2">
        <v>59</v>
      </c>
      <c r="J307" s="2">
        <v>1.36</v>
      </c>
      <c r="K307" s="2">
        <v>911</v>
      </c>
      <c r="L307" s="2" t="s">
        <v>18</v>
      </c>
      <c r="M307" s="2">
        <v>28.5</v>
      </c>
      <c r="N307" s="2">
        <v>2.1</v>
      </c>
      <c r="O307" s="2">
        <v>2</v>
      </c>
      <c r="P307" s="2">
        <v>1</v>
      </c>
      <c r="Q307" s="2">
        <v>29.56</v>
      </c>
      <c r="R307" s="2" t="str" cm="1">
        <f t="array" ref="R307">_xlfn.IFS(Q307&lt;18.5,"Underweight",
AND(Q307&gt;=18.5,Q307&lt;25),"Normal Weight",
AND(Q307&gt;=25,Q307&lt;30),"Overweight",
Q307&gt;=30,"Obesity")</f>
        <v>Overweight</v>
      </c>
      <c r="S307" s="2">
        <f t="shared" si="4"/>
        <v>669.85294117647049</v>
      </c>
      <c r="T307" s="2" t="str" cm="1">
        <f t="array" ref="T307">_xlfn.IFS(N307&lt;=2.5,"Low",N307&lt;=3,"Medium",N307&gt;3,"High")</f>
        <v>Low</v>
      </c>
    </row>
    <row r="308" spans="1:20" x14ac:dyDescent="0.3">
      <c r="A308" s="2">
        <v>307</v>
      </c>
      <c r="B308" s="2" t="s">
        <v>22</v>
      </c>
      <c r="C308" s="2">
        <v>45</v>
      </c>
      <c r="D308" s="2" t="s">
        <v>15</v>
      </c>
      <c r="E308" s="2">
        <v>81.400000000000006</v>
      </c>
      <c r="F308" s="2">
        <v>1.61</v>
      </c>
      <c r="G308" s="2">
        <v>164</v>
      </c>
      <c r="H308" s="2">
        <v>141</v>
      </c>
      <c r="I308" s="2">
        <v>55</v>
      </c>
      <c r="J308" s="2">
        <v>1.1399999999999999</v>
      </c>
      <c r="K308" s="2">
        <v>796</v>
      </c>
      <c r="L308" s="2" t="s">
        <v>19</v>
      </c>
      <c r="M308" s="2">
        <v>30</v>
      </c>
      <c r="N308" s="2">
        <v>2.2000000000000002</v>
      </c>
      <c r="O308" s="2">
        <v>4</v>
      </c>
      <c r="P308" s="2">
        <v>2</v>
      </c>
      <c r="Q308" s="2">
        <v>31.4</v>
      </c>
      <c r="R308" s="2" t="str" cm="1">
        <f t="array" ref="R308">_xlfn.IFS(Q308&lt;18.5,"Underweight",
AND(Q308&gt;=18.5,Q308&lt;25),"Normal Weight",
AND(Q308&gt;=25,Q308&lt;30),"Overweight",
Q308&gt;=30,"Obesity")</f>
        <v>Obesity</v>
      </c>
      <c r="S308" s="2">
        <f t="shared" si="4"/>
        <v>698.24561403508778</v>
      </c>
      <c r="T308" s="2" t="str" cm="1">
        <f t="array" ref="T308">_xlfn.IFS(N308&lt;=2.5,"Low",N308&lt;=3,"Medium",N308&gt;3,"High")</f>
        <v>Low</v>
      </c>
    </row>
    <row r="309" spans="1:20" x14ac:dyDescent="0.3">
      <c r="A309" s="2">
        <v>308</v>
      </c>
      <c r="B309" s="2" t="s">
        <v>24</v>
      </c>
      <c r="C309" s="2">
        <v>47</v>
      </c>
      <c r="D309" s="2" t="s">
        <v>15</v>
      </c>
      <c r="E309" s="2">
        <v>84.8</v>
      </c>
      <c r="F309" s="2">
        <v>1.86</v>
      </c>
      <c r="G309" s="2">
        <v>187</v>
      </c>
      <c r="H309" s="2">
        <v>129</v>
      </c>
      <c r="I309" s="2">
        <v>63</v>
      </c>
      <c r="J309" s="2">
        <v>1.85</v>
      </c>
      <c r="K309" s="2">
        <v>1181</v>
      </c>
      <c r="L309" s="2" t="s">
        <v>18</v>
      </c>
      <c r="M309" s="2">
        <v>14.4</v>
      </c>
      <c r="N309" s="2">
        <v>3.5</v>
      </c>
      <c r="O309" s="2">
        <v>5</v>
      </c>
      <c r="P309" s="2">
        <v>3</v>
      </c>
      <c r="Q309" s="2">
        <v>24.51</v>
      </c>
      <c r="R309" s="2" t="str" cm="1">
        <f t="array" ref="R309">_xlfn.IFS(Q309&lt;18.5,"Underweight",
AND(Q309&gt;=18.5,Q309&lt;25),"Normal Weight",
AND(Q309&gt;=25,Q309&lt;30),"Overweight",
Q309&gt;=30,"Obesity")</f>
        <v>Normal Weight</v>
      </c>
      <c r="S309" s="2">
        <f t="shared" si="4"/>
        <v>638.37837837837833</v>
      </c>
      <c r="T309" s="2" t="str" cm="1">
        <f t="array" ref="T309">_xlfn.IFS(N309&lt;=2.5,"Low",N309&lt;=3,"Medium",N309&gt;3,"High")</f>
        <v>High</v>
      </c>
    </row>
    <row r="310" spans="1:20" x14ac:dyDescent="0.3">
      <c r="A310" s="2">
        <v>309</v>
      </c>
      <c r="B310" s="2" t="s">
        <v>21</v>
      </c>
      <c r="C310" s="2">
        <v>46</v>
      </c>
      <c r="D310" s="2" t="s">
        <v>15</v>
      </c>
      <c r="E310" s="2">
        <v>55.1</v>
      </c>
      <c r="F310" s="2">
        <v>1.72</v>
      </c>
      <c r="G310" s="2">
        <v>164</v>
      </c>
      <c r="H310" s="2">
        <v>137</v>
      </c>
      <c r="I310" s="2">
        <v>66</v>
      </c>
      <c r="J310" s="2">
        <v>1.43</v>
      </c>
      <c r="K310" s="2">
        <v>970</v>
      </c>
      <c r="L310" s="2" t="s">
        <v>17</v>
      </c>
      <c r="M310" s="2">
        <v>20.5</v>
      </c>
      <c r="N310" s="2">
        <v>3.6</v>
      </c>
      <c r="O310" s="2">
        <v>3</v>
      </c>
      <c r="P310" s="2">
        <v>2</v>
      </c>
      <c r="Q310" s="2">
        <v>18.62</v>
      </c>
      <c r="R310" s="2" t="str" cm="1">
        <f t="array" ref="R310">_xlfn.IFS(Q310&lt;18.5,"Underweight",
AND(Q310&gt;=18.5,Q310&lt;25),"Normal Weight",
AND(Q310&gt;=25,Q310&lt;30),"Overweight",
Q310&gt;=30,"Obesity")</f>
        <v>Normal Weight</v>
      </c>
      <c r="S310" s="2">
        <f t="shared" si="4"/>
        <v>678.32167832167841</v>
      </c>
      <c r="T310" s="2" t="str" cm="1">
        <f t="array" ref="T310">_xlfn.IFS(N310&lt;=2.5,"Low",N310&lt;=3,"Medium",N310&gt;3,"High")</f>
        <v>High</v>
      </c>
    </row>
    <row r="311" spans="1:20" x14ac:dyDescent="0.3">
      <c r="A311" s="2">
        <v>310</v>
      </c>
      <c r="B311" s="2" t="s">
        <v>29</v>
      </c>
      <c r="C311" s="2">
        <v>23</v>
      </c>
      <c r="D311" s="2" t="s">
        <v>16</v>
      </c>
      <c r="E311" s="2">
        <v>59</v>
      </c>
      <c r="F311" s="2">
        <v>1.78</v>
      </c>
      <c r="G311" s="2">
        <v>185</v>
      </c>
      <c r="H311" s="2">
        <v>141</v>
      </c>
      <c r="I311" s="2">
        <v>58</v>
      </c>
      <c r="J311" s="2">
        <v>1.67</v>
      </c>
      <c r="K311" s="2">
        <v>1177</v>
      </c>
      <c r="L311" s="2" t="s">
        <v>17</v>
      </c>
      <c r="M311" s="2">
        <v>17.8</v>
      </c>
      <c r="N311" s="2">
        <v>2.7</v>
      </c>
      <c r="O311" s="2">
        <v>5</v>
      </c>
      <c r="P311" s="2">
        <v>3</v>
      </c>
      <c r="Q311" s="2">
        <v>18.62</v>
      </c>
      <c r="R311" s="2" t="str" cm="1">
        <f t="array" ref="R311">_xlfn.IFS(Q311&lt;18.5,"Underweight",
AND(Q311&gt;=18.5,Q311&lt;25),"Normal Weight",
AND(Q311&gt;=25,Q311&lt;30),"Overweight",
Q311&gt;=30,"Obesity")</f>
        <v>Normal Weight</v>
      </c>
      <c r="S311" s="2">
        <f t="shared" si="4"/>
        <v>704.79041916167671</v>
      </c>
      <c r="T311" s="2" t="str" cm="1">
        <f t="array" ref="T311">_xlfn.IFS(N311&lt;=2.5,"Low",N311&lt;=3,"Medium",N311&gt;3,"High")</f>
        <v>Medium</v>
      </c>
    </row>
    <row r="312" spans="1:20" x14ac:dyDescent="0.3">
      <c r="A312" s="2">
        <v>311</v>
      </c>
      <c r="B312" s="2" t="s">
        <v>26</v>
      </c>
      <c r="C312" s="2">
        <v>52</v>
      </c>
      <c r="D312" s="2" t="s">
        <v>16</v>
      </c>
      <c r="E312" s="2">
        <v>64.900000000000006</v>
      </c>
      <c r="F312" s="2">
        <v>1.51</v>
      </c>
      <c r="G312" s="2">
        <v>164</v>
      </c>
      <c r="H312" s="2">
        <v>165</v>
      </c>
      <c r="I312" s="2">
        <v>68</v>
      </c>
      <c r="J312" s="2">
        <v>1.83</v>
      </c>
      <c r="K312" s="2">
        <v>1359</v>
      </c>
      <c r="L312" s="2" t="s">
        <v>18</v>
      </c>
      <c r="M312" s="2">
        <v>18.2</v>
      </c>
      <c r="N312" s="2">
        <v>2.7</v>
      </c>
      <c r="O312" s="2">
        <v>4</v>
      </c>
      <c r="P312" s="2">
        <v>3</v>
      </c>
      <c r="Q312" s="2">
        <v>28.46</v>
      </c>
      <c r="R312" s="2" t="str" cm="1">
        <f t="array" ref="R312">_xlfn.IFS(Q312&lt;18.5,"Underweight",
AND(Q312&gt;=18.5,Q312&lt;25),"Normal Weight",
AND(Q312&gt;=25,Q312&lt;30),"Overweight",
Q312&gt;=30,"Obesity")</f>
        <v>Overweight</v>
      </c>
      <c r="S312" s="2">
        <f t="shared" si="4"/>
        <v>742.62295081967216</v>
      </c>
      <c r="T312" s="2" t="str" cm="1">
        <f t="array" ref="T312">_xlfn.IFS(N312&lt;=2.5,"Low",N312&lt;=3,"Medium",N312&gt;3,"High")</f>
        <v>Medium</v>
      </c>
    </row>
    <row r="313" spans="1:20" x14ac:dyDescent="0.3">
      <c r="A313" s="2">
        <v>312</v>
      </c>
      <c r="B313" s="2" t="s">
        <v>28</v>
      </c>
      <c r="C313" s="2">
        <v>58</v>
      </c>
      <c r="D313" s="2" t="s">
        <v>15</v>
      </c>
      <c r="E313" s="2">
        <v>109.7</v>
      </c>
      <c r="F313" s="2">
        <v>1.75</v>
      </c>
      <c r="G313" s="2">
        <v>181</v>
      </c>
      <c r="H313" s="2">
        <v>168</v>
      </c>
      <c r="I313" s="2">
        <v>54</v>
      </c>
      <c r="J313" s="2">
        <v>1.01</v>
      </c>
      <c r="K313" s="2">
        <v>840</v>
      </c>
      <c r="L313" s="2" t="s">
        <v>18</v>
      </c>
      <c r="M313" s="2">
        <v>22.1</v>
      </c>
      <c r="N313" s="2">
        <v>2.7</v>
      </c>
      <c r="O313" s="2">
        <v>2</v>
      </c>
      <c r="P313" s="2">
        <v>1</v>
      </c>
      <c r="Q313" s="2">
        <v>35.82</v>
      </c>
      <c r="R313" s="2" t="str" cm="1">
        <f t="array" ref="R313">_xlfn.IFS(Q313&lt;18.5,"Underweight",
AND(Q313&gt;=18.5,Q313&lt;25),"Normal Weight",
AND(Q313&gt;=25,Q313&lt;30),"Overweight",
Q313&gt;=30,"Obesity")</f>
        <v>Obesity</v>
      </c>
      <c r="S313" s="2">
        <f t="shared" si="4"/>
        <v>831.68316831683171</v>
      </c>
      <c r="T313" s="2" t="str" cm="1">
        <f t="array" ref="T313">_xlfn.IFS(N313&lt;=2.5,"Low",N313&lt;=3,"Medium",N313&gt;3,"High")</f>
        <v>Medium</v>
      </c>
    </row>
    <row r="314" spans="1:20" x14ac:dyDescent="0.3">
      <c r="A314" s="2">
        <v>313</v>
      </c>
      <c r="B314" s="2" t="s">
        <v>30</v>
      </c>
      <c r="C314" s="2">
        <v>54</v>
      </c>
      <c r="D314" s="2" t="s">
        <v>15</v>
      </c>
      <c r="E314" s="2">
        <v>78.400000000000006</v>
      </c>
      <c r="F314" s="2">
        <v>1.9</v>
      </c>
      <c r="G314" s="2">
        <v>174</v>
      </c>
      <c r="H314" s="2">
        <v>146</v>
      </c>
      <c r="I314" s="2">
        <v>72</v>
      </c>
      <c r="J314" s="2">
        <v>0.81</v>
      </c>
      <c r="K314" s="2">
        <v>585</v>
      </c>
      <c r="L314" s="2" t="s">
        <v>17</v>
      </c>
      <c r="M314" s="2">
        <v>21.5</v>
      </c>
      <c r="N314" s="2">
        <v>3.7</v>
      </c>
      <c r="O314" s="2">
        <v>2</v>
      </c>
      <c r="P314" s="2">
        <v>1</v>
      </c>
      <c r="Q314" s="2">
        <v>21.72</v>
      </c>
      <c r="R314" s="2" t="str" cm="1">
        <f t="array" ref="R314">_xlfn.IFS(Q314&lt;18.5,"Underweight",
AND(Q314&gt;=18.5,Q314&lt;25),"Normal Weight",
AND(Q314&gt;=25,Q314&lt;30),"Overweight",
Q314&gt;=30,"Obesity")</f>
        <v>Normal Weight</v>
      </c>
      <c r="S314" s="2">
        <f t="shared" si="4"/>
        <v>722.22222222222217</v>
      </c>
      <c r="T314" s="2" t="str" cm="1">
        <f t="array" ref="T314">_xlfn.IFS(N314&lt;=2.5,"Low",N314&lt;=3,"Medium",N314&gt;3,"High")</f>
        <v>High</v>
      </c>
    </row>
    <row r="315" spans="1:20" x14ac:dyDescent="0.3">
      <c r="A315" s="2">
        <v>314</v>
      </c>
      <c r="B315" s="2" t="s">
        <v>25</v>
      </c>
      <c r="C315" s="2">
        <v>41</v>
      </c>
      <c r="D315" s="2" t="s">
        <v>16</v>
      </c>
      <c r="E315" s="2">
        <v>76.7</v>
      </c>
      <c r="F315" s="2">
        <v>1.79</v>
      </c>
      <c r="G315" s="2">
        <v>172</v>
      </c>
      <c r="H315" s="2">
        <v>132</v>
      </c>
      <c r="I315" s="2">
        <v>56</v>
      </c>
      <c r="J315" s="2">
        <v>1.4</v>
      </c>
      <c r="K315" s="2">
        <v>832</v>
      </c>
      <c r="L315" s="2" t="s">
        <v>17</v>
      </c>
      <c r="M315" s="2">
        <v>34</v>
      </c>
      <c r="N315" s="2">
        <v>2</v>
      </c>
      <c r="O315" s="2">
        <v>4</v>
      </c>
      <c r="P315" s="2">
        <v>2</v>
      </c>
      <c r="Q315" s="2">
        <v>23.94</v>
      </c>
      <c r="R315" s="2" t="str" cm="1">
        <f t="array" ref="R315">_xlfn.IFS(Q315&lt;18.5,"Underweight",
AND(Q315&gt;=18.5,Q315&lt;25),"Normal Weight",
AND(Q315&gt;=25,Q315&lt;30),"Overweight",
Q315&gt;=30,"Obesity")</f>
        <v>Normal Weight</v>
      </c>
      <c r="S315" s="2">
        <f t="shared" si="4"/>
        <v>594.28571428571433</v>
      </c>
      <c r="T315" s="2" t="str" cm="1">
        <f t="array" ref="T315">_xlfn.IFS(N315&lt;=2.5,"Low",N315&lt;=3,"Medium",N315&gt;3,"High")</f>
        <v>Low</v>
      </c>
    </row>
    <row r="316" spans="1:20" x14ac:dyDescent="0.3">
      <c r="A316" s="2">
        <v>315</v>
      </c>
      <c r="B316" s="2" t="s">
        <v>27</v>
      </c>
      <c r="C316" s="2">
        <v>46</v>
      </c>
      <c r="D316" s="2" t="s">
        <v>16</v>
      </c>
      <c r="E316" s="2">
        <v>63.1</v>
      </c>
      <c r="F316" s="2">
        <v>1.61</v>
      </c>
      <c r="G316" s="2">
        <v>187</v>
      </c>
      <c r="H316" s="2">
        <v>152</v>
      </c>
      <c r="I316" s="2">
        <v>68</v>
      </c>
      <c r="J316" s="2">
        <v>1</v>
      </c>
      <c r="K316" s="2">
        <v>684</v>
      </c>
      <c r="L316" s="2" t="s">
        <v>20</v>
      </c>
      <c r="M316" s="2">
        <v>34.700000000000003</v>
      </c>
      <c r="N316" s="2">
        <v>2.2000000000000002</v>
      </c>
      <c r="O316" s="2">
        <v>4</v>
      </c>
      <c r="P316" s="2">
        <v>2</v>
      </c>
      <c r="Q316" s="2">
        <v>24.34</v>
      </c>
      <c r="R316" s="2" t="str" cm="1">
        <f t="array" ref="R316">_xlfn.IFS(Q316&lt;18.5,"Underweight",
AND(Q316&gt;=18.5,Q316&lt;25),"Normal Weight",
AND(Q316&gt;=25,Q316&lt;30),"Overweight",
Q316&gt;=30,"Obesity")</f>
        <v>Normal Weight</v>
      </c>
      <c r="S316" s="2">
        <f t="shared" si="4"/>
        <v>684</v>
      </c>
      <c r="T316" s="2" t="str" cm="1">
        <f t="array" ref="T316">_xlfn.IFS(N316&lt;=2.5,"Low",N316&lt;=3,"Medium",N316&gt;3,"High")</f>
        <v>Low</v>
      </c>
    </row>
    <row r="317" spans="1:20" x14ac:dyDescent="0.3">
      <c r="A317" s="2">
        <v>316</v>
      </c>
      <c r="B317" s="2" t="s">
        <v>25</v>
      </c>
      <c r="C317" s="2">
        <v>48</v>
      </c>
      <c r="D317" s="2" t="s">
        <v>16</v>
      </c>
      <c r="E317" s="2">
        <v>62.9</v>
      </c>
      <c r="F317" s="2">
        <v>1.58</v>
      </c>
      <c r="G317" s="2">
        <v>192</v>
      </c>
      <c r="H317" s="2">
        <v>124</v>
      </c>
      <c r="I317" s="2">
        <v>69</v>
      </c>
      <c r="J317" s="2">
        <v>1.98</v>
      </c>
      <c r="K317" s="2">
        <v>1105</v>
      </c>
      <c r="L317" s="2" t="s">
        <v>20</v>
      </c>
      <c r="M317" s="2">
        <v>20</v>
      </c>
      <c r="N317" s="2">
        <v>2.7</v>
      </c>
      <c r="O317" s="2">
        <v>4</v>
      </c>
      <c r="P317" s="2">
        <v>3</v>
      </c>
      <c r="Q317" s="2">
        <v>25.2</v>
      </c>
      <c r="R317" s="2" t="str" cm="1">
        <f t="array" ref="R317">_xlfn.IFS(Q317&lt;18.5,"Underweight",
AND(Q317&gt;=18.5,Q317&lt;25),"Normal Weight",
AND(Q317&gt;=25,Q317&lt;30),"Overweight",
Q317&gt;=30,"Obesity")</f>
        <v>Overweight</v>
      </c>
      <c r="S317" s="2">
        <f t="shared" si="4"/>
        <v>558.08080808080808</v>
      </c>
      <c r="T317" s="2" t="str" cm="1">
        <f t="array" ref="T317">_xlfn.IFS(N317&lt;=2.5,"Low",N317&lt;=3,"Medium",N317&gt;3,"High")</f>
        <v>Medium</v>
      </c>
    </row>
    <row r="318" spans="1:20" x14ac:dyDescent="0.3">
      <c r="A318" s="2">
        <v>317</v>
      </c>
      <c r="B318" s="2" t="s">
        <v>26</v>
      </c>
      <c r="C318" s="2">
        <v>52</v>
      </c>
      <c r="D318" s="2" t="s">
        <v>15</v>
      </c>
      <c r="E318" s="2">
        <v>85.6</v>
      </c>
      <c r="F318" s="2">
        <v>1.74</v>
      </c>
      <c r="G318" s="2">
        <v>182</v>
      </c>
      <c r="H318" s="2">
        <v>145</v>
      </c>
      <c r="I318" s="2">
        <v>56</v>
      </c>
      <c r="J318" s="2">
        <v>1.84</v>
      </c>
      <c r="K318" s="2">
        <v>1321</v>
      </c>
      <c r="L318" s="2" t="s">
        <v>17</v>
      </c>
      <c r="M318" s="2">
        <v>13.9</v>
      </c>
      <c r="N318" s="2">
        <v>3.5</v>
      </c>
      <c r="O318" s="2">
        <v>4</v>
      </c>
      <c r="P318" s="2">
        <v>3</v>
      </c>
      <c r="Q318" s="2">
        <v>28.27</v>
      </c>
      <c r="R318" s="2" t="str" cm="1">
        <f t="array" ref="R318">_xlfn.IFS(Q318&lt;18.5,"Underweight",
AND(Q318&gt;=18.5,Q318&lt;25),"Normal Weight",
AND(Q318&gt;=25,Q318&lt;30),"Overweight",
Q318&gt;=30,"Obesity")</f>
        <v>Overweight</v>
      </c>
      <c r="S318" s="2">
        <f t="shared" si="4"/>
        <v>717.93478260869563</v>
      </c>
      <c r="T318" s="2" t="str" cm="1">
        <f t="array" ref="T318">_xlfn.IFS(N318&lt;=2.5,"Low",N318&lt;=3,"Medium",N318&gt;3,"High")</f>
        <v>High</v>
      </c>
    </row>
    <row r="319" spans="1:20" x14ac:dyDescent="0.3">
      <c r="A319" s="2">
        <v>318</v>
      </c>
      <c r="B319" s="2" t="s">
        <v>23</v>
      </c>
      <c r="C319" s="2">
        <v>50</v>
      </c>
      <c r="D319" s="2" t="s">
        <v>16</v>
      </c>
      <c r="E319" s="2">
        <v>66.3</v>
      </c>
      <c r="F319" s="2">
        <v>1.57</v>
      </c>
      <c r="G319" s="2">
        <v>192</v>
      </c>
      <c r="H319" s="2">
        <v>132</v>
      </c>
      <c r="I319" s="2">
        <v>73</v>
      </c>
      <c r="J319" s="2">
        <v>1.25</v>
      </c>
      <c r="K319" s="2">
        <v>742</v>
      </c>
      <c r="L319" s="2" t="s">
        <v>18</v>
      </c>
      <c r="M319" s="2">
        <v>31.6</v>
      </c>
      <c r="N319" s="2">
        <v>1.6</v>
      </c>
      <c r="O319" s="2">
        <v>2</v>
      </c>
      <c r="P319" s="2">
        <v>1</v>
      </c>
      <c r="Q319" s="2">
        <v>26.9</v>
      </c>
      <c r="R319" s="2" t="str" cm="1">
        <f t="array" ref="R319">_xlfn.IFS(Q319&lt;18.5,"Underweight",
AND(Q319&gt;=18.5,Q319&lt;25),"Normal Weight",
AND(Q319&gt;=25,Q319&lt;30),"Overweight",
Q319&gt;=30,"Obesity")</f>
        <v>Overweight</v>
      </c>
      <c r="S319" s="2">
        <f t="shared" si="4"/>
        <v>593.6</v>
      </c>
      <c r="T319" s="2" t="str" cm="1">
        <f t="array" ref="T319">_xlfn.IFS(N319&lt;=2.5,"Low",N319&lt;=3,"Medium",N319&gt;3,"High")</f>
        <v>Low</v>
      </c>
    </row>
    <row r="320" spans="1:20" x14ac:dyDescent="0.3">
      <c r="A320" s="2">
        <v>319</v>
      </c>
      <c r="B320" s="2" t="s">
        <v>23</v>
      </c>
      <c r="C320" s="2">
        <v>38</v>
      </c>
      <c r="D320" s="2" t="s">
        <v>15</v>
      </c>
      <c r="E320" s="2">
        <v>61.3</v>
      </c>
      <c r="F320" s="2">
        <v>1.97</v>
      </c>
      <c r="G320" s="2">
        <v>177</v>
      </c>
      <c r="H320" s="2">
        <v>146</v>
      </c>
      <c r="I320" s="2">
        <v>51</v>
      </c>
      <c r="J320" s="2">
        <v>1.37</v>
      </c>
      <c r="K320" s="2">
        <v>1100</v>
      </c>
      <c r="L320" s="2" t="s">
        <v>19</v>
      </c>
      <c r="M320" s="2">
        <v>23.5</v>
      </c>
      <c r="N320" s="2">
        <v>2.8</v>
      </c>
      <c r="O320" s="2">
        <v>3</v>
      </c>
      <c r="P320" s="2">
        <v>1</v>
      </c>
      <c r="Q320" s="2">
        <v>15.8</v>
      </c>
      <c r="R320" s="2" t="str" cm="1">
        <f t="array" ref="R320">_xlfn.IFS(Q320&lt;18.5,"Underweight",
AND(Q320&gt;=18.5,Q320&lt;25),"Normal Weight",
AND(Q320&gt;=25,Q320&lt;30),"Overweight",
Q320&gt;=30,"Obesity")</f>
        <v>Underweight</v>
      </c>
      <c r="S320" s="2">
        <f t="shared" si="4"/>
        <v>802.91970802919707</v>
      </c>
      <c r="T320" s="2" t="str" cm="1">
        <f t="array" ref="T320">_xlfn.IFS(N320&lt;=2.5,"Low",N320&lt;=3,"Medium",N320&gt;3,"High")</f>
        <v>Medium</v>
      </c>
    </row>
    <row r="321" spans="1:20" x14ac:dyDescent="0.3">
      <c r="A321" s="2">
        <v>320</v>
      </c>
      <c r="B321" s="2" t="s">
        <v>28</v>
      </c>
      <c r="C321" s="2">
        <v>49</v>
      </c>
      <c r="D321" s="2" t="s">
        <v>16</v>
      </c>
      <c r="E321" s="2">
        <v>44.1</v>
      </c>
      <c r="F321" s="2">
        <v>1.65</v>
      </c>
      <c r="G321" s="2">
        <v>189</v>
      </c>
      <c r="H321" s="2">
        <v>133</v>
      </c>
      <c r="I321" s="2">
        <v>74</v>
      </c>
      <c r="J321" s="2">
        <v>1.1599999999999999</v>
      </c>
      <c r="K321" s="2">
        <v>694</v>
      </c>
      <c r="L321" s="2" t="s">
        <v>18</v>
      </c>
      <c r="M321" s="2">
        <v>26.7</v>
      </c>
      <c r="N321" s="2">
        <v>1.8</v>
      </c>
      <c r="O321" s="2">
        <v>4</v>
      </c>
      <c r="P321" s="2">
        <v>2</v>
      </c>
      <c r="Q321" s="2">
        <v>16.2</v>
      </c>
      <c r="R321" s="2" t="str" cm="1">
        <f t="array" ref="R321">_xlfn.IFS(Q321&lt;18.5,"Underweight",
AND(Q321&gt;=18.5,Q321&lt;25),"Normal Weight",
AND(Q321&gt;=25,Q321&lt;30),"Overweight",
Q321&gt;=30,"Obesity")</f>
        <v>Underweight</v>
      </c>
      <c r="S321" s="2">
        <f t="shared" si="4"/>
        <v>598.27586206896558</v>
      </c>
      <c r="T321" s="2" t="str" cm="1">
        <f t="array" ref="T321">_xlfn.IFS(N321&lt;=2.5,"Low",N321&lt;=3,"Medium",N321&gt;3,"High")</f>
        <v>Low</v>
      </c>
    </row>
    <row r="322" spans="1:20" x14ac:dyDescent="0.3">
      <c r="A322" s="2">
        <v>321</v>
      </c>
      <c r="B322" s="2" t="s">
        <v>27</v>
      </c>
      <c r="C322" s="2">
        <v>40</v>
      </c>
      <c r="D322" s="2" t="s">
        <v>15</v>
      </c>
      <c r="E322" s="2">
        <v>63.8</v>
      </c>
      <c r="F322" s="2">
        <v>1.62</v>
      </c>
      <c r="G322" s="2">
        <v>185</v>
      </c>
      <c r="H322" s="2">
        <v>143</v>
      </c>
      <c r="I322" s="2">
        <v>72</v>
      </c>
      <c r="J322" s="2">
        <v>1.3</v>
      </c>
      <c r="K322" s="2">
        <v>1022</v>
      </c>
      <c r="L322" s="2" t="s">
        <v>18</v>
      </c>
      <c r="M322" s="2">
        <v>20.8</v>
      </c>
      <c r="N322" s="2">
        <v>3.4</v>
      </c>
      <c r="O322" s="2">
        <v>2</v>
      </c>
      <c r="P322" s="2">
        <v>1</v>
      </c>
      <c r="Q322" s="2">
        <v>24.31</v>
      </c>
      <c r="R322" s="2" t="str" cm="1">
        <f t="array" ref="R322">_xlfn.IFS(Q322&lt;18.5,"Underweight",
AND(Q322&gt;=18.5,Q322&lt;25),"Normal Weight",
AND(Q322&gt;=25,Q322&lt;30),"Overweight",
Q322&gt;=30,"Obesity")</f>
        <v>Normal Weight</v>
      </c>
      <c r="S322" s="2">
        <f t="shared" si="4"/>
        <v>786.15384615384608</v>
      </c>
      <c r="T322" s="2" t="str" cm="1">
        <f t="array" ref="T322">_xlfn.IFS(N322&lt;=2.5,"Low",N322&lt;=3,"Medium",N322&gt;3,"High")</f>
        <v>High</v>
      </c>
    </row>
    <row r="323" spans="1:20" x14ac:dyDescent="0.3">
      <c r="A323" s="2">
        <v>322</v>
      </c>
      <c r="B323" s="2" t="s">
        <v>21</v>
      </c>
      <c r="C323" s="2">
        <v>50</v>
      </c>
      <c r="D323" s="2" t="s">
        <v>16</v>
      </c>
      <c r="E323" s="2">
        <v>55.4</v>
      </c>
      <c r="F323" s="2">
        <v>1.55</v>
      </c>
      <c r="G323" s="2">
        <v>175</v>
      </c>
      <c r="H323" s="2">
        <v>122</v>
      </c>
      <c r="I323" s="2">
        <v>65</v>
      </c>
      <c r="J323" s="2">
        <v>1.85</v>
      </c>
      <c r="K323" s="2">
        <v>1016</v>
      </c>
      <c r="L323" s="2" t="s">
        <v>20</v>
      </c>
      <c r="M323" s="2">
        <v>18.5</v>
      </c>
      <c r="N323" s="2">
        <v>2.7</v>
      </c>
      <c r="O323" s="2">
        <v>4</v>
      </c>
      <c r="P323" s="2">
        <v>3</v>
      </c>
      <c r="Q323" s="2">
        <v>23.06</v>
      </c>
      <c r="R323" s="2" t="str" cm="1">
        <f t="array" ref="R323">_xlfn.IFS(Q323&lt;18.5,"Underweight",
AND(Q323&gt;=18.5,Q323&lt;25),"Normal Weight",
AND(Q323&gt;=25,Q323&lt;30),"Overweight",
Q323&gt;=30,"Obesity")</f>
        <v>Normal Weight</v>
      </c>
      <c r="S323" s="2">
        <f t="shared" ref="S323:S386" si="5">K323/J323</f>
        <v>549.18918918918916</v>
      </c>
      <c r="T323" s="2" t="str" cm="1">
        <f t="array" ref="T323">_xlfn.IFS(N323&lt;=2.5,"Low",N323&lt;=3,"Medium",N323&gt;3,"High")</f>
        <v>Medium</v>
      </c>
    </row>
    <row r="324" spans="1:20" x14ac:dyDescent="0.3">
      <c r="A324" s="2">
        <v>323</v>
      </c>
      <c r="B324" s="2" t="s">
        <v>28</v>
      </c>
      <c r="C324" s="2">
        <v>20</v>
      </c>
      <c r="D324" s="2" t="s">
        <v>16</v>
      </c>
      <c r="E324" s="2">
        <v>74.7</v>
      </c>
      <c r="F324" s="2">
        <v>1.58</v>
      </c>
      <c r="G324" s="2">
        <v>172</v>
      </c>
      <c r="H324" s="2">
        <v>166</v>
      </c>
      <c r="I324" s="2">
        <v>62</v>
      </c>
      <c r="J324" s="2">
        <v>1.04</v>
      </c>
      <c r="K324" s="2">
        <v>863</v>
      </c>
      <c r="L324" s="2" t="s">
        <v>20</v>
      </c>
      <c r="M324" s="2">
        <v>32.799999999999997</v>
      </c>
      <c r="N324" s="2">
        <v>2.4</v>
      </c>
      <c r="O324" s="2">
        <v>3</v>
      </c>
      <c r="P324" s="2">
        <v>2</v>
      </c>
      <c r="Q324" s="2">
        <v>29.92</v>
      </c>
      <c r="R324" s="2" t="str" cm="1">
        <f t="array" ref="R324">_xlfn.IFS(Q324&lt;18.5,"Underweight",
AND(Q324&gt;=18.5,Q324&lt;25),"Normal Weight",
AND(Q324&gt;=25,Q324&lt;30),"Overweight",
Q324&gt;=30,"Obesity")</f>
        <v>Overweight</v>
      </c>
      <c r="S324" s="2">
        <f t="shared" si="5"/>
        <v>829.80769230769226</v>
      </c>
      <c r="T324" s="2" t="str" cm="1">
        <f t="array" ref="T324">_xlfn.IFS(N324&lt;=2.5,"Low",N324&lt;=3,"Medium",N324&gt;3,"High")</f>
        <v>Low</v>
      </c>
    </row>
    <row r="325" spans="1:20" x14ac:dyDescent="0.3">
      <c r="A325" s="2">
        <v>324</v>
      </c>
      <c r="B325" s="2" t="s">
        <v>25</v>
      </c>
      <c r="C325" s="2">
        <v>35</v>
      </c>
      <c r="D325" s="2" t="s">
        <v>16</v>
      </c>
      <c r="E325" s="2">
        <v>78</v>
      </c>
      <c r="F325" s="2">
        <v>1.67</v>
      </c>
      <c r="G325" s="2">
        <v>198</v>
      </c>
      <c r="H325" s="2">
        <v>168</v>
      </c>
      <c r="I325" s="2">
        <v>57</v>
      </c>
      <c r="J325" s="2">
        <v>1.1299999999999999</v>
      </c>
      <c r="K325" s="2">
        <v>949</v>
      </c>
      <c r="L325" s="2" t="s">
        <v>20</v>
      </c>
      <c r="M325" s="2">
        <v>33.299999999999997</v>
      </c>
      <c r="N325" s="2">
        <v>2.5</v>
      </c>
      <c r="O325" s="2">
        <v>4</v>
      </c>
      <c r="P325" s="2">
        <v>2</v>
      </c>
      <c r="Q325" s="2">
        <v>27.97</v>
      </c>
      <c r="R325" s="2" t="str" cm="1">
        <f t="array" ref="R325">_xlfn.IFS(Q325&lt;18.5,"Underweight",
AND(Q325&gt;=18.5,Q325&lt;25),"Normal Weight",
AND(Q325&gt;=25,Q325&lt;30),"Overweight",
Q325&gt;=30,"Obesity")</f>
        <v>Overweight</v>
      </c>
      <c r="S325" s="2">
        <f t="shared" si="5"/>
        <v>839.8230088495576</v>
      </c>
      <c r="T325" s="2" t="str" cm="1">
        <f t="array" ref="T325">_xlfn.IFS(N325&lt;=2.5,"Low",N325&lt;=3,"Medium",N325&gt;3,"High")</f>
        <v>Low</v>
      </c>
    </row>
    <row r="326" spans="1:20" x14ac:dyDescent="0.3">
      <c r="A326" s="2">
        <v>325</v>
      </c>
      <c r="B326" s="2" t="s">
        <v>28</v>
      </c>
      <c r="C326" s="2">
        <v>42</v>
      </c>
      <c r="D326" s="2" t="s">
        <v>16</v>
      </c>
      <c r="E326" s="2">
        <v>57.5</v>
      </c>
      <c r="F326" s="2">
        <v>1.67</v>
      </c>
      <c r="G326" s="2">
        <v>192</v>
      </c>
      <c r="H326" s="2">
        <v>149</v>
      </c>
      <c r="I326" s="2">
        <v>55</v>
      </c>
      <c r="J326" s="2">
        <v>1.1399999999999999</v>
      </c>
      <c r="K326" s="2">
        <v>764</v>
      </c>
      <c r="L326" s="2" t="s">
        <v>17</v>
      </c>
      <c r="M326" s="2">
        <v>34.1</v>
      </c>
      <c r="N326" s="2">
        <v>2.4</v>
      </c>
      <c r="O326" s="2">
        <v>2</v>
      </c>
      <c r="P326" s="2">
        <v>1</v>
      </c>
      <c r="Q326" s="2">
        <v>20.62</v>
      </c>
      <c r="R326" s="2" t="str" cm="1">
        <f t="array" ref="R326">_xlfn.IFS(Q326&lt;18.5,"Underweight",
AND(Q326&gt;=18.5,Q326&lt;25),"Normal Weight",
AND(Q326&gt;=25,Q326&lt;30),"Overweight",
Q326&gt;=30,"Obesity")</f>
        <v>Normal Weight</v>
      </c>
      <c r="S326" s="2">
        <f t="shared" si="5"/>
        <v>670.17543859649129</v>
      </c>
      <c r="T326" s="2" t="str" cm="1">
        <f t="array" ref="T326">_xlfn.IFS(N326&lt;=2.5,"Low",N326&lt;=3,"Medium",N326&gt;3,"High")</f>
        <v>Low</v>
      </c>
    </row>
    <row r="327" spans="1:20" x14ac:dyDescent="0.3">
      <c r="A327" s="2">
        <v>326</v>
      </c>
      <c r="B327" s="2" t="s">
        <v>25</v>
      </c>
      <c r="C327" s="2">
        <v>59</v>
      </c>
      <c r="D327" s="2" t="s">
        <v>16</v>
      </c>
      <c r="E327" s="2">
        <v>60.7</v>
      </c>
      <c r="F327" s="2">
        <v>1.73</v>
      </c>
      <c r="G327" s="2">
        <v>185</v>
      </c>
      <c r="H327" s="2">
        <v>154</v>
      </c>
      <c r="I327" s="2">
        <v>55</v>
      </c>
      <c r="J327" s="2">
        <v>1.03</v>
      </c>
      <c r="K327" s="2">
        <v>714</v>
      </c>
      <c r="L327" s="2" t="s">
        <v>17</v>
      </c>
      <c r="M327" s="2">
        <v>33.799999999999997</v>
      </c>
      <c r="N327" s="2">
        <v>2.5</v>
      </c>
      <c r="O327" s="2">
        <v>3</v>
      </c>
      <c r="P327" s="2">
        <v>2</v>
      </c>
      <c r="Q327" s="2">
        <v>20.28</v>
      </c>
      <c r="R327" s="2" t="str" cm="1">
        <f t="array" ref="R327">_xlfn.IFS(Q327&lt;18.5,"Underweight",
AND(Q327&gt;=18.5,Q327&lt;25),"Normal Weight",
AND(Q327&gt;=25,Q327&lt;30),"Overweight",
Q327&gt;=30,"Obesity")</f>
        <v>Normal Weight</v>
      </c>
      <c r="S327" s="2">
        <f t="shared" si="5"/>
        <v>693.20388349514565</v>
      </c>
      <c r="T327" s="2" t="str" cm="1">
        <f t="array" ref="T327">_xlfn.IFS(N327&lt;=2.5,"Low",N327&lt;=3,"Medium",N327&gt;3,"High")</f>
        <v>Low</v>
      </c>
    </row>
    <row r="328" spans="1:20" x14ac:dyDescent="0.3">
      <c r="A328" s="2">
        <v>327</v>
      </c>
      <c r="B328" s="2" t="s">
        <v>29</v>
      </c>
      <c r="C328" s="2">
        <v>48</v>
      </c>
      <c r="D328" s="2" t="s">
        <v>15</v>
      </c>
      <c r="E328" s="2">
        <v>69</v>
      </c>
      <c r="F328" s="2">
        <v>1.74</v>
      </c>
      <c r="G328" s="2">
        <v>160</v>
      </c>
      <c r="H328" s="2">
        <v>167</v>
      </c>
      <c r="I328" s="2">
        <v>58</v>
      </c>
      <c r="J328" s="2">
        <v>1.48</v>
      </c>
      <c r="K328" s="2">
        <v>1223</v>
      </c>
      <c r="L328" s="2" t="s">
        <v>18</v>
      </c>
      <c r="M328" s="2">
        <v>30</v>
      </c>
      <c r="N328" s="2">
        <v>2.2999999999999998</v>
      </c>
      <c r="O328" s="2">
        <v>3</v>
      </c>
      <c r="P328" s="2">
        <v>2</v>
      </c>
      <c r="Q328" s="2">
        <v>22.79</v>
      </c>
      <c r="R328" s="2" t="str" cm="1">
        <f t="array" ref="R328">_xlfn.IFS(Q328&lt;18.5,"Underweight",
AND(Q328&gt;=18.5,Q328&lt;25),"Normal Weight",
AND(Q328&gt;=25,Q328&lt;30),"Overweight",
Q328&gt;=30,"Obesity")</f>
        <v>Normal Weight</v>
      </c>
      <c r="S328" s="2">
        <f t="shared" si="5"/>
        <v>826.35135135135135</v>
      </c>
      <c r="T328" s="2" t="str" cm="1">
        <f t="array" ref="T328">_xlfn.IFS(N328&lt;=2.5,"Low",N328&lt;=3,"Medium",N328&gt;3,"High")</f>
        <v>Low</v>
      </c>
    </row>
    <row r="329" spans="1:20" x14ac:dyDescent="0.3">
      <c r="A329" s="2">
        <v>328</v>
      </c>
      <c r="B329" s="2" t="s">
        <v>23</v>
      </c>
      <c r="C329" s="2">
        <v>20</v>
      </c>
      <c r="D329" s="2" t="s">
        <v>16</v>
      </c>
      <c r="E329" s="2">
        <v>75.8</v>
      </c>
      <c r="F329" s="2">
        <v>1.78</v>
      </c>
      <c r="G329" s="2">
        <v>197</v>
      </c>
      <c r="H329" s="2">
        <v>133</v>
      </c>
      <c r="I329" s="2">
        <v>53</v>
      </c>
      <c r="J329" s="2">
        <v>1.42</v>
      </c>
      <c r="K329" s="2">
        <v>944</v>
      </c>
      <c r="L329" s="2" t="s">
        <v>18</v>
      </c>
      <c r="M329" s="2">
        <v>27.4</v>
      </c>
      <c r="N329" s="2">
        <v>2</v>
      </c>
      <c r="O329" s="2">
        <v>4</v>
      </c>
      <c r="P329" s="2">
        <v>2</v>
      </c>
      <c r="Q329" s="2">
        <v>23.92</v>
      </c>
      <c r="R329" s="2" t="str" cm="1">
        <f t="array" ref="R329">_xlfn.IFS(Q329&lt;18.5,"Underweight",
AND(Q329&gt;=18.5,Q329&lt;25),"Normal Weight",
AND(Q329&gt;=25,Q329&lt;30),"Overweight",
Q329&gt;=30,"Obesity")</f>
        <v>Normal Weight</v>
      </c>
      <c r="S329" s="2">
        <f t="shared" si="5"/>
        <v>664.78873239436621</v>
      </c>
      <c r="T329" s="2" t="str" cm="1">
        <f t="array" ref="T329">_xlfn.IFS(N329&lt;=2.5,"Low",N329&lt;=3,"Medium",N329&gt;3,"High")</f>
        <v>Low</v>
      </c>
    </row>
    <row r="330" spans="1:20" x14ac:dyDescent="0.3">
      <c r="A330" s="2">
        <v>329</v>
      </c>
      <c r="B330" s="2" t="s">
        <v>29</v>
      </c>
      <c r="C330" s="2">
        <v>57</v>
      </c>
      <c r="D330" s="2" t="s">
        <v>16</v>
      </c>
      <c r="E330" s="2">
        <v>75.7</v>
      </c>
      <c r="F330" s="2">
        <v>1.63</v>
      </c>
      <c r="G330" s="2">
        <v>161</v>
      </c>
      <c r="H330" s="2">
        <v>131</v>
      </c>
      <c r="I330" s="2">
        <v>60</v>
      </c>
      <c r="J330" s="2">
        <v>0.69</v>
      </c>
      <c r="K330" s="2">
        <v>407</v>
      </c>
      <c r="L330" s="2" t="s">
        <v>19</v>
      </c>
      <c r="M330" s="2">
        <v>32.6</v>
      </c>
      <c r="N330" s="2">
        <v>2.2999999999999998</v>
      </c>
      <c r="O330" s="2">
        <v>3</v>
      </c>
      <c r="P330" s="2">
        <v>1</v>
      </c>
      <c r="Q330" s="2">
        <v>28.49</v>
      </c>
      <c r="R330" s="2" t="str" cm="1">
        <f t="array" ref="R330">_xlfn.IFS(Q330&lt;18.5,"Underweight",
AND(Q330&gt;=18.5,Q330&lt;25),"Normal Weight",
AND(Q330&gt;=25,Q330&lt;30),"Overweight",
Q330&gt;=30,"Obesity")</f>
        <v>Overweight</v>
      </c>
      <c r="S330" s="2">
        <f t="shared" si="5"/>
        <v>589.85507246376812</v>
      </c>
      <c r="T330" s="2" t="str" cm="1">
        <f t="array" ref="T330">_xlfn.IFS(N330&lt;=2.5,"Low",N330&lt;=3,"Medium",N330&gt;3,"High")</f>
        <v>Low</v>
      </c>
    </row>
    <row r="331" spans="1:20" x14ac:dyDescent="0.3">
      <c r="A331" s="2">
        <v>330</v>
      </c>
      <c r="B331" s="2" t="s">
        <v>30</v>
      </c>
      <c r="C331" s="2">
        <v>41</v>
      </c>
      <c r="D331" s="2" t="s">
        <v>16</v>
      </c>
      <c r="E331" s="2">
        <v>71.2</v>
      </c>
      <c r="F331" s="2">
        <v>1.64</v>
      </c>
      <c r="G331" s="2">
        <v>165</v>
      </c>
      <c r="H331" s="2">
        <v>147</v>
      </c>
      <c r="I331" s="2">
        <v>54</v>
      </c>
      <c r="J331" s="2">
        <v>1.42</v>
      </c>
      <c r="K331" s="2">
        <v>939</v>
      </c>
      <c r="L331" s="2" t="s">
        <v>18</v>
      </c>
      <c r="M331" s="2">
        <v>30.9</v>
      </c>
      <c r="N331" s="2">
        <v>2.2999999999999998</v>
      </c>
      <c r="O331" s="2">
        <v>3</v>
      </c>
      <c r="P331" s="2">
        <v>2</v>
      </c>
      <c r="Q331" s="2">
        <v>26.47</v>
      </c>
      <c r="R331" s="2" t="str" cm="1">
        <f t="array" ref="R331">_xlfn.IFS(Q331&lt;18.5,"Underweight",
AND(Q331&gt;=18.5,Q331&lt;25),"Normal Weight",
AND(Q331&gt;=25,Q331&lt;30),"Overweight",
Q331&gt;=30,"Obesity")</f>
        <v>Overweight</v>
      </c>
      <c r="S331" s="2">
        <f t="shared" si="5"/>
        <v>661.26760563380287</v>
      </c>
      <c r="T331" s="2" t="str" cm="1">
        <f t="array" ref="T331">_xlfn.IFS(N331&lt;=2.5,"Low",N331&lt;=3,"Medium",N331&gt;3,"High")</f>
        <v>Low</v>
      </c>
    </row>
    <row r="332" spans="1:20" x14ac:dyDescent="0.3">
      <c r="A332" s="2">
        <v>331</v>
      </c>
      <c r="B332" s="2" t="s">
        <v>27</v>
      </c>
      <c r="C332" s="2">
        <v>49</v>
      </c>
      <c r="D332" s="2" t="s">
        <v>15</v>
      </c>
      <c r="E332" s="2">
        <v>85</v>
      </c>
      <c r="F332" s="2">
        <v>1.68</v>
      </c>
      <c r="G332" s="2">
        <v>197</v>
      </c>
      <c r="H332" s="2">
        <v>163</v>
      </c>
      <c r="I332" s="2">
        <v>74</v>
      </c>
      <c r="J332" s="2">
        <v>1.82</v>
      </c>
      <c r="K332" s="2">
        <v>1468</v>
      </c>
      <c r="L332" s="2" t="s">
        <v>18</v>
      </c>
      <c r="M332" s="2">
        <v>11.3</v>
      </c>
      <c r="N332" s="2">
        <v>3.5</v>
      </c>
      <c r="O332" s="2">
        <v>4</v>
      </c>
      <c r="P332" s="2">
        <v>3</v>
      </c>
      <c r="Q332" s="2">
        <v>30.12</v>
      </c>
      <c r="R332" s="2" t="str" cm="1">
        <f t="array" ref="R332">_xlfn.IFS(Q332&lt;18.5,"Underweight",
AND(Q332&gt;=18.5,Q332&lt;25),"Normal Weight",
AND(Q332&gt;=25,Q332&lt;30),"Overweight",
Q332&gt;=30,"Obesity")</f>
        <v>Obesity</v>
      </c>
      <c r="S332" s="2">
        <f t="shared" si="5"/>
        <v>806.5934065934066</v>
      </c>
      <c r="T332" s="2" t="str" cm="1">
        <f t="array" ref="T332">_xlfn.IFS(N332&lt;=2.5,"Low",N332&lt;=3,"Medium",N332&gt;3,"High")</f>
        <v>High</v>
      </c>
    </row>
    <row r="333" spans="1:20" x14ac:dyDescent="0.3">
      <c r="A333" s="2">
        <v>332</v>
      </c>
      <c r="B333" s="2" t="s">
        <v>21</v>
      </c>
      <c r="C333" s="2">
        <v>39</v>
      </c>
      <c r="D333" s="2" t="s">
        <v>16</v>
      </c>
      <c r="E333" s="2">
        <v>63.6</v>
      </c>
      <c r="F333" s="2">
        <v>1.56</v>
      </c>
      <c r="G333" s="2">
        <v>183</v>
      </c>
      <c r="H333" s="2">
        <v>148</v>
      </c>
      <c r="I333" s="2">
        <v>66</v>
      </c>
      <c r="J333" s="2">
        <v>1.22</v>
      </c>
      <c r="K333" s="2">
        <v>903</v>
      </c>
      <c r="L333" s="2" t="s">
        <v>20</v>
      </c>
      <c r="M333" s="2">
        <v>34.799999999999997</v>
      </c>
      <c r="N333" s="2">
        <v>2.4</v>
      </c>
      <c r="O333" s="2">
        <v>2</v>
      </c>
      <c r="P333" s="2">
        <v>1</v>
      </c>
      <c r="Q333" s="2">
        <v>26.13</v>
      </c>
      <c r="R333" s="2" t="str" cm="1">
        <f t="array" ref="R333">_xlfn.IFS(Q333&lt;18.5,"Underweight",
AND(Q333&gt;=18.5,Q333&lt;25),"Normal Weight",
AND(Q333&gt;=25,Q333&lt;30),"Overweight",
Q333&gt;=30,"Obesity")</f>
        <v>Overweight</v>
      </c>
      <c r="S333" s="2">
        <f t="shared" si="5"/>
        <v>740.1639344262295</v>
      </c>
      <c r="T333" s="2" t="str" cm="1">
        <f t="array" ref="T333">_xlfn.IFS(N333&lt;=2.5,"Low",N333&lt;=3,"Medium",N333&gt;3,"High")</f>
        <v>Low</v>
      </c>
    </row>
    <row r="334" spans="1:20" x14ac:dyDescent="0.3">
      <c r="A334" s="2">
        <v>333</v>
      </c>
      <c r="B334" s="2" t="s">
        <v>25</v>
      </c>
      <c r="C334" s="2">
        <v>40</v>
      </c>
      <c r="D334" s="2" t="s">
        <v>15</v>
      </c>
      <c r="E334" s="2">
        <v>73.2</v>
      </c>
      <c r="F334" s="2">
        <v>1.94</v>
      </c>
      <c r="G334" s="2">
        <v>177</v>
      </c>
      <c r="H334" s="2">
        <v>162</v>
      </c>
      <c r="I334" s="2">
        <v>69</v>
      </c>
      <c r="J334" s="2">
        <v>0.81</v>
      </c>
      <c r="K334" s="2">
        <v>722</v>
      </c>
      <c r="L334" s="2" t="s">
        <v>20</v>
      </c>
      <c r="M334" s="2">
        <v>29</v>
      </c>
      <c r="N334" s="2">
        <v>2.4</v>
      </c>
      <c r="O334" s="2">
        <v>2</v>
      </c>
      <c r="P334" s="2">
        <v>1</v>
      </c>
      <c r="Q334" s="2">
        <v>19.45</v>
      </c>
      <c r="R334" s="2" t="str" cm="1">
        <f t="array" ref="R334">_xlfn.IFS(Q334&lt;18.5,"Underweight",
AND(Q334&gt;=18.5,Q334&lt;25),"Normal Weight",
AND(Q334&gt;=25,Q334&lt;30),"Overweight",
Q334&gt;=30,"Obesity")</f>
        <v>Normal Weight</v>
      </c>
      <c r="S334" s="2">
        <f t="shared" si="5"/>
        <v>891.35802469135797</v>
      </c>
      <c r="T334" s="2" t="str" cm="1">
        <f t="array" ref="T334">_xlfn.IFS(N334&lt;=2.5,"Low",N334&lt;=3,"Medium",N334&gt;3,"High")</f>
        <v>Low</v>
      </c>
    </row>
    <row r="335" spans="1:20" x14ac:dyDescent="0.3">
      <c r="A335" s="2">
        <v>334</v>
      </c>
      <c r="B335" s="2" t="s">
        <v>21</v>
      </c>
      <c r="C335" s="2">
        <v>19</v>
      </c>
      <c r="D335" s="2" t="s">
        <v>16</v>
      </c>
      <c r="E335" s="2">
        <v>48.3</v>
      </c>
      <c r="F335" s="2">
        <v>1.52</v>
      </c>
      <c r="G335" s="2">
        <v>186</v>
      </c>
      <c r="H335" s="2">
        <v>136</v>
      </c>
      <c r="I335" s="2">
        <v>56</v>
      </c>
      <c r="J335" s="2">
        <v>0.96</v>
      </c>
      <c r="K335" s="2">
        <v>653</v>
      </c>
      <c r="L335" s="2" t="s">
        <v>20</v>
      </c>
      <c r="M335" s="2">
        <v>26.3</v>
      </c>
      <c r="N335" s="2">
        <v>1.6</v>
      </c>
      <c r="O335" s="2">
        <v>2</v>
      </c>
      <c r="P335" s="2">
        <v>1</v>
      </c>
      <c r="Q335" s="2">
        <v>20.91</v>
      </c>
      <c r="R335" s="2" t="str" cm="1">
        <f t="array" ref="R335">_xlfn.IFS(Q335&lt;18.5,"Underweight",
AND(Q335&gt;=18.5,Q335&lt;25),"Normal Weight",
AND(Q335&gt;=25,Q335&lt;30),"Overweight",
Q335&gt;=30,"Obesity")</f>
        <v>Normal Weight</v>
      </c>
      <c r="S335" s="2">
        <f t="shared" si="5"/>
        <v>680.20833333333337</v>
      </c>
      <c r="T335" s="2" t="str" cm="1">
        <f t="array" ref="T335">_xlfn.IFS(N335&lt;=2.5,"Low",N335&lt;=3,"Medium",N335&gt;3,"High")</f>
        <v>Low</v>
      </c>
    </row>
    <row r="336" spans="1:20" x14ac:dyDescent="0.3">
      <c r="A336" s="2">
        <v>335</v>
      </c>
      <c r="B336" s="2" t="s">
        <v>25</v>
      </c>
      <c r="C336" s="2">
        <v>44</v>
      </c>
      <c r="D336" s="2" t="s">
        <v>16</v>
      </c>
      <c r="E336" s="2">
        <v>42.8</v>
      </c>
      <c r="F336" s="2">
        <v>1.78</v>
      </c>
      <c r="G336" s="2">
        <v>167</v>
      </c>
      <c r="H336" s="2">
        <v>159</v>
      </c>
      <c r="I336" s="2">
        <v>64</v>
      </c>
      <c r="J336" s="2">
        <v>1.49</v>
      </c>
      <c r="K336" s="2">
        <v>1066</v>
      </c>
      <c r="L336" s="2" t="s">
        <v>20</v>
      </c>
      <c r="M336" s="2">
        <v>25.3</v>
      </c>
      <c r="N336" s="2">
        <v>2.6</v>
      </c>
      <c r="O336" s="2">
        <v>3</v>
      </c>
      <c r="P336" s="2">
        <v>2</v>
      </c>
      <c r="Q336" s="2">
        <v>13.51</v>
      </c>
      <c r="R336" s="2" t="str" cm="1">
        <f t="array" ref="R336">_xlfn.IFS(Q336&lt;18.5,"Underweight",
AND(Q336&gt;=18.5,Q336&lt;25),"Normal Weight",
AND(Q336&gt;=25,Q336&lt;30),"Overweight",
Q336&gt;=30,"Obesity")</f>
        <v>Underweight</v>
      </c>
      <c r="S336" s="2">
        <f t="shared" si="5"/>
        <v>715.43624161073831</v>
      </c>
      <c r="T336" s="2" t="str" cm="1">
        <f t="array" ref="T336">_xlfn.IFS(N336&lt;=2.5,"Low",N336&lt;=3,"Medium",N336&gt;3,"High")</f>
        <v>Medium</v>
      </c>
    </row>
    <row r="337" spans="1:20" x14ac:dyDescent="0.3">
      <c r="A337" s="2">
        <v>336</v>
      </c>
      <c r="B337" s="2" t="s">
        <v>26</v>
      </c>
      <c r="C337" s="2">
        <v>59</v>
      </c>
      <c r="D337" s="2" t="s">
        <v>15</v>
      </c>
      <c r="E337" s="2">
        <v>88.1</v>
      </c>
      <c r="F337" s="2">
        <v>1.76</v>
      </c>
      <c r="G337" s="2">
        <v>187</v>
      </c>
      <c r="H337" s="2">
        <v>168</v>
      </c>
      <c r="I337" s="2">
        <v>74</v>
      </c>
      <c r="J337" s="2">
        <v>1.35</v>
      </c>
      <c r="K337" s="2">
        <v>1123</v>
      </c>
      <c r="L337" s="2" t="s">
        <v>20</v>
      </c>
      <c r="M337" s="2">
        <v>26.9</v>
      </c>
      <c r="N337" s="2">
        <v>3</v>
      </c>
      <c r="O337" s="2">
        <v>3</v>
      </c>
      <c r="P337" s="2">
        <v>2</v>
      </c>
      <c r="Q337" s="2">
        <v>28.44</v>
      </c>
      <c r="R337" s="2" t="str" cm="1">
        <f t="array" ref="R337">_xlfn.IFS(Q337&lt;18.5,"Underweight",
AND(Q337&gt;=18.5,Q337&lt;25),"Normal Weight",
AND(Q337&gt;=25,Q337&lt;30),"Overweight",
Q337&gt;=30,"Obesity")</f>
        <v>Overweight</v>
      </c>
      <c r="S337" s="2">
        <f t="shared" si="5"/>
        <v>831.85185185185185</v>
      </c>
      <c r="T337" s="2" t="str" cm="1">
        <f t="array" ref="T337">_xlfn.IFS(N337&lt;=2.5,"Low",N337&lt;=3,"Medium",N337&gt;3,"High")</f>
        <v>Medium</v>
      </c>
    </row>
    <row r="338" spans="1:20" x14ac:dyDescent="0.3">
      <c r="A338" s="2">
        <v>337</v>
      </c>
      <c r="B338" s="2" t="s">
        <v>28</v>
      </c>
      <c r="C338" s="2">
        <v>19</v>
      </c>
      <c r="D338" s="2" t="s">
        <v>16</v>
      </c>
      <c r="E338" s="2">
        <v>72.400000000000006</v>
      </c>
      <c r="F338" s="2">
        <v>1.75</v>
      </c>
      <c r="G338" s="2">
        <v>169</v>
      </c>
      <c r="H338" s="2">
        <v>140</v>
      </c>
      <c r="I338" s="2">
        <v>64</v>
      </c>
      <c r="J338" s="2">
        <v>1.2</v>
      </c>
      <c r="K338" s="2">
        <v>840</v>
      </c>
      <c r="L338" s="2" t="s">
        <v>19</v>
      </c>
      <c r="M338" s="2">
        <v>31</v>
      </c>
      <c r="N338" s="2">
        <v>1.7</v>
      </c>
      <c r="O338" s="2">
        <v>4</v>
      </c>
      <c r="P338" s="2">
        <v>2</v>
      </c>
      <c r="Q338" s="2">
        <v>23.64</v>
      </c>
      <c r="R338" s="2" t="str" cm="1">
        <f t="array" ref="R338">_xlfn.IFS(Q338&lt;18.5,"Underweight",
AND(Q338&gt;=18.5,Q338&lt;25),"Normal Weight",
AND(Q338&gt;=25,Q338&lt;30),"Overweight",
Q338&gt;=30,"Obesity")</f>
        <v>Normal Weight</v>
      </c>
      <c r="S338" s="2">
        <f t="shared" si="5"/>
        <v>700</v>
      </c>
      <c r="T338" s="2" t="str" cm="1">
        <f t="array" ref="T338">_xlfn.IFS(N338&lt;=2.5,"Low",N338&lt;=3,"Medium",N338&gt;3,"High")</f>
        <v>Low</v>
      </c>
    </row>
    <row r="339" spans="1:20" x14ac:dyDescent="0.3">
      <c r="A339" s="2">
        <v>338</v>
      </c>
      <c r="B339" s="2" t="s">
        <v>30</v>
      </c>
      <c r="C339" s="2">
        <v>43</v>
      </c>
      <c r="D339" s="2" t="s">
        <v>15</v>
      </c>
      <c r="E339" s="2">
        <v>73.2</v>
      </c>
      <c r="F339" s="2">
        <v>1.88</v>
      </c>
      <c r="G339" s="2">
        <v>176</v>
      </c>
      <c r="H339" s="2">
        <v>142</v>
      </c>
      <c r="I339" s="2">
        <v>63</v>
      </c>
      <c r="J339" s="2">
        <v>1.17</v>
      </c>
      <c r="K339" s="2">
        <v>822</v>
      </c>
      <c r="L339" s="2" t="s">
        <v>19</v>
      </c>
      <c r="M339" s="2">
        <v>29.4</v>
      </c>
      <c r="N339" s="2">
        <v>3.3</v>
      </c>
      <c r="O339" s="2">
        <v>3</v>
      </c>
      <c r="P339" s="2">
        <v>1</v>
      </c>
      <c r="Q339" s="2">
        <v>20.71</v>
      </c>
      <c r="R339" s="2" t="str" cm="1">
        <f t="array" ref="R339">_xlfn.IFS(Q339&lt;18.5,"Underweight",
AND(Q339&gt;=18.5,Q339&lt;25),"Normal Weight",
AND(Q339&gt;=25,Q339&lt;30),"Overweight",
Q339&gt;=30,"Obesity")</f>
        <v>Normal Weight</v>
      </c>
      <c r="S339" s="2">
        <f t="shared" si="5"/>
        <v>702.56410256410265</v>
      </c>
      <c r="T339" s="2" t="str" cm="1">
        <f t="array" ref="T339">_xlfn.IFS(N339&lt;=2.5,"Low",N339&lt;=3,"Medium",N339&gt;3,"High")</f>
        <v>High</v>
      </c>
    </row>
    <row r="340" spans="1:20" x14ac:dyDescent="0.3">
      <c r="A340" s="2">
        <v>339</v>
      </c>
      <c r="B340" s="2" t="s">
        <v>23</v>
      </c>
      <c r="C340" s="2">
        <v>34</v>
      </c>
      <c r="D340" s="2" t="s">
        <v>15</v>
      </c>
      <c r="E340" s="2">
        <v>110.5</v>
      </c>
      <c r="F340" s="2">
        <v>1.86</v>
      </c>
      <c r="G340" s="2">
        <v>188</v>
      </c>
      <c r="H340" s="2">
        <v>139</v>
      </c>
      <c r="I340" s="2">
        <v>62</v>
      </c>
      <c r="J340" s="2">
        <v>1.42</v>
      </c>
      <c r="K340" s="2">
        <v>1086</v>
      </c>
      <c r="L340" s="2" t="s">
        <v>19</v>
      </c>
      <c r="M340" s="2">
        <v>22.3</v>
      </c>
      <c r="N340" s="2">
        <v>3.6</v>
      </c>
      <c r="O340" s="2">
        <v>2</v>
      </c>
      <c r="P340" s="2">
        <v>1</v>
      </c>
      <c r="Q340" s="2">
        <v>31.94</v>
      </c>
      <c r="R340" s="2" t="str" cm="1">
        <f t="array" ref="R340">_xlfn.IFS(Q340&lt;18.5,"Underweight",
AND(Q340&gt;=18.5,Q340&lt;25),"Normal Weight",
AND(Q340&gt;=25,Q340&lt;30),"Overweight",
Q340&gt;=30,"Obesity")</f>
        <v>Obesity</v>
      </c>
      <c r="S340" s="2">
        <f t="shared" si="5"/>
        <v>764.78873239436621</v>
      </c>
      <c r="T340" s="2" t="str" cm="1">
        <f t="array" ref="T340">_xlfn.IFS(N340&lt;=2.5,"Low",N340&lt;=3,"Medium",N340&gt;3,"High")</f>
        <v>High</v>
      </c>
    </row>
    <row r="341" spans="1:20" x14ac:dyDescent="0.3">
      <c r="A341" s="2">
        <v>340</v>
      </c>
      <c r="B341" s="2" t="s">
        <v>25</v>
      </c>
      <c r="C341" s="2">
        <v>57</v>
      </c>
      <c r="D341" s="2" t="s">
        <v>16</v>
      </c>
      <c r="E341" s="2">
        <v>46.1</v>
      </c>
      <c r="F341" s="2">
        <v>1.76</v>
      </c>
      <c r="G341" s="2">
        <v>165</v>
      </c>
      <c r="H341" s="2">
        <v>130</v>
      </c>
      <c r="I341" s="2">
        <v>60</v>
      </c>
      <c r="J341" s="2">
        <v>1.44</v>
      </c>
      <c r="K341" s="2">
        <v>842</v>
      </c>
      <c r="L341" s="2" t="s">
        <v>20</v>
      </c>
      <c r="M341" s="2">
        <v>25.8</v>
      </c>
      <c r="N341" s="2">
        <v>1.7</v>
      </c>
      <c r="O341" s="2">
        <v>3</v>
      </c>
      <c r="P341" s="2">
        <v>2</v>
      </c>
      <c r="Q341" s="2">
        <v>14.88</v>
      </c>
      <c r="R341" s="2" t="str" cm="1">
        <f t="array" ref="R341">_xlfn.IFS(Q341&lt;18.5,"Underweight",
AND(Q341&gt;=18.5,Q341&lt;25),"Normal Weight",
AND(Q341&gt;=25,Q341&lt;30),"Overweight",
Q341&gt;=30,"Obesity")</f>
        <v>Underweight</v>
      </c>
      <c r="S341" s="2">
        <f t="shared" si="5"/>
        <v>584.72222222222229</v>
      </c>
      <c r="T341" s="2" t="str" cm="1">
        <f t="array" ref="T341">_xlfn.IFS(N341&lt;=2.5,"Low",N341&lt;=3,"Medium",N341&gt;3,"High")</f>
        <v>Low</v>
      </c>
    </row>
    <row r="342" spans="1:20" x14ac:dyDescent="0.3">
      <c r="A342" s="2">
        <v>341</v>
      </c>
      <c r="B342" s="2" t="s">
        <v>21</v>
      </c>
      <c r="C342" s="2">
        <v>50</v>
      </c>
      <c r="D342" s="2" t="s">
        <v>15</v>
      </c>
      <c r="E342" s="2">
        <v>90.8</v>
      </c>
      <c r="F342" s="2">
        <v>1.71</v>
      </c>
      <c r="G342" s="2">
        <v>173</v>
      </c>
      <c r="H342" s="2">
        <v>153</v>
      </c>
      <c r="I342" s="2">
        <v>62</v>
      </c>
      <c r="J342" s="2">
        <v>1.07</v>
      </c>
      <c r="K342" s="2">
        <v>810</v>
      </c>
      <c r="L342" s="2" t="s">
        <v>17</v>
      </c>
      <c r="M342" s="2">
        <v>22.6</v>
      </c>
      <c r="N342" s="2">
        <v>3.4</v>
      </c>
      <c r="O342" s="2">
        <v>4</v>
      </c>
      <c r="P342" s="2">
        <v>2</v>
      </c>
      <c r="Q342" s="2">
        <v>31.05</v>
      </c>
      <c r="R342" s="2" t="str" cm="1">
        <f t="array" ref="R342">_xlfn.IFS(Q342&lt;18.5,"Underweight",
AND(Q342&gt;=18.5,Q342&lt;25),"Normal Weight",
AND(Q342&gt;=25,Q342&lt;30),"Overweight",
Q342&gt;=30,"Obesity")</f>
        <v>Obesity</v>
      </c>
      <c r="S342" s="2">
        <f t="shared" si="5"/>
        <v>757.00934579439252</v>
      </c>
      <c r="T342" s="2" t="str" cm="1">
        <f t="array" ref="T342">_xlfn.IFS(N342&lt;=2.5,"Low",N342&lt;=3,"Medium",N342&gt;3,"High")</f>
        <v>High</v>
      </c>
    </row>
    <row r="343" spans="1:20" x14ac:dyDescent="0.3">
      <c r="A343" s="2">
        <v>342</v>
      </c>
      <c r="B343" s="2" t="s">
        <v>30</v>
      </c>
      <c r="C343" s="2">
        <v>26</v>
      </c>
      <c r="D343" s="2" t="s">
        <v>16</v>
      </c>
      <c r="E343" s="2">
        <v>59.3</v>
      </c>
      <c r="F343" s="2">
        <v>1.51</v>
      </c>
      <c r="G343" s="2">
        <v>181</v>
      </c>
      <c r="H343" s="2">
        <v>129</v>
      </c>
      <c r="I343" s="2">
        <v>71</v>
      </c>
      <c r="J343" s="2">
        <v>1.7</v>
      </c>
      <c r="K343" s="2">
        <v>1096</v>
      </c>
      <c r="L343" s="2" t="s">
        <v>20</v>
      </c>
      <c r="M343" s="2">
        <v>15.1</v>
      </c>
      <c r="N343" s="2">
        <v>2.7</v>
      </c>
      <c r="O343" s="2">
        <v>5</v>
      </c>
      <c r="P343" s="2">
        <v>3</v>
      </c>
      <c r="Q343" s="2">
        <v>26.01</v>
      </c>
      <c r="R343" s="2" t="str" cm="1">
        <f t="array" ref="R343">_xlfn.IFS(Q343&lt;18.5,"Underweight",
AND(Q343&gt;=18.5,Q343&lt;25),"Normal Weight",
AND(Q343&gt;=25,Q343&lt;30),"Overweight",
Q343&gt;=30,"Obesity")</f>
        <v>Overweight</v>
      </c>
      <c r="S343" s="2">
        <f t="shared" si="5"/>
        <v>644.70588235294122</v>
      </c>
      <c r="T343" s="2" t="str" cm="1">
        <f t="array" ref="T343">_xlfn.IFS(N343&lt;=2.5,"Low",N343&lt;=3,"Medium",N343&gt;3,"High")</f>
        <v>Medium</v>
      </c>
    </row>
    <row r="344" spans="1:20" x14ac:dyDescent="0.3">
      <c r="A344" s="2">
        <v>343</v>
      </c>
      <c r="B344" s="2" t="s">
        <v>22</v>
      </c>
      <c r="C344" s="2">
        <v>56</v>
      </c>
      <c r="D344" s="2" t="s">
        <v>16</v>
      </c>
      <c r="E344" s="2">
        <v>45.1</v>
      </c>
      <c r="F344" s="2">
        <v>1.73</v>
      </c>
      <c r="G344" s="2">
        <v>165</v>
      </c>
      <c r="H344" s="2">
        <v>129</v>
      </c>
      <c r="I344" s="2">
        <v>73</v>
      </c>
      <c r="J344" s="2">
        <v>0.83</v>
      </c>
      <c r="K344" s="2">
        <v>482</v>
      </c>
      <c r="L344" s="2" t="s">
        <v>20</v>
      </c>
      <c r="M344" s="2">
        <v>25.4</v>
      </c>
      <c r="N344" s="2">
        <v>2.6</v>
      </c>
      <c r="O344" s="2">
        <v>3</v>
      </c>
      <c r="P344" s="2">
        <v>1</v>
      </c>
      <c r="Q344" s="2">
        <v>15.07</v>
      </c>
      <c r="R344" s="2" t="str" cm="1">
        <f t="array" ref="R344">_xlfn.IFS(Q344&lt;18.5,"Underweight",
AND(Q344&gt;=18.5,Q344&lt;25),"Normal Weight",
AND(Q344&gt;=25,Q344&lt;30),"Overweight",
Q344&gt;=30,"Obesity")</f>
        <v>Underweight</v>
      </c>
      <c r="S344" s="2">
        <f t="shared" si="5"/>
        <v>580.72289156626505</v>
      </c>
      <c r="T344" s="2" t="str" cm="1">
        <f t="array" ref="T344">_xlfn.IFS(N344&lt;=2.5,"Low",N344&lt;=3,"Medium",N344&gt;3,"High")</f>
        <v>Medium</v>
      </c>
    </row>
    <row r="345" spans="1:20" x14ac:dyDescent="0.3">
      <c r="A345" s="2">
        <v>344</v>
      </c>
      <c r="B345" s="2" t="s">
        <v>22</v>
      </c>
      <c r="C345" s="2">
        <v>46</v>
      </c>
      <c r="D345" s="2" t="s">
        <v>15</v>
      </c>
      <c r="E345" s="2">
        <v>45</v>
      </c>
      <c r="F345" s="2">
        <v>1.77</v>
      </c>
      <c r="G345" s="2">
        <v>185</v>
      </c>
      <c r="H345" s="2">
        <v>162</v>
      </c>
      <c r="I345" s="2">
        <v>58</v>
      </c>
      <c r="J345" s="2">
        <v>1.48</v>
      </c>
      <c r="K345" s="2">
        <v>1187</v>
      </c>
      <c r="L345" s="2" t="s">
        <v>19</v>
      </c>
      <c r="M345" s="2">
        <v>29.1</v>
      </c>
      <c r="N345" s="2">
        <v>3.6</v>
      </c>
      <c r="O345" s="2">
        <v>3</v>
      </c>
      <c r="P345" s="2">
        <v>2</v>
      </c>
      <c r="Q345" s="2">
        <v>14.36</v>
      </c>
      <c r="R345" s="2" t="str" cm="1">
        <f t="array" ref="R345">_xlfn.IFS(Q345&lt;18.5,"Underweight",
AND(Q345&gt;=18.5,Q345&lt;25),"Normal Weight",
AND(Q345&gt;=25,Q345&lt;30),"Overweight",
Q345&gt;=30,"Obesity")</f>
        <v>Underweight</v>
      </c>
      <c r="S345" s="2">
        <f t="shared" si="5"/>
        <v>802.02702702702709</v>
      </c>
      <c r="T345" s="2" t="str" cm="1">
        <f t="array" ref="T345">_xlfn.IFS(N345&lt;=2.5,"Low",N345&lt;=3,"Medium",N345&gt;3,"High")</f>
        <v>High</v>
      </c>
    </row>
    <row r="346" spans="1:20" x14ac:dyDescent="0.3">
      <c r="A346" s="2">
        <v>345</v>
      </c>
      <c r="B346" s="2" t="s">
        <v>29</v>
      </c>
      <c r="C346" s="2">
        <v>59</v>
      </c>
      <c r="D346" s="2" t="s">
        <v>15</v>
      </c>
      <c r="E346" s="2">
        <v>89.4</v>
      </c>
      <c r="F346" s="2">
        <v>1.62</v>
      </c>
      <c r="G346" s="2">
        <v>198</v>
      </c>
      <c r="H346" s="2">
        <v>125</v>
      </c>
      <c r="I346" s="2">
        <v>59</v>
      </c>
      <c r="J346" s="2">
        <v>1.43</v>
      </c>
      <c r="K346" s="2">
        <v>885</v>
      </c>
      <c r="L346" s="2" t="s">
        <v>20</v>
      </c>
      <c r="M346" s="2">
        <v>23.5</v>
      </c>
      <c r="N346" s="2">
        <v>3.6</v>
      </c>
      <c r="O346" s="2">
        <v>3</v>
      </c>
      <c r="P346" s="2">
        <v>2</v>
      </c>
      <c r="Q346" s="2">
        <v>34.06</v>
      </c>
      <c r="R346" s="2" t="str" cm="1">
        <f t="array" ref="R346">_xlfn.IFS(Q346&lt;18.5,"Underweight",
AND(Q346&gt;=18.5,Q346&lt;25),"Normal Weight",
AND(Q346&gt;=25,Q346&lt;30),"Overweight",
Q346&gt;=30,"Obesity")</f>
        <v>Obesity</v>
      </c>
      <c r="S346" s="2">
        <f t="shared" si="5"/>
        <v>618.88111888111894</v>
      </c>
      <c r="T346" s="2" t="str" cm="1">
        <f t="array" ref="T346">_xlfn.IFS(N346&lt;=2.5,"Low",N346&lt;=3,"Medium",N346&gt;3,"High")</f>
        <v>High</v>
      </c>
    </row>
    <row r="347" spans="1:20" x14ac:dyDescent="0.3">
      <c r="A347" s="2">
        <v>346</v>
      </c>
      <c r="B347" s="2" t="s">
        <v>23</v>
      </c>
      <c r="C347" s="2">
        <v>43</v>
      </c>
      <c r="D347" s="2" t="s">
        <v>15</v>
      </c>
      <c r="E347" s="2">
        <v>127.7</v>
      </c>
      <c r="F347" s="2">
        <v>1.69</v>
      </c>
      <c r="G347" s="2">
        <v>171</v>
      </c>
      <c r="H347" s="2">
        <v>155</v>
      </c>
      <c r="I347" s="2">
        <v>53</v>
      </c>
      <c r="J347" s="2">
        <v>1.1399999999999999</v>
      </c>
      <c r="K347" s="2">
        <v>875</v>
      </c>
      <c r="L347" s="2" t="s">
        <v>19</v>
      </c>
      <c r="M347" s="2">
        <v>24.1</v>
      </c>
      <c r="N347" s="2">
        <v>2.9</v>
      </c>
      <c r="O347" s="2">
        <v>3</v>
      </c>
      <c r="P347" s="2">
        <v>2</v>
      </c>
      <c r="Q347" s="2">
        <v>44.71</v>
      </c>
      <c r="R347" s="2" t="str" cm="1">
        <f t="array" ref="R347">_xlfn.IFS(Q347&lt;18.5,"Underweight",
AND(Q347&gt;=18.5,Q347&lt;25),"Normal Weight",
AND(Q347&gt;=25,Q347&lt;30),"Overweight",
Q347&gt;=30,"Obesity")</f>
        <v>Obesity</v>
      </c>
      <c r="S347" s="2">
        <f t="shared" si="5"/>
        <v>767.54385964912285</v>
      </c>
      <c r="T347" s="2" t="str" cm="1">
        <f t="array" ref="T347">_xlfn.IFS(N347&lt;=2.5,"Low",N347&lt;=3,"Medium",N347&gt;3,"High")</f>
        <v>Medium</v>
      </c>
    </row>
    <row r="348" spans="1:20" x14ac:dyDescent="0.3">
      <c r="A348" s="2">
        <v>347</v>
      </c>
      <c r="B348" s="2" t="s">
        <v>26</v>
      </c>
      <c r="C348" s="2">
        <v>52</v>
      </c>
      <c r="D348" s="2" t="s">
        <v>15</v>
      </c>
      <c r="E348" s="2">
        <v>70.900000000000006</v>
      </c>
      <c r="F348" s="2">
        <v>1.72</v>
      </c>
      <c r="G348" s="2">
        <v>194</v>
      </c>
      <c r="H348" s="2">
        <v>143</v>
      </c>
      <c r="I348" s="2">
        <v>66</v>
      </c>
      <c r="J348" s="2">
        <v>1.31</v>
      </c>
      <c r="K348" s="2">
        <v>927</v>
      </c>
      <c r="L348" s="2" t="s">
        <v>20</v>
      </c>
      <c r="M348" s="2">
        <v>20.2</v>
      </c>
      <c r="N348" s="2">
        <v>2.6</v>
      </c>
      <c r="O348" s="2">
        <v>3</v>
      </c>
      <c r="P348" s="2">
        <v>2</v>
      </c>
      <c r="Q348" s="2">
        <v>23.97</v>
      </c>
      <c r="R348" s="2" t="str" cm="1">
        <f t="array" ref="R348">_xlfn.IFS(Q348&lt;18.5,"Underweight",
AND(Q348&gt;=18.5,Q348&lt;25),"Normal Weight",
AND(Q348&gt;=25,Q348&lt;30),"Overweight",
Q348&gt;=30,"Obesity")</f>
        <v>Normal Weight</v>
      </c>
      <c r="S348" s="2">
        <f t="shared" si="5"/>
        <v>707.63358778625957</v>
      </c>
      <c r="T348" s="2" t="str" cm="1">
        <f t="array" ref="T348">_xlfn.IFS(N348&lt;=2.5,"Low",N348&lt;=3,"Medium",N348&gt;3,"High")</f>
        <v>Medium</v>
      </c>
    </row>
    <row r="349" spans="1:20" x14ac:dyDescent="0.3">
      <c r="A349" s="2">
        <v>348</v>
      </c>
      <c r="B349" s="2" t="s">
        <v>21</v>
      </c>
      <c r="C349" s="2">
        <v>42</v>
      </c>
      <c r="D349" s="2" t="s">
        <v>16</v>
      </c>
      <c r="E349" s="2">
        <v>49.2</v>
      </c>
      <c r="F349" s="2">
        <v>1.5</v>
      </c>
      <c r="G349" s="2">
        <v>173</v>
      </c>
      <c r="H349" s="2">
        <v>131</v>
      </c>
      <c r="I349" s="2">
        <v>63</v>
      </c>
      <c r="J349" s="2">
        <v>1.1499999999999999</v>
      </c>
      <c r="K349" s="2">
        <v>678</v>
      </c>
      <c r="L349" s="2" t="s">
        <v>18</v>
      </c>
      <c r="M349" s="2">
        <v>27.7</v>
      </c>
      <c r="N349" s="2">
        <v>1.5</v>
      </c>
      <c r="O349" s="2">
        <v>3</v>
      </c>
      <c r="P349" s="2">
        <v>2</v>
      </c>
      <c r="Q349" s="2">
        <v>21.87</v>
      </c>
      <c r="R349" s="2" t="str" cm="1">
        <f t="array" ref="R349">_xlfn.IFS(Q349&lt;18.5,"Underweight",
AND(Q349&gt;=18.5,Q349&lt;25),"Normal Weight",
AND(Q349&gt;=25,Q349&lt;30),"Overweight",
Q349&gt;=30,"Obesity")</f>
        <v>Normal Weight</v>
      </c>
      <c r="S349" s="2">
        <f t="shared" si="5"/>
        <v>589.56521739130437</v>
      </c>
      <c r="T349" s="2" t="str" cm="1">
        <f t="array" ref="T349">_xlfn.IFS(N349&lt;=2.5,"Low",N349&lt;=3,"Medium",N349&gt;3,"High")</f>
        <v>Low</v>
      </c>
    </row>
    <row r="350" spans="1:20" x14ac:dyDescent="0.3">
      <c r="A350" s="2">
        <v>349</v>
      </c>
      <c r="B350" s="2" t="s">
        <v>28</v>
      </c>
      <c r="C350" s="2">
        <v>41</v>
      </c>
      <c r="D350" s="2" t="s">
        <v>16</v>
      </c>
      <c r="E350" s="2">
        <v>62.3</v>
      </c>
      <c r="F350" s="2">
        <v>1.79</v>
      </c>
      <c r="G350" s="2">
        <v>181</v>
      </c>
      <c r="H350" s="2">
        <v>162</v>
      </c>
      <c r="I350" s="2">
        <v>73</v>
      </c>
      <c r="J350" s="2">
        <v>1.99</v>
      </c>
      <c r="K350" s="2">
        <v>1451</v>
      </c>
      <c r="L350" s="2" t="s">
        <v>17</v>
      </c>
      <c r="M350" s="2">
        <v>19</v>
      </c>
      <c r="N350" s="2">
        <v>2.7</v>
      </c>
      <c r="O350" s="2">
        <v>5</v>
      </c>
      <c r="P350" s="2">
        <v>3</v>
      </c>
      <c r="Q350" s="2">
        <v>19.440000000000001</v>
      </c>
      <c r="R350" s="2" t="str" cm="1">
        <f t="array" ref="R350">_xlfn.IFS(Q350&lt;18.5,"Underweight",
AND(Q350&gt;=18.5,Q350&lt;25),"Normal Weight",
AND(Q350&gt;=25,Q350&lt;30),"Overweight",
Q350&gt;=30,"Obesity")</f>
        <v>Normal Weight</v>
      </c>
      <c r="S350" s="2">
        <f t="shared" si="5"/>
        <v>729.1457286432161</v>
      </c>
      <c r="T350" s="2" t="str" cm="1">
        <f t="array" ref="T350">_xlfn.IFS(N350&lt;=2.5,"Low",N350&lt;=3,"Medium",N350&gt;3,"High")</f>
        <v>Medium</v>
      </c>
    </row>
    <row r="351" spans="1:20" x14ac:dyDescent="0.3">
      <c r="A351" s="2">
        <v>350</v>
      </c>
      <c r="B351" s="2" t="s">
        <v>28</v>
      </c>
      <c r="C351" s="2">
        <v>30</v>
      </c>
      <c r="D351" s="2" t="s">
        <v>15</v>
      </c>
      <c r="E351" s="2">
        <v>64.099999999999994</v>
      </c>
      <c r="F351" s="2">
        <v>1.87</v>
      </c>
      <c r="G351" s="2">
        <v>182</v>
      </c>
      <c r="H351" s="2">
        <v>142</v>
      </c>
      <c r="I351" s="2">
        <v>67</v>
      </c>
      <c r="J351" s="2">
        <v>0.64</v>
      </c>
      <c r="K351" s="2">
        <v>500</v>
      </c>
      <c r="L351" s="2" t="s">
        <v>17</v>
      </c>
      <c r="M351" s="2">
        <v>26.2</v>
      </c>
      <c r="N351" s="2">
        <v>2.1</v>
      </c>
      <c r="O351" s="2">
        <v>2</v>
      </c>
      <c r="P351" s="2">
        <v>1</v>
      </c>
      <c r="Q351" s="2">
        <v>18.329999999999998</v>
      </c>
      <c r="R351" s="2" t="str" cm="1">
        <f t="array" ref="R351">_xlfn.IFS(Q351&lt;18.5,"Underweight",
AND(Q351&gt;=18.5,Q351&lt;25),"Normal Weight",
AND(Q351&gt;=25,Q351&lt;30),"Overweight",
Q351&gt;=30,"Obesity")</f>
        <v>Underweight</v>
      </c>
      <c r="S351" s="2">
        <f t="shared" si="5"/>
        <v>781.25</v>
      </c>
      <c r="T351" s="2" t="str" cm="1">
        <f t="array" ref="T351">_xlfn.IFS(N351&lt;=2.5,"Low",N351&lt;=3,"Medium",N351&gt;3,"High")</f>
        <v>Low</v>
      </c>
    </row>
    <row r="352" spans="1:20" x14ac:dyDescent="0.3">
      <c r="A352" s="2">
        <v>351</v>
      </c>
      <c r="B352" s="2" t="s">
        <v>21</v>
      </c>
      <c r="C352" s="2">
        <v>24</v>
      </c>
      <c r="D352" s="2" t="s">
        <v>16</v>
      </c>
      <c r="E352" s="2">
        <v>69.7</v>
      </c>
      <c r="F352" s="2">
        <v>1.75</v>
      </c>
      <c r="G352" s="2">
        <v>166</v>
      </c>
      <c r="H352" s="2">
        <v>146</v>
      </c>
      <c r="I352" s="2">
        <v>60</v>
      </c>
      <c r="J352" s="2">
        <v>1.41</v>
      </c>
      <c r="K352" s="2">
        <v>1029</v>
      </c>
      <c r="L352" s="2" t="s">
        <v>19</v>
      </c>
      <c r="M352" s="2">
        <v>32.5</v>
      </c>
      <c r="N352" s="2">
        <v>2</v>
      </c>
      <c r="O352" s="2">
        <v>3</v>
      </c>
      <c r="P352" s="2">
        <v>1</v>
      </c>
      <c r="Q352" s="2">
        <v>22.76</v>
      </c>
      <c r="R352" s="2" t="str" cm="1">
        <f t="array" ref="R352">_xlfn.IFS(Q352&lt;18.5,"Underweight",
AND(Q352&gt;=18.5,Q352&lt;25),"Normal Weight",
AND(Q352&gt;=25,Q352&lt;30),"Overweight",
Q352&gt;=30,"Obesity")</f>
        <v>Normal Weight</v>
      </c>
      <c r="S352" s="2">
        <f t="shared" si="5"/>
        <v>729.78723404255322</v>
      </c>
      <c r="T352" s="2" t="str" cm="1">
        <f t="array" ref="T352">_xlfn.IFS(N352&lt;=2.5,"Low",N352&lt;=3,"Medium",N352&gt;3,"High")</f>
        <v>Low</v>
      </c>
    </row>
    <row r="353" spans="1:20" x14ac:dyDescent="0.3">
      <c r="A353" s="2">
        <v>352</v>
      </c>
      <c r="B353" s="2" t="s">
        <v>27</v>
      </c>
      <c r="C353" s="2">
        <v>53</v>
      </c>
      <c r="D353" s="2" t="s">
        <v>16</v>
      </c>
      <c r="E353" s="2">
        <v>56.9</v>
      </c>
      <c r="F353" s="2">
        <v>1.59</v>
      </c>
      <c r="G353" s="2">
        <v>199</v>
      </c>
      <c r="H353" s="2">
        <v>164</v>
      </c>
      <c r="I353" s="2">
        <v>65</v>
      </c>
      <c r="J353" s="2">
        <v>1.49</v>
      </c>
      <c r="K353" s="2">
        <v>1100</v>
      </c>
      <c r="L353" s="2" t="s">
        <v>18</v>
      </c>
      <c r="M353" s="2">
        <v>29.5</v>
      </c>
      <c r="N353" s="2">
        <v>2</v>
      </c>
      <c r="O353" s="2">
        <v>3</v>
      </c>
      <c r="P353" s="2">
        <v>2</v>
      </c>
      <c r="Q353" s="2">
        <v>22.51</v>
      </c>
      <c r="R353" s="2" t="str" cm="1">
        <f t="array" ref="R353">_xlfn.IFS(Q353&lt;18.5,"Underweight",
AND(Q353&gt;=18.5,Q353&lt;25),"Normal Weight",
AND(Q353&gt;=25,Q353&lt;30),"Overweight",
Q353&gt;=30,"Obesity")</f>
        <v>Normal Weight</v>
      </c>
      <c r="S353" s="2">
        <f t="shared" si="5"/>
        <v>738.255033557047</v>
      </c>
      <c r="T353" s="2" t="str" cm="1">
        <f t="array" ref="T353">_xlfn.IFS(N353&lt;=2.5,"Low",N353&lt;=3,"Medium",N353&gt;3,"High")</f>
        <v>Low</v>
      </c>
    </row>
    <row r="354" spans="1:20" x14ac:dyDescent="0.3">
      <c r="A354" s="2">
        <v>353</v>
      </c>
      <c r="B354" s="2" t="s">
        <v>26</v>
      </c>
      <c r="C354" s="2">
        <v>37</v>
      </c>
      <c r="D354" s="2" t="s">
        <v>16</v>
      </c>
      <c r="E354" s="2">
        <v>53</v>
      </c>
      <c r="F354" s="2">
        <v>1.71</v>
      </c>
      <c r="G354" s="2">
        <v>184</v>
      </c>
      <c r="H354" s="2">
        <v>156</v>
      </c>
      <c r="I354" s="2">
        <v>50</v>
      </c>
      <c r="J354" s="2">
        <v>1.1299999999999999</v>
      </c>
      <c r="K354" s="2">
        <v>881</v>
      </c>
      <c r="L354" s="2" t="s">
        <v>17</v>
      </c>
      <c r="M354" s="2">
        <v>28.1</v>
      </c>
      <c r="N354" s="2">
        <v>1.7</v>
      </c>
      <c r="O354" s="2">
        <v>4</v>
      </c>
      <c r="P354" s="2">
        <v>2</v>
      </c>
      <c r="Q354" s="2">
        <v>18.13</v>
      </c>
      <c r="R354" s="2" t="str" cm="1">
        <f t="array" ref="R354">_xlfn.IFS(Q354&lt;18.5,"Underweight",
AND(Q354&gt;=18.5,Q354&lt;25),"Normal Weight",
AND(Q354&gt;=25,Q354&lt;30),"Overweight",
Q354&gt;=30,"Obesity")</f>
        <v>Underweight</v>
      </c>
      <c r="S354" s="2">
        <f t="shared" si="5"/>
        <v>779.64601769911508</v>
      </c>
      <c r="T354" s="2" t="str" cm="1">
        <f t="array" ref="T354">_xlfn.IFS(N354&lt;=2.5,"Low",N354&lt;=3,"Medium",N354&gt;3,"High")</f>
        <v>Low</v>
      </c>
    </row>
    <row r="355" spans="1:20" x14ac:dyDescent="0.3">
      <c r="A355" s="2">
        <v>354</v>
      </c>
      <c r="B355" s="2" t="s">
        <v>30</v>
      </c>
      <c r="C355" s="2">
        <v>18</v>
      </c>
      <c r="D355" s="2" t="s">
        <v>16</v>
      </c>
      <c r="E355" s="2">
        <v>72.7</v>
      </c>
      <c r="F355" s="2">
        <v>1.55</v>
      </c>
      <c r="G355" s="2">
        <v>172</v>
      </c>
      <c r="H355" s="2">
        <v>125</v>
      </c>
      <c r="I355" s="2">
        <v>56</v>
      </c>
      <c r="J355" s="2">
        <v>0.84</v>
      </c>
      <c r="K355" s="2">
        <v>525</v>
      </c>
      <c r="L355" s="2" t="s">
        <v>19</v>
      </c>
      <c r="M355" s="2">
        <v>29.8</v>
      </c>
      <c r="N355" s="2">
        <v>2</v>
      </c>
      <c r="O355" s="2">
        <v>3</v>
      </c>
      <c r="P355" s="2">
        <v>1</v>
      </c>
      <c r="Q355" s="2">
        <v>30.26</v>
      </c>
      <c r="R355" s="2" t="str" cm="1">
        <f t="array" ref="R355">_xlfn.IFS(Q355&lt;18.5,"Underweight",
AND(Q355&gt;=18.5,Q355&lt;25),"Normal Weight",
AND(Q355&gt;=25,Q355&lt;30),"Overweight",
Q355&gt;=30,"Obesity")</f>
        <v>Obesity</v>
      </c>
      <c r="S355" s="2">
        <f t="shared" si="5"/>
        <v>625</v>
      </c>
      <c r="T355" s="2" t="str" cm="1">
        <f t="array" ref="T355">_xlfn.IFS(N355&lt;=2.5,"Low",N355&lt;=3,"Medium",N355&gt;3,"High")</f>
        <v>Low</v>
      </c>
    </row>
    <row r="356" spans="1:20" x14ac:dyDescent="0.3">
      <c r="A356" s="2">
        <v>355</v>
      </c>
      <c r="B356" s="2" t="s">
        <v>25</v>
      </c>
      <c r="C356" s="2">
        <v>25</v>
      </c>
      <c r="D356" s="2" t="s">
        <v>15</v>
      </c>
      <c r="E356" s="2">
        <v>76.5</v>
      </c>
      <c r="F356" s="2">
        <v>1.96</v>
      </c>
      <c r="G356" s="2">
        <v>180</v>
      </c>
      <c r="H356" s="2">
        <v>120</v>
      </c>
      <c r="I356" s="2">
        <v>59</v>
      </c>
      <c r="J356" s="2">
        <v>0.67</v>
      </c>
      <c r="K356" s="2">
        <v>442</v>
      </c>
      <c r="L356" s="2" t="s">
        <v>20</v>
      </c>
      <c r="M356" s="2">
        <v>23.2</v>
      </c>
      <c r="N356" s="2">
        <v>2.2999999999999998</v>
      </c>
      <c r="O356" s="2">
        <v>3</v>
      </c>
      <c r="P356" s="2">
        <v>1</v>
      </c>
      <c r="Q356" s="2">
        <v>19.91</v>
      </c>
      <c r="R356" s="2" t="str" cm="1">
        <f t="array" ref="R356">_xlfn.IFS(Q356&lt;18.5,"Underweight",
AND(Q356&gt;=18.5,Q356&lt;25),"Normal Weight",
AND(Q356&gt;=25,Q356&lt;30),"Overweight",
Q356&gt;=30,"Obesity")</f>
        <v>Normal Weight</v>
      </c>
      <c r="S356" s="2">
        <f t="shared" si="5"/>
        <v>659.70149253731336</v>
      </c>
      <c r="T356" s="2" t="str" cm="1">
        <f t="array" ref="T356">_xlfn.IFS(N356&lt;=2.5,"Low",N356&lt;=3,"Medium",N356&gt;3,"High")</f>
        <v>Low</v>
      </c>
    </row>
    <row r="357" spans="1:20" x14ac:dyDescent="0.3">
      <c r="A357" s="2">
        <v>356</v>
      </c>
      <c r="B357" s="2" t="s">
        <v>27</v>
      </c>
      <c r="C357" s="2">
        <v>33</v>
      </c>
      <c r="D357" s="2" t="s">
        <v>15</v>
      </c>
      <c r="E357" s="2">
        <v>113.6</v>
      </c>
      <c r="F357" s="2">
        <v>1.99</v>
      </c>
      <c r="G357" s="2">
        <v>169</v>
      </c>
      <c r="H357" s="2">
        <v>125</v>
      </c>
      <c r="I357" s="2">
        <v>58</v>
      </c>
      <c r="J357" s="2">
        <v>1.38</v>
      </c>
      <c r="K357" s="2">
        <v>949</v>
      </c>
      <c r="L357" s="2" t="s">
        <v>20</v>
      </c>
      <c r="M357" s="2">
        <v>28.4</v>
      </c>
      <c r="N357" s="2">
        <v>3.4</v>
      </c>
      <c r="O357" s="2">
        <v>2</v>
      </c>
      <c r="P357" s="2">
        <v>1</v>
      </c>
      <c r="Q357" s="2">
        <v>28.69</v>
      </c>
      <c r="R357" s="2" t="str" cm="1">
        <f t="array" ref="R357">_xlfn.IFS(Q357&lt;18.5,"Underweight",
AND(Q357&gt;=18.5,Q357&lt;25),"Normal Weight",
AND(Q357&gt;=25,Q357&lt;30),"Overweight",
Q357&gt;=30,"Obesity")</f>
        <v>Overweight</v>
      </c>
      <c r="S357" s="2">
        <f t="shared" si="5"/>
        <v>687.68115942028987</v>
      </c>
      <c r="T357" s="2" t="str" cm="1">
        <f t="array" ref="T357">_xlfn.IFS(N357&lt;=2.5,"Low",N357&lt;=3,"Medium",N357&gt;3,"High")</f>
        <v>High</v>
      </c>
    </row>
    <row r="358" spans="1:20" x14ac:dyDescent="0.3">
      <c r="A358" s="2">
        <v>357</v>
      </c>
      <c r="B358" s="2" t="s">
        <v>25</v>
      </c>
      <c r="C358" s="2">
        <v>31</v>
      </c>
      <c r="D358" s="2" t="s">
        <v>16</v>
      </c>
      <c r="E358" s="2">
        <v>62.5</v>
      </c>
      <c r="F358" s="2">
        <v>1.62</v>
      </c>
      <c r="G358" s="2">
        <v>168</v>
      </c>
      <c r="H358" s="2">
        <v>169</v>
      </c>
      <c r="I358" s="2">
        <v>74</v>
      </c>
      <c r="J358" s="2">
        <v>1.56</v>
      </c>
      <c r="K358" s="2">
        <v>1318</v>
      </c>
      <c r="L358" s="2" t="s">
        <v>18</v>
      </c>
      <c r="M358" s="2">
        <v>16.5</v>
      </c>
      <c r="N358" s="2">
        <v>2.7</v>
      </c>
      <c r="O358" s="2">
        <v>4</v>
      </c>
      <c r="P358" s="2">
        <v>3</v>
      </c>
      <c r="Q358" s="2">
        <v>23.81</v>
      </c>
      <c r="R358" s="2" t="str" cm="1">
        <f t="array" ref="R358">_xlfn.IFS(Q358&lt;18.5,"Underweight",
AND(Q358&gt;=18.5,Q358&lt;25),"Normal Weight",
AND(Q358&gt;=25,Q358&lt;30),"Overweight",
Q358&gt;=30,"Obesity")</f>
        <v>Normal Weight</v>
      </c>
      <c r="S358" s="2">
        <f t="shared" si="5"/>
        <v>844.8717948717948</v>
      </c>
      <c r="T358" s="2" t="str" cm="1">
        <f t="array" ref="T358">_xlfn.IFS(N358&lt;=2.5,"Low",N358&lt;=3,"Medium",N358&gt;3,"High")</f>
        <v>Medium</v>
      </c>
    </row>
    <row r="359" spans="1:20" x14ac:dyDescent="0.3">
      <c r="A359" s="2">
        <v>358</v>
      </c>
      <c r="B359" s="2" t="s">
        <v>25</v>
      </c>
      <c r="C359" s="2">
        <v>29</v>
      </c>
      <c r="D359" s="2" t="s">
        <v>15</v>
      </c>
      <c r="E359" s="2">
        <v>95.2</v>
      </c>
      <c r="F359" s="2">
        <v>1.86</v>
      </c>
      <c r="G359" s="2">
        <v>174</v>
      </c>
      <c r="H359" s="2">
        <v>141</v>
      </c>
      <c r="I359" s="2">
        <v>52</v>
      </c>
      <c r="J359" s="2">
        <v>0.64</v>
      </c>
      <c r="K359" s="2">
        <v>496</v>
      </c>
      <c r="L359" s="2" t="s">
        <v>17</v>
      </c>
      <c r="M359" s="2">
        <v>26.6</v>
      </c>
      <c r="N359" s="2">
        <v>2.5</v>
      </c>
      <c r="O359" s="2">
        <v>2</v>
      </c>
      <c r="P359" s="2">
        <v>1</v>
      </c>
      <c r="Q359" s="2">
        <v>27.52</v>
      </c>
      <c r="R359" s="2" t="str" cm="1">
        <f t="array" ref="R359">_xlfn.IFS(Q359&lt;18.5,"Underweight",
AND(Q359&gt;=18.5,Q359&lt;25),"Normal Weight",
AND(Q359&gt;=25,Q359&lt;30),"Overweight",
Q359&gt;=30,"Obesity")</f>
        <v>Overweight</v>
      </c>
      <c r="S359" s="2">
        <f t="shared" si="5"/>
        <v>775</v>
      </c>
      <c r="T359" s="2" t="str" cm="1">
        <f t="array" ref="T359">_xlfn.IFS(N359&lt;=2.5,"Low",N359&lt;=3,"Medium",N359&gt;3,"High")</f>
        <v>Low</v>
      </c>
    </row>
    <row r="360" spans="1:20" x14ac:dyDescent="0.3">
      <c r="A360" s="2">
        <v>359</v>
      </c>
      <c r="B360" s="2" t="s">
        <v>27</v>
      </c>
      <c r="C360" s="2">
        <v>40</v>
      </c>
      <c r="D360" s="2" t="s">
        <v>15</v>
      </c>
      <c r="E360" s="2">
        <v>51.7</v>
      </c>
      <c r="F360" s="2">
        <v>1.82</v>
      </c>
      <c r="G360" s="2">
        <v>161</v>
      </c>
      <c r="H360" s="2">
        <v>160</v>
      </c>
      <c r="I360" s="2">
        <v>71</v>
      </c>
      <c r="J360" s="2">
        <v>0.9</v>
      </c>
      <c r="K360" s="2">
        <v>792</v>
      </c>
      <c r="L360" s="2" t="s">
        <v>20</v>
      </c>
      <c r="M360" s="2">
        <v>21.4</v>
      </c>
      <c r="N360" s="2">
        <v>3</v>
      </c>
      <c r="O360" s="2">
        <v>3</v>
      </c>
      <c r="P360" s="2">
        <v>1</v>
      </c>
      <c r="Q360" s="2">
        <v>15.61</v>
      </c>
      <c r="R360" s="2" t="str" cm="1">
        <f t="array" ref="R360">_xlfn.IFS(Q360&lt;18.5,"Underweight",
AND(Q360&gt;=18.5,Q360&lt;25),"Normal Weight",
AND(Q360&gt;=25,Q360&lt;30),"Overweight",
Q360&gt;=30,"Obesity")</f>
        <v>Underweight</v>
      </c>
      <c r="S360" s="2">
        <f t="shared" si="5"/>
        <v>880</v>
      </c>
      <c r="T360" s="2" t="str" cm="1">
        <f t="array" ref="T360">_xlfn.IFS(N360&lt;=2.5,"Low",N360&lt;=3,"Medium",N360&gt;3,"High")</f>
        <v>Medium</v>
      </c>
    </row>
    <row r="361" spans="1:20" x14ac:dyDescent="0.3">
      <c r="A361" s="2">
        <v>360</v>
      </c>
      <c r="B361" s="2" t="s">
        <v>29</v>
      </c>
      <c r="C361" s="2">
        <v>32</v>
      </c>
      <c r="D361" s="2" t="s">
        <v>15</v>
      </c>
      <c r="E361" s="2">
        <v>105.3</v>
      </c>
      <c r="F361" s="2">
        <v>1.67</v>
      </c>
      <c r="G361" s="2">
        <v>184</v>
      </c>
      <c r="H361" s="2">
        <v>143</v>
      </c>
      <c r="I361" s="2">
        <v>72</v>
      </c>
      <c r="J361" s="2">
        <v>0.56999999999999995</v>
      </c>
      <c r="K361" s="2">
        <v>448</v>
      </c>
      <c r="L361" s="2" t="s">
        <v>19</v>
      </c>
      <c r="M361" s="2">
        <v>26.9</v>
      </c>
      <c r="N361" s="2">
        <v>2.9</v>
      </c>
      <c r="O361" s="2">
        <v>3</v>
      </c>
      <c r="P361" s="2">
        <v>1</v>
      </c>
      <c r="Q361" s="2">
        <v>37.76</v>
      </c>
      <c r="R361" s="2" t="str" cm="1">
        <f t="array" ref="R361">_xlfn.IFS(Q361&lt;18.5,"Underweight",
AND(Q361&gt;=18.5,Q361&lt;25),"Normal Weight",
AND(Q361&gt;=25,Q361&lt;30),"Overweight",
Q361&gt;=30,"Obesity")</f>
        <v>Obesity</v>
      </c>
      <c r="S361" s="2">
        <f t="shared" si="5"/>
        <v>785.96491228070181</v>
      </c>
      <c r="T361" s="2" t="str" cm="1">
        <f t="array" ref="T361">_xlfn.IFS(N361&lt;=2.5,"Low",N361&lt;=3,"Medium",N361&gt;3,"High")</f>
        <v>Medium</v>
      </c>
    </row>
    <row r="362" spans="1:20" x14ac:dyDescent="0.3">
      <c r="A362" s="2">
        <v>361</v>
      </c>
      <c r="B362" s="2" t="s">
        <v>22</v>
      </c>
      <c r="C362" s="2">
        <v>45</v>
      </c>
      <c r="D362" s="2" t="s">
        <v>16</v>
      </c>
      <c r="E362" s="2">
        <v>71.2</v>
      </c>
      <c r="F362" s="2">
        <v>1.68</v>
      </c>
      <c r="G362" s="2">
        <v>172</v>
      </c>
      <c r="H362" s="2">
        <v>144</v>
      </c>
      <c r="I362" s="2">
        <v>63</v>
      </c>
      <c r="J362" s="2">
        <v>1.37</v>
      </c>
      <c r="K362" s="2">
        <v>888</v>
      </c>
      <c r="L362" s="2" t="s">
        <v>20</v>
      </c>
      <c r="M362" s="2">
        <v>34.1</v>
      </c>
      <c r="N362" s="2">
        <v>1.6</v>
      </c>
      <c r="O362" s="2">
        <v>3</v>
      </c>
      <c r="P362" s="2">
        <v>1</v>
      </c>
      <c r="Q362" s="2">
        <v>25.23</v>
      </c>
      <c r="R362" s="2" t="str" cm="1">
        <f t="array" ref="R362">_xlfn.IFS(Q362&lt;18.5,"Underweight",
AND(Q362&gt;=18.5,Q362&lt;25),"Normal Weight",
AND(Q362&gt;=25,Q362&lt;30),"Overweight",
Q362&gt;=30,"Obesity")</f>
        <v>Overweight</v>
      </c>
      <c r="S362" s="2">
        <f t="shared" si="5"/>
        <v>648.17518248175179</v>
      </c>
      <c r="T362" s="2" t="str" cm="1">
        <f t="array" ref="T362">_xlfn.IFS(N362&lt;=2.5,"Low",N362&lt;=3,"Medium",N362&gt;3,"High")</f>
        <v>Low</v>
      </c>
    </row>
    <row r="363" spans="1:20" x14ac:dyDescent="0.3">
      <c r="A363" s="2">
        <v>362</v>
      </c>
      <c r="B363" s="2" t="s">
        <v>25</v>
      </c>
      <c r="C363" s="2">
        <v>51</v>
      </c>
      <c r="D363" s="2" t="s">
        <v>16</v>
      </c>
      <c r="E363" s="2">
        <v>78.099999999999994</v>
      </c>
      <c r="F363" s="2">
        <v>1.51</v>
      </c>
      <c r="G363" s="2">
        <v>193</v>
      </c>
      <c r="H363" s="2">
        <v>134</v>
      </c>
      <c r="I363" s="2">
        <v>74</v>
      </c>
      <c r="J363" s="2">
        <v>0.92</v>
      </c>
      <c r="K363" s="2">
        <v>555</v>
      </c>
      <c r="L363" s="2" t="s">
        <v>20</v>
      </c>
      <c r="M363" s="2">
        <v>31.1</v>
      </c>
      <c r="N363" s="2">
        <v>2.6</v>
      </c>
      <c r="O363" s="2">
        <v>3</v>
      </c>
      <c r="P363" s="2">
        <v>1</v>
      </c>
      <c r="Q363" s="2">
        <v>34.25</v>
      </c>
      <c r="R363" s="2" t="str" cm="1">
        <f t="array" ref="R363">_xlfn.IFS(Q363&lt;18.5,"Underweight",
AND(Q363&gt;=18.5,Q363&lt;25),"Normal Weight",
AND(Q363&gt;=25,Q363&lt;30),"Overweight",
Q363&gt;=30,"Obesity")</f>
        <v>Obesity</v>
      </c>
      <c r="S363" s="2">
        <f t="shared" si="5"/>
        <v>603.26086956521738</v>
      </c>
      <c r="T363" s="2" t="str" cm="1">
        <f t="array" ref="T363">_xlfn.IFS(N363&lt;=2.5,"Low",N363&lt;=3,"Medium",N363&gt;3,"High")</f>
        <v>Medium</v>
      </c>
    </row>
    <row r="364" spans="1:20" x14ac:dyDescent="0.3">
      <c r="A364" s="2">
        <v>363</v>
      </c>
      <c r="B364" s="2" t="s">
        <v>27</v>
      </c>
      <c r="C364" s="2">
        <v>19</v>
      </c>
      <c r="D364" s="2" t="s">
        <v>16</v>
      </c>
      <c r="E364" s="2">
        <v>50.6</v>
      </c>
      <c r="F364" s="2">
        <v>1.68</v>
      </c>
      <c r="G364" s="2">
        <v>193</v>
      </c>
      <c r="H364" s="2">
        <v>145</v>
      </c>
      <c r="I364" s="2">
        <v>64</v>
      </c>
      <c r="J364" s="2">
        <v>1.21</v>
      </c>
      <c r="K364" s="2">
        <v>877</v>
      </c>
      <c r="L364" s="2" t="s">
        <v>17</v>
      </c>
      <c r="M364" s="2">
        <v>30.6</v>
      </c>
      <c r="N364" s="2">
        <v>2.1</v>
      </c>
      <c r="O364" s="2">
        <v>3</v>
      </c>
      <c r="P364" s="2">
        <v>2</v>
      </c>
      <c r="Q364" s="2">
        <v>17.93</v>
      </c>
      <c r="R364" s="2" t="str" cm="1">
        <f t="array" ref="R364">_xlfn.IFS(Q364&lt;18.5,"Underweight",
AND(Q364&gt;=18.5,Q364&lt;25),"Normal Weight",
AND(Q364&gt;=25,Q364&lt;30),"Overweight",
Q364&gt;=30,"Obesity")</f>
        <v>Underweight</v>
      </c>
      <c r="S364" s="2">
        <f t="shared" si="5"/>
        <v>724.7933884297521</v>
      </c>
      <c r="T364" s="2" t="str" cm="1">
        <f t="array" ref="T364">_xlfn.IFS(N364&lt;=2.5,"Low",N364&lt;=3,"Medium",N364&gt;3,"High")</f>
        <v>Low</v>
      </c>
    </row>
    <row r="365" spans="1:20" x14ac:dyDescent="0.3">
      <c r="A365" s="2">
        <v>364</v>
      </c>
      <c r="B365" s="2" t="s">
        <v>27</v>
      </c>
      <c r="C365" s="2">
        <v>49</v>
      </c>
      <c r="D365" s="2" t="s">
        <v>15</v>
      </c>
      <c r="E365" s="2">
        <v>70.2</v>
      </c>
      <c r="F365" s="2">
        <v>1.89</v>
      </c>
      <c r="G365" s="2">
        <v>194</v>
      </c>
      <c r="H365" s="2">
        <v>127</v>
      </c>
      <c r="I365" s="2">
        <v>51</v>
      </c>
      <c r="J365" s="2">
        <v>0.7</v>
      </c>
      <c r="K365" s="2">
        <v>440</v>
      </c>
      <c r="L365" s="2" t="s">
        <v>17</v>
      </c>
      <c r="M365" s="2">
        <v>29.6</v>
      </c>
      <c r="N365" s="2">
        <v>2.6</v>
      </c>
      <c r="O365" s="2">
        <v>3</v>
      </c>
      <c r="P365" s="2">
        <v>1</v>
      </c>
      <c r="Q365" s="2">
        <v>19.649999999999999</v>
      </c>
      <c r="R365" s="2" t="str" cm="1">
        <f t="array" ref="R365">_xlfn.IFS(Q365&lt;18.5,"Underweight",
AND(Q365&gt;=18.5,Q365&lt;25),"Normal Weight",
AND(Q365&gt;=25,Q365&lt;30),"Overweight",
Q365&gt;=30,"Obesity")</f>
        <v>Normal Weight</v>
      </c>
      <c r="S365" s="2">
        <f t="shared" si="5"/>
        <v>628.57142857142856</v>
      </c>
      <c r="T365" s="2" t="str" cm="1">
        <f t="array" ref="T365">_xlfn.IFS(N365&lt;=2.5,"Low",N365&lt;=3,"Medium",N365&gt;3,"High")</f>
        <v>Medium</v>
      </c>
    </row>
    <row r="366" spans="1:20" x14ac:dyDescent="0.3">
      <c r="A366" s="2">
        <v>365</v>
      </c>
      <c r="B366" s="2" t="s">
        <v>24</v>
      </c>
      <c r="C366" s="2">
        <v>40</v>
      </c>
      <c r="D366" s="2" t="s">
        <v>16</v>
      </c>
      <c r="E366" s="2">
        <v>62.6</v>
      </c>
      <c r="F366" s="2">
        <v>1.53</v>
      </c>
      <c r="G366" s="2">
        <v>197</v>
      </c>
      <c r="H366" s="2">
        <v>143</v>
      </c>
      <c r="I366" s="2">
        <v>73</v>
      </c>
      <c r="J366" s="2">
        <v>1.93</v>
      </c>
      <c r="K366" s="2">
        <v>1380</v>
      </c>
      <c r="L366" s="2" t="s">
        <v>19</v>
      </c>
      <c r="M366" s="2">
        <v>18.100000000000001</v>
      </c>
      <c r="N366" s="2">
        <v>2.7</v>
      </c>
      <c r="O366" s="2">
        <v>5</v>
      </c>
      <c r="P366" s="2">
        <v>3</v>
      </c>
      <c r="Q366" s="2">
        <v>26.74</v>
      </c>
      <c r="R366" s="2" t="str" cm="1">
        <f t="array" ref="R366">_xlfn.IFS(Q366&lt;18.5,"Underweight",
AND(Q366&gt;=18.5,Q366&lt;25),"Normal Weight",
AND(Q366&gt;=25,Q366&lt;30),"Overweight",
Q366&gt;=30,"Obesity")</f>
        <v>Overweight</v>
      </c>
      <c r="S366" s="2">
        <f t="shared" si="5"/>
        <v>715.02590673575128</v>
      </c>
      <c r="T366" s="2" t="str" cm="1">
        <f t="array" ref="T366">_xlfn.IFS(N366&lt;=2.5,"Low",N366&lt;=3,"Medium",N366&gt;3,"High")</f>
        <v>Medium</v>
      </c>
    </row>
    <row r="367" spans="1:20" x14ac:dyDescent="0.3">
      <c r="A367" s="2">
        <v>366</v>
      </c>
      <c r="B367" s="2" t="s">
        <v>29</v>
      </c>
      <c r="C367" s="2">
        <v>39</v>
      </c>
      <c r="D367" s="2" t="s">
        <v>16</v>
      </c>
      <c r="E367" s="2">
        <v>60.6</v>
      </c>
      <c r="F367" s="2">
        <v>1.65</v>
      </c>
      <c r="G367" s="2">
        <v>162</v>
      </c>
      <c r="H367" s="2">
        <v>167</v>
      </c>
      <c r="I367" s="2">
        <v>63</v>
      </c>
      <c r="J367" s="2">
        <v>0.92</v>
      </c>
      <c r="K367" s="2">
        <v>768</v>
      </c>
      <c r="L367" s="2" t="s">
        <v>18</v>
      </c>
      <c r="M367" s="2">
        <v>27.6</v>
      </c>
      <c r="N367" s="2">
        <v>1.7</v>
      </c>
      <c r="O367" s="2">
        <v>3</v>
      </c>
      <c r="P367" s="2">
        <v>1</v>
      </c>
      <c r="Q367" s="2">
        <v>22.26</v>
      </c>
      <c r="R367" s="2" t="str" cm="1">
        <f t="array" ref="R367">_xlfn.IFS(Q367&lt;18.5,"Underweight",
AND(Q367&gt;=18.5,Q367&lt;25),"Normal Weight",
AND(Q367&gt;=25,Q367&lt;30),"Overweight",
Q367&gt;=30,"Obesity")</f>
        <v>Normal Weight</v>
      </c>
      <c r="S367" s="2">
        <f t="shared" si="5"/>
        <v>834.78260869565213</v>
      </c>
      <c r="T367" s="2" t="str" cm="1">
        <f t="array" ref="T367">_xlfn.IFS(N367&lt;=2.5,"Low",N367&lt;=3,"Medium",N367&gt;3,"High")</f>
        <v>Low</v>
      </c>
    </row>
    <row r="368" spans="1:20" x14ac:dyDescent="0.3">
      <c r="A368" s="2">
        <v>367</v>
      </c>
      <c r="B368" s="2" t="s">
        <v>23</v>
      </c>
      <c r="C368" s="2">
        <v>42</v>
      </c>
      <c r="D368" s="2" t="s">
        <v>15</v>
      </c>
      <c r="E368" s="2">
        <v>76.400000000000006</v>
      </c>
      <c r="F368" s="2">
        <v>1.97</v>
      </c>
      <c r="G368" s="2">
        <v>165</v>
      </c>
      <c r="H368" s="2">
        <v>157</v>
      </c>
      <c r="I368" s="2">
        <v>65</v>
      </c>
      <c r="J368" s="2">
        <v>1.1399999999999999</v>
      </c>
      <c r="K368" s="2">
        <v>886</v>
      </c>
      <c r="L368" s="2" t="s">
        <v>18</v>
      </c>
      <c r="M368" s="2">
        <v>22.9</v>
      </c>
      <c r="N368" s="2">
        <v>2.6</v>
      </c>
      <c r="O368" s="2">
        <v>3</v>
      </c>
      <c r="P368" s="2">
        <v>2</v>
      </c>
      <c r="Q368" s="2">
        <v>19.690000000000001</v>
      </c>
      <c r="R368" s="2" t="str" cm="1">
        <f t="array" ref="R368">_xlfn.IFS(Q368&lt;18.5,"Underweight",
AND(Q368&gt;=18.5,Q368&lt;25),"Normal Weight",
AND(Q368&gt;=25,Q368&lt;30),"Overweight",
Q368&gt;=30,"Obesity")</f>
        <v>Normal Weight</v>
      </c>
      <c r="S368" s="2">
        <f t="shared" si="5"/>
        <v>777.19298245614038</v>
      </c>
      <c r="T368" s="2" t="str" cm="1">
        <f t="array" ref="T368">_xlfn.IFS(N368&lt;=2.5,"Low",N368&lt;=3,"Medium",N368&gt;3,"High")</f>
        <v>Medium</v>
      </c>
    </row>
    <row r="369" spans="1:20" x14ac:dyDescent="0.3">
      <c r="A369" s="2">
        <v>368</v>
      </c>
      <c r="B369" s="2" t="s">
        <v>24</v>
      </c>
      <c r="C369" s="2">
        <v>39</v>
      </c>
      <c r="D369" s="2" t="s">
        <v>16</v>
      </c>
      <c r="E369" s="2">
        <v>63.3</v>
      </c>
      <c r="F369" s="2">
        <v>1.71</v>
      </c>
      <c r="G369" s="2">
        <v>178</v>
      </c>
      <c r="H369" s="2">
        <v>125</v>
      </c>
      <c r="I369" s="2">
        <v>56</v>
      </c>
      <c r="J369" s="2">
        <v>1.88</v>
      </c>
      <c r="K369" s="2">
        <v>1175</v>
      </c>
      <c r="L369" s="2" t="s">
        <v>20</v>
      </c>
      <c r="M369" s="2">
        <v>18.5</v>
      </c>
      <c r="N369" s="2">
        <v>2.7</v>
      </c>
      <c r="O369" s="2">
        <v>4</v>
      </c>
      <c r="P369" s="2">
        <v>3</v>
      </c>
      <c r="Q369" s="2">
        <v>21.65</v>
      </c>
      <c r="R369" s="2" t="str" cm="1">
        <f t="array" ref="R369">_xlfn.IFS(Q369&lt;18.5,"Underweight",
AND(Q369&gt;=18.5,Q369&lt;25),"Normal Weight",
AND(Q369&gt;=25,Q369&lt;30),"Overweight",
Q369&gt;=30,"Obesity")</f>
        <v>Normal Weight</v>
      </c>
      <c r="S369" s="2">
        <f t="shared" si="5"/>
        <v>625</v>
      </c>
      <c r="T369" s="2" t="str" cm="1">
        <f t="array" ref="T369">_xlfn.IFS(N369&lt;=2.5,"Low",N369&lt;=3,"Medium",N369&gt;3,"High")</f>
        <v>Medium</v>
      </c>
    </row>
    <row r="370" spans="1:20" x14ac:dyDescent="0.3">
      <c r="A370" s="2">
        <v>369</v>
      </c>
      <c r="B370" s="2" t="s">
        <v>24</v>
      </c>
      <c r="C370" s="2">
        <v>39</v>
      </c>
      <c r="D370" s="2" t="s">
        <v>16</v>
      </c>
      <c r="E370" s="2">
        <v>68.599999999999994</v>
      </c>
      <c r="F370" s="2">
        <v>1.64</v>
      </c>
      <c r="G370" s="2">
        <v>162</v>
      </c>
      <c r="H370" s="2">
        <v>154</v>
      </c>
      <c r="I370" s="2">
        <v>53</v>
      </c>
      <c r="J370" s="2">
        <v>1.33</v>
      </c>
      <c r="K370" s="2">
        <v>1024</v>
      </c>
      <c r="L370" s="2" t="s">
        <v>19</v>
      </c>
      <c r="M370" s="2">
        <v>32.4</v>
      </c>
      <c r="N370" s="2">
        <v>1.5</v>
      </c>
      <c r="O370" s="2">
        <v>3</v>
      </c>
      <c r="P370" s="2">
        <v>2</v>
      </c>
      <c r="Q370" s="2">
        <v>25.51</v>
      </c>
      <c r="R370" s="2" t="str" cm="1">
        <f t="array" ref="R370">_xlfn.IFS(Q370&lt;18.5,"Underweight",
AND(Q370&gt;=18.5,Q370&lt;25),"Normal Weight",
AND(Q370&gt;=25,Q370&lt;30),"Overweight",
Q370&gt;=30,"Obesity")</f>
        <v>Overweight</v>
      </c>
      <c r="S370" s="2">
        <f t="shared" si="5"/>
        <v>769.92481203007515</v>
      </c>
      <c r="T370" s="2" t="str" cm="1">
        <f t="array" ref="T370">_xlfn.IFS(N370&lt;=2.5,"Low",N370&lt;=3,"Medium",N370&gt;3,"High")</f>
        <v>Low</v>
      </c>
    </row>
    <row r="371" spans="1:20" x14ac:dyDescent="0.3">
      <c r="A371" s="2">
        <v>370</v>
      </c>
      <c r="B371" s="2" t="s">
        <v>21</v>
      </c>
      <c r="C371" s="2">
        <v>59</v>
      </c>
      <c r="D371" s="2" t="s">
        <v>15</v>
      </c>
      <c r="E371" s="2">
        <v>123.3</v>
      </c>
      <c r="F371" s="2">
        <v>1.88</v>
      </c>
      <c r="G371" s="2">
        <v>177</v>
      </c>
      <c r="H371" s="2">
        <v>161</v>
      </c>
      <c r="I371" s="2">
        <v>67</v>
      </c>
      <c r="J371" s="2">
        <v>1.3</v>
      </c>
      <c r="K371" s="2">
        <v>1036</v>
      </c>
      <c r="L371" s="2" t="s">
        <v>18</v>
      </c>
      <c r="M371" s="2">
        <v>23</v>
      </c>
      <c r="N371" s="2">
        <v>2.6</v>
      </c>
      <c r="O371" s="2">
        <v>4</v>
      </c>
      <c r="P371" s="2">
        <v>2</v>
      </c>
      <c r="Q371" s="2">
        <v>34.89</v>
      </c>
      <c r="R371" s="2" t="str" cm="1">
        <f t="array" ref="R371">_xlfn.IFS(Q371&lt;18.5,"Underweight",
AND(Q371&gt;=18.5,Q371&lt;25),"Normal Weight",
AND(Q371&gt;=25,Q371&lt;30),"Overweight",
Q371&gt;=30,"Obesity")</f>
        <v>Obesity</v>
      </c>
      <c r="S371" s="2">
        <f t="shared" si="5"/>
        <v>796.92307692307691</v>
      </c>
      <c r="T371" s="2" t="str" cm="1">
        <f t="array" ref="T371">_xlfn.IFS(N371&lt;=2.5,"Low",N371&lt;=3,"Medium",N371&gt;3,"High")</f>
        <v>Medium</v>
      </c>
    </row>
    <row r="372" spans="1:20" x14ac:dyDescent="0.3">
      <c r="A372" s="2">
        <v>371</v>
      </c>
      <c r="B372" s="2" t="s">
        <v>22</v>
      </c>
      <c r="C372" s="2">
        <v>23</v>
      </c>
      <c r="D372" s="2" t="s">
        <v>15</v>
      </c>
      <c r="E372" s="2">
        <v>107</v>
      </c>
      <c r="F372" s="2">
        <v>1.94</v>
      </c>
      <c r="G372" s="2">
        <v>198</v>
      </c>
      <c r="H372" s="2">
        <v>120</v>
      </c>
      <c r="I372" s="2">
        <v>73</v>
      </c>
      <c r="J372" s="2">
        <v>1.35</v>
      </c>
      <c r="K372" s="2">
        <v>891</v>
      </c>
      <c r="L372" s="2" t="s">
        <v>18</v>
      </c>
      <c r="M372" s="2">
        <v>23.5</v>
      </c>
      <c r="N372" s="2">
        <v>2.9</v>
      </c>
      <c r="O372" s="2">
        <v>2</v>
      </c>
      <c r="P372" s="2">
        <v>1</v>
      </c>
      <c r="Q372" s="2">
        <v>28.43</v>
      </c>
      <c r="R372" s="2" t="str" cm="1">
        <f t="array" ref="R372">_xlfn.IFS(Q372&lt;18.5,"Underweight",
AND(Q372&gt;=18.5,Q372&lt;25),"Normal Weight",
AND(Q372&gt;=25,Q372&lt;30),"Overweight",
Q372&gt;=30,"Obesity")</f>
        <v>Overweight</v>
      </c>
      <c r="S372" s="2">
        <f t="shared" si="5"/>
        <v>660</v>
      </c>
      <c r="T372" s="2" t="str" cm="1">
        <f t="array" ref="T372">_xlfn.IFS(N372&lt;=2.5,"Low",N372&lt;=3,"Medium",N372&gt;3,"High")</f>
        <v>Medium</v>
      </c>
    </row>
    <row r="373" spans="1:20" x14ac:dyDescent="0.3">
      <c r="A373" s="2">
        <v>372</v>
      </c>
      <c r="B373" s="2" t="s">
        <v>27</v>
      </c>
      <c r="C373" s="2">
        <v>32</v>
      </c>
      <c r="D373" s="2" t="s">
        <v>15</v>
      </c>
      <c r="E373" s="2">
        <v>68.3</v>
      </c>
      <c r="F373" s="2">
        <v>1.92</v>
      </c>
      <c r="G373" s="2">
        <v>168</v>
      </c>
      <c r="H373" s="2">
        <v>165</v>
      </c>
      <c r="I373" s="2">
        <v>54</v>
      </c>
      <c r="J373" s="2">
        <v>1.42</v>
      </c>
      <c r="K373" s="2">
        <v>1289</v>
      </c>
      <c r="L373" s="2" t="s">
        <v>20</v>
      </c>
      <c r="M373" s="2">
        <v>29.9</v>
      </c>
      <c r="N373" s="2">
        <v>3.5</v>
      </c>
      <c r="O373" s="2">
        <v>2</v>
      </c>
      <c r="P373" s="2">
        <v>1</v>
      </c>
      <c r="Q373" s="2">
        <v>18.53</v>
      </c>
      <c r="R373" s="2" t="str" cm="1">
        <f t="array" ref="R373">_xlfn.IFS(Q373&lt;18.5,"Underweight",
AND(Q373&gt;=18.5,Q373&lt;25),"Normal Weight",
AND(Q373&gt;=25,Q373&lt;30),"Overweight",
Q373&gt;=30,"Obesity")</f>
        <v>Normal Weight</v>
      </c>
      <c r="S373" s="2">
        <f t="shared" si="5"/>
        <v>907.74647887323943</v>
      </c>
      <c r="T373" s="2" t="str" cm="1">
        <f t="array" ref="T373">_xlfn.IFS(N373&lt;=2.5,"Low",N373&lt;=3,"Medium",N373&gt;3,"High")</f>
        <v>High</v>
      </c>
    </row>
    <row r="374" spans="1:20" x14ac:dyDescent="0.3">
      <c r="A374" s="2">
        <v>373</v>
      </c>
      <c r="B374" s="2" t="s">
        <v>22</v>
      </c>
      <c r="C374" s="2">
        <v>54</v>
      </c>
      <c r="D374" s="2" t="s">
        <v>16</v>
      </c>
      <c r="E374" s="2">
        <v>47.8</v>
      </c>
      <c r="F374" s="2">
        <v>1.6</v>
      </c>
      <c r="G374" s="2">
        <v>171</v>
      </c>
      <c r="H374" s="2">
        <v>155</v>
      </c>
      <c r="I374" s="2">
        <v>55</v>
      </c>
      <c r="J374" s="2">
        <v>1.19</v>
      </c>
      <c r="K374" s="2">
        <v>830</v>
      </c>
      <c r="L374" s="2" t="s">
        <v>19</v>
      </c>
      <c r="M374" s="2">
        <v>26</v>
      </c>
      <c r="N374" s="2">
        <v>2.2999999999999998</v>
      </c>
      <c r="O374" s="2">
        <v>4</v>
      </c>
      <c r="P374" s="2">
        <v>2</v>
      </c>
      <c r="Q374" s="2">
        <v>18.670000000000002</v>
      </c>
      <c r="R374" s="2" t="str" cm="1">
        <f t="array" ref="R374">_xlfn.IFS(Q374&lt;18.5,"Underweight",
AND(Q374&gt;=18.5,Q374&lt;25),"Normal Weight",
AND(Q374&gt;=25,Q374&lt;30),"Overweight",
Q374&gt;=30,"Obesity")</f>
        <v>Normal Weight</v>
      </c>
      <c r="S374" s="2">
        <f t="shared" si="5"/>
        <v>697.47899159663871</v>
      </c>
      <c r="T374" s="2" t="str" cm="1">
        <f t="array" ref="T374">_xlfn.IFS(N374&lt;=2.5,"Low",N374&lt;=3,"Medium",N374&gt;3,"High")</f>
        <v>Low</v>
      </c>
    </row>
    <row r="375" spans="1:20" x14ac:dyDescent="0.3">
      <c r="A375" s="2">
        <v>374</v>
      </c>
      <c r="B375" s="2" t="s">
        <v>26</v>
      </c>
      <c r="C375" s="2">
        <v>50</v>
      </c>
      <c r="D375" s="2" t="s">
        <v>16</v>
      </c>
      <c r="E375" s="2">
        <v>58.4</v>
      </c>
      <c r="F375" s="2">
        <v>1.79</v>
      </c>
      <c r="G375" s="2">
        <v>164</v>
      </c>
      <c r="H375" s="2">
        <v>131</v>
      </c>
      <c r="I375" s="2">
        <v>56</v>
      </c>
      <c r="J375" s="2">
        <v>1.6</v>
      </c>
      <c r="K375" s="2">
        <v>943</v>
      </c>
      <c r="L375" s="2" t="s">
        <v>18</v>
      </c>
      <c r="M375" s="2">
        <v>17</v>
      </c>
      <c r="N375" s="2">
        <v>2.7</v>
      </c>
      <c r="O375" s="2">
        <v>4</v>
      </c>
      <c r="P375" s="2">
        <v>3</v>
      </c>
      <c r="Q375" s="2">
        <v>18.23</v>
      </c>
      <c r="R375" s="2" t="str" cm="1">
        <f t="array" ref="R375">_xlfn.IFS(Q375&lt;18.5,"Underweight",
AND(Q375&gt;=18.5,Q375&lt;25),"Normal Weight",
AND(Q375&gt;=25,Q375&lt;30),"Overweight",
Q375&gt;=30,"Obesity")</f>
        <v>Underweight</v>
      </c>
      <c r="S375" s="2">
        <f t="shared" si="5"/>
        <v>589.375</v>
      </c>
      <c r="T375" s="2" t="str" cm="1">
        <f t="array" ref="T375">_xlfn.IFS(N375&lt;=2.5,"Low",N375&lt;=3,"Medium",N375&gt;3,"High")</f>
        <v>Medium</v>
      </c>
    </row>
    <row r="376" spans="1:20" x14ac:dyDescent="0.3">
      <c r="A376" s="2">
        <v>375</v>
      </c>
      <c r="B376" s="2" t="s">
        <v>21</v>
      </c>
      <c r="C376" s="2">
        <v>25</v>
      </c>
      <c r="D376" s="2" t="s">
        <v>16</v>
      </c>
      <c r="E376" s="2">
        <v>74.3</v>
      </c>
      <c r="F376" s="2">
        <v>1.71</v>
      </c>
      <c r="G376" s="2">
        <v>162</v>
      </c>
      <c r="H376" s="2">
        <v>157</v>
      </c>
      <c r="I376" s="2">
        <v>64</v>
      </c>
      <c r="J376" s="2">
        <v>1.43</v>
      </c>
      <c r="K376" s="2">
        <v>1123</v>
      </c>
      <c r="L376" s="2" t="s">
        <v>17</v>
      </c>
      <c r="M376" s="2">
        <v>25.6</v>
      </c>
      <c r="N376" s="2">
        <v>1.6</v>
      </c>
      <c r="O376" s="2">
        <v>3</v>
      </c>
      <c r="P376" s="2">
        <v>2</v>
      </c>
      <c r="Q376" s="2">
        <v>25.41</v>
      </c>
      <c r="R376" s="2" t="str" cm="1">
        <f t="array" ref="R376">_xlfn.IFS(Q376&lt;18.5,"Underweight",
AND(Q376&gt;=18.5,Q376&lt;25),"Normal Weight",
AND(Q376&gt;=25,Q376&lt;30),"Overweight",
Q376&gt;=30,"Obesity")</f>
        <v>Overweight</v>
      </c>
      <c r="S376" s="2">
        <f t="shared" si="5"/>
        <v>785.31468531468533</v>
      </c>
      <c r="T376" s="2" t="str" cm="1">
        <f t="array" ref="T376">_xlfn.IFS(N376&lt;=2.5,"Low",N376&lt;=3,"Medium",N376&gt;3,"High")</f>
        <v>Low</v>
      </c>
    </row>
    <row r="377" spans="1:20" x14ac:dyDescent="0.3">
      <c r="A377" s="2">
        <v>376</v>
      </c>
      <c r="B377" s="2" t="s">
        <v>23</v>
      </c>
      <c r="C377" s="2">
        <v>22</v>
      </c>
      <c r="D377" s="2" t="s">
        <v>15</v>
      </c>
      <c r="E377" s="2">
        <v>106.8</v>
      </c>
      <c r="F377" s="2">
        <v>1.82</v>
      </c>
      <c r="G377" s="2">
        <v>170</v>
      </c>
      <c r="H377" s="2">
        <v>130</v>
      </c>
      <c r="I377" s="2">
        <v>50</v>
      </c>
      <c r="J377" s="2">
        <v>1</v>
      </c>
      <c r="K377" s="2">
        <v>715</v>
      </c>
      <c r="L377" s="2" t="s">
        <v>17</v>
      </c>
      <c r="M377" s="2">
        <v>28.2</v>
      </c>
      <c r="N377" s="2">
        <v>2.2999999999999998</v>
      </c>
      <c r="O377" s="2">
        <v>4</v>
      </c>
      <c r="P377" s="2">
        <v>2</v>
      </c>
      <c r="Q377" s="2">
        <v>32.24</v>
      </c>
      <c r="R377" s="2" t="str" cm="1">
        <f t="array" ref="R377">_xlfn.IFS(Q377&lt;18.5,"Underweight",
AND(Q377&gt;=18.5,Q377&lt;25),"Normal Weight",
AND(Q377&gt;=25,Q377&lt;30),"Overweight",
Q377&gt;=30,"Obesity")</f>
        <v>Obesity</v>
      </c>
      <c r="S377" s="2">
        <f t="shared" si="5"/>
        <v>715</v>
      </c>
      <c r="T377" s="2" t="str" cm="1">
        <f t="array" ref="T377">_xlfn.IFS(N377&lt;=2.5,"Low",N377&lt;=3,"Medium",N377&gt;3,"High")</f>
        <v>Low</v>
      </c>
    </row>
    <row r="378" spans="1:20" x14ac:dyDescent="0.3">
      <c r="A378" s="2">
        <v>377</v>
      </c>
      <c r="B378" s="2" t="s">
        <v>22</v>
      </c>
      <c r="C378" s="2">
        <v>56</v>
      </c>
      <c r="D378" s="2" t="s">
        <v>15</v>
      </c>
      <c r="E378" s="2">
        <v>125.5</v>
      </c>
      <c r="F378" s="2">
        <v>1.8</v>
      </c>
      <c r="G378" s="2">
        <v>189</v>
      </c>
      <c r="H378" s="2">
        <v>131</v>
      </c>
      <c r="I378" s="2">
        <v>73</v>
      </c>
      <c r="J378" s="2">
        <v>1.26</v>
      </c>
      <c r="K378" s="2">
        <v>817</v>
      </c>
      <c r="L378" s="2" t="s">
        <v>20</v>
      </c>
      <c r="M378" s="2">
        <v>20.9</v>
      </c>
      <c r="N378" s="2">
        <v>2.7</v>
      </c>
      <c r="O378" s="2">
        <v>4</v>
      </c>
      <c r="P378" s="2">
        <v>2</v>
      </c>
      <c r="Q378" s="2">
        <v>38.729999999999997</v>
      </c>
      <c r="R378" s="2" t="str" cm="1">
        <f t="array" ref="R378">_xlfn.IFS(Q378&lt;18.5,"Underweight",
AND(Q378&gt;=18.5,Q378&lt;25),"Normal Weight",
AND(Q378&gt;=25,Q378&lt;30),"Overweight",
Q378&gt;=30,"Obesity")</f>
        <v>Obesity</v>
      </c>
      <c r="S378" s="2">
        <f t="shared" si="5"/>
        <v>648.41269841269843</v>
      </c>
      <c r="T378" s="2" t="str" cm="1">
        <f t="array" ref="T378">_xlfn.IFS(N378&lt;=2.5,"Low",N378&lt;=3,"Medium",N378&gt;3,"High")</f>
        <v>Medium</v>
      </c>
    </row>
    <row r="379" spans="1:20" x14ac:dyDescent="0.3">
      <c r="A379" s="2">
        <v>378</v>
      </c>
      <c r="B379" s="2" t="s">
        <v>28</v>
      </c>
      <c r="C379" s="2">
        <v>21</v>
      </c>
      <c r="D379" s="2" t="s">
        <v>16</v>
      </c>
      <c r="E379" s="2">
        <v>55.2</v>
      </c>
      <c r="F379" s="2">
        <v>1.55</v>
      </c>
      <c r="G379" s="2">
        <v>163</v>
      </c>
      <c r="H379" s="2">
        <v>161</v>
      </c>
      <c r="I379" s="2">
        <v>53</v>
      </c>
      <c r="J379" s="2">
        <v>1.37</v>
      </c>
      <c r="K379" s="2">
        <v>1103</v>
      </c>
      <c r="L379" s="2" t="s">
        <v>20</v>
      </c>
      <c r="M379" s="2">
        <v>31.7</v>
      </c>
      <c r="N379" s="2">
        <v>1.7</v>
      </c>
      <c r="O379" s="2">
        <v>4</v>
      </c>
      <c r="P379" s="2">
        <v>2</v>
      </c>
      <c r="Q379" s="2">
        <v>22.98</v>
      </c>
      <c r="R379" s="2" t="str" cm="1">
        <f t="array" ref="R379">_xlfn.IFS(Q379&lt;18.5,"Underweight",
AND(Q379&gt;=18.5,Q379&lt;25),"Normal Weight",
AND(Q379&gt;=25,Q379&lt;30),"Overweight",
Q379&gt;=30,"Obesity")</f>
        <v>Normal Weight</v>
      </c>
      <c r="S379" s="2">
        <f t="shared" si="5"/>
        <v>805.10948905109478</v>
      </c>
      <c r="T379" s="2" t="str" cm="1">
        <f t="array" ref="T379">_xlfn.IFS(N379&lt;=2.5,"Low",N379&lt;=3,"Medium",N379&gt;3,"High")</f>
        <v>Low</v>
      </c>
    </row>
    <row r="380" spans="1:20" x14ac:dyDescent="0.3">
      <c r="A380" s="2">
        <v>379</v>
      </c>
      <c r="B380" s="2" t="s">
        <v>25</v>
      </c>
      <c r="C380" s="2">
        <v>23</v>
      </c>
      <c r="D380" s="2" t="s">
        <v>16</v>
      </c>
      <c r="E380" s="2">
        <v>71.400000000000006</v>
      </c>
      <c r="F380" s="2">
        <v>1.72</v>
      </c>
      <c r="G380" s="2">
        <v>164</v>
      </c>
      <c r="H380" s="2">
        <v>169</v>
      </c>
      <c r="I380" s="2">
        <v>74</v>
      </c>
      <c r="J380" s="2">
        <v>1.25</v>
      </c>
      <c r="K380" s="2">
        <v>1056</v>
      </c>
      <c r="L380" s="2" t="s">
        <v>20</v>
      </c>
      <c r="M380" s="2">
        <v>25.6</v>
      </c>
      <c r="N380" s="2">
        <v>1.5</v>
      </c>
      <c r="O380" s="2">
        <v>2</v>
      </c>
      <c r="P380" s="2">
        <v>1</v>
      </c>
      <c r="Q380" s="2">
        <v>24.13</v>
      </c>
      <c r="R380" s="2" t="str" cm="1">
        <f t="array" ref="R380">_xlfn.IFS(Q380&lt;18.5,"Underweight",
AND(Q380&gt;=18.5,Q380&lt;25),"Normal Weight",
AND(Q380&gt;=25,Q380&lt;30),"Overweight",
Q380&gt;=30,"Obesity")</f>
        <v>Normal Weight</v>
      </c>
      <c r="S380" s="2">
        <f t="shared" si="5"/>
        <v>844.8</v>
      </c>
      <c r="T380" s="2" t="str" cm="1">
        <f t="array" ref="T380">_xlfn.IFS(N380&lt;=2.5,"Low",N380&lt;=3,"Medium",N380&gt;3,"High")</f>
        <v>Low</v>
      </c>
    </row>
    <row r="381" spans="1:20" x14ac:dyDescent="0.3">
      <c r="A381" s="2">
        <v>380</v>
      </c>
      <c r="B381" s="2" t="s">
        <v>26</v>
      </c>
      <c r="C381" s="2">
        <v>49</v>
      </c>
      <c r="D381" s="2" t="s">
        <v>15</v>
      </c>
      <c r="E381" s="2">
        <v>77.7</v>
      </c>
      <c r="F381" s="2">
        <v>1.61</v>
      </c>
      <c r="G381" s="2">
        <v>160</v>
      </c>
      <c r="H381" s="2">
        <v>158</v>
      </c>
      <c r="I381" s="2">
        <v>50</v>
      </c>
      <c r="J381" s="2">
        <v>1.03</v>
      </c>
      <c r="K381" s="2">
        <v>806</v>
      </c>
      <c r="L381" s="2" t="s">
        <v>20</v>
      </c>
      <c r="M381" s="2">
        <v>26.7</v>
      </c>
      <c r="N381" s="2">
        <v>3.4</v>
      </c>
      <c r="O381" s="2">
        <v>3</v>
      </c>
      <c r="P381" s="2">
        <v>2</v>
      </c>
      <c r="Q381" s="2">
        <v>29.98</v>
      </c>
      <c r="R381" s="2" t="str" cm="1">
        <f t="array" ref="R381">_xlfn.IFS(Q381&lt;18.5,"Underweight",
AND(Q381&gt;=18.5,Q381&lt;25),"Normal Weight",
AND(Q381&gt;=25,Q381&lt;30),"Overweight",
Q381&gt;=30,"Obesity")</f>
        <v>Overweight</v>
      </c>
      <c r="S381" s="2">
        <f t="shared" si="5"/>
        <v>782.52427184466012</v>
      </c>
      <c r="T381" s="2" t="str" cm="1">
        <f t="array" ref="T381">_xlfn.IFS(N381&lt;=2.5,"Low",N381&lt;=3,"Medium",N381&gt;3,"High")</f>
        <v>High</v>
      </c>
    </row>
    <row r="382" spans="1:20" x14ac:dyDescent="0.3">
      <c r="A382" s="2">
        <v>381</v>
      </c>
      <c r="B382" s="2" t="s">
        <v>29</v>
      </c>
      <c r="C382" s="2">
        <v>47</v>
      </c>
      <c r="D382" s="2" t="s">
        <v>15</v>
      </c>
      <c r="E382" s="2">
        <v>88.4</v>
      </c>
      <c r="F382" s="2">
        <v>1.6</v>
      </c>
      <c r="G382" s="2">
        <v>186</v>
      </c>
      <c r="H382" s="2">
        <v>126</v>
      </c>
      <c r="I382" s="2">
        <v>60</v>
      </c>
      <c r="J382" s="2">
        <v>1.86</v>
      </c>
      <c r="K382" s="2">
        <v>1160</v>
      </c>
      <c r="L382" s="2" t="s">
        <v>18</v>
      </c>
      <c r="M382" s="2">
        <v>14.2</v>
      </c>
      <c r="N382" s="2">
        <v>3.5</v>
      </c>
      <c r="O382" s="2">
        <v>5</v>
      </c>
      <c r="P382" s="2">
        <v>3</v>
      </c>
      <c r="Q382" s="2">
        <v>34.53</v>
      </c>
      <c r="R382" s="2" t="str" cm="1">
        <f t="array" ref="R382">_xlfn.IFS(Q382&lt;18.5,"Underweight",
AND(Q382&gt;=18.5,Q382&lt;25),"Normal Weight",
AND(Q382&gt;=25,Q382&lt;30),"Overweight",
Q382&gt;=30,"Obesity")</f>
        <v>Obesity</v>
      </c>
      <c r="S382" s="2">
        <f t="shared" si="5"/>
        <v>623.6559139784946</v>
      </c>
      <c r="T382" s="2" t="str" cm="1">
        <f t="array" ref="T382">_xlfn.IFS(N382&lt;=2.5,"Low",N382&lt;=3,"Medium",N382&gt;3,"High")</f>
        <v>High</v>
      </c>
    </row>
    <row r="383" spans="1:20" x14ac:dyDescent="0.3">
      <c r="A383" s="2">
        <v>382</v>
      </c>
      <c r="B383" s="2" t="s">
        <v>23</v>
      </c>
      <c r="C383" s="2">
        <v>52</v>
      </c>
      <c r="D383" s="2" t="s">
        <v>15</v>
      </c>
      <c r="E383" s="2">
        <v>104.8</v>
      </c>
      <c r="F383" s="2">
        <v>1.99</v>
      </c>
      <c r="G383" s="2">
        <v>187</v>
      </c>
      <c r="H383" s="2">
        <v>130</v>
      </c>
      <c r="I383" s="2">
        <v>67</v>
      </c>
      <c r="J383" s="2">
        <v>0.93</v>
      </c>
      <c r="K383" s="2">
        <v>598</v>
      </c>
      <c r="L383" s="2" t="s">
        <v>19</v>
      </c>
      <c r="M383" s="2">
        <v>24</v>
      </c>
      <c r="N383" s="2">
        <v>2</v>
      </c>
      <c r="O383" s="2">
        <v>2</v>
      </c>
      <c r="P383" s="2">
        <v>1</v>
      </c>
      <c r="Q383" s="2">
        <v>26.46</v>
      </c>
      <c r="R383" s="2" t="str" cm="1">
        <f t="array" ref="R383">_xlfn.IFS(Q383&lt;18.5,"Underweight",
AND(Q383&gt;=18.5,Q383&lt;25),"Normal Weight",
AND(Q383&gt;=25,Q383&lt;30),"Overweight",
Q383&gt;=30,"Obesity")</f>
        <v>Overweight</v>
      </c>
      <c r="S383" s="2">
        <f t="shared" si="5"/>
        <v>643.01075268817203</v>
      </c>
      <c r="T383" s="2" t="str" cm="1">
        <f t="array" ref="T383">_xlfn.IFS(N383&lt;=2.5,"Low",N383&lt;=3,"Medium",N383&gt;3,"High")</f>
        <v>Low</v>
      </c>
    </row>
    <row r="384" spans="1:20" x14ac:dyDescent="0.3">
      <c r="A384" s="2">
        <v>383</v>
      </c>
      <c r="B384" s="2" t="s">
        <v>26</v>
      </c>
      <c r="C384" s="2">
        <v>57</v>
      </c>
      <c r="D384" s="2" t="s">
        <v>15</v>
      </c>
      <c r="E384" s="2">
        <v>82.2</v>
      </c>
      <c r="F384" s="2">
        <v>1.69</v>
      </c>
      <c r="G384" s="2">
        <v>188</v>
      </c>
      <c r="H384" s="2">
        <v>155</v>
      </c>
      <c r="I384" s="2">
        <v>63</v>
      </c>
      <c r="J384" s="2">
        <v>1.1499999999999999</v>
      </c>
      <c r="K384" s="2">
        <v>882</v>
      </c>
      <c r="L384" s="2" t="s">
        <v>20</v>
      </c>
      <c r="M384" s="2">
        <v>25.2</v>
      </c>
      <c r="N384" s="2">
        <v>3.4</v>
      </c>
      <c r="O384" s="2">
        <v>4</v>
      </c>
      <c r="P384" s="2">
        <v>2</v>
      </c>
      <c r="Q384" s="2">
        <v>28.78</v>
      </c>
      <c r="R384" s="2" t="str" cm="1">
        <f t="array" ref="R384">_xlfn.IFS(Q384&lt;18.5,"Underweight",
AND(Q384&gt;=18.5,Q384&lt;25),"Normal Weight",
AND(Q384&gt;=25,Q384&lt;30),"Overweight",
Q384&gt;=30,"Obesity")</f>
        <v>Overweight</v>
      </c>
      <c r="S384" s="2">
        <f t="shared" si="5"/>
        <v>766.95652173913049</v>
      </c>
      <c r="T384" s="2" t="str" cm="1">
        <f t="array" ref="T384">_xlfn.IFS(N384&lt;=2.5,"Low",N384&lt;=3,"Medium",N384&gt;3,"High")</f>
        <v>High</v>
      </c>
    </row>
    <row r="385" spans="1:20" x14ac:dyDescent="0.3">
      <c r="A385" s="2">
        <v>384</v>
      </c>
      <c r="B385" s="2" t="s">
        <v>25</v>
      </c>
      <c r="C385" s="2">
        <v>33</v>
      </c>
      <c r="D385" s="2" t="s">
        <v>16</v>
      </c>
      <c r="E385" s="2">
        <v>68.2</v>
      </c>
      <c r="F385" s="2">
        <v>1.75</v>
      </c>
      <c r="G385" s="2">
        <v>177</v>
      </c>
      <c r="H385" s="2">
        <v>150</v>
      </c>
      <c r="I385" s="2">
        <v>71</v>
      </c>
      <c r="J385" s="2">
        <v>0.85</v>
      </c>
      <c r="K385" s="2">
        <v>638</v>
      </c>
      <c r="L385" s="2" t="s">
        <v>20</v>
      </c>
      <c r="M385" s="2">
        <v>29</v>
      </c>
      <c r="N385" s="2">
        <v>1.7</v>
      </c>
      <c r="O385" s="2">
        <v>2</v>
      </c>
      <c r="P385" s="2">
        <v>1</v>
      </c>
      <c r="Q385" s="2">
        <v>22.27</v>
      </c>
      <c r="R385" s="2" t="str" cm="1">
        <f t="array" ref="R385">_xlfn.IFS(Q385&lt;18.5,"Underweight",
AND(Q385&gt;=18.5,Q385&lt;25),"Normal Weight",
AND(Q385&gt;=25,Q385&lt;30),"Overweight",
Q385&gt;=30,"Obesity")</f>
        <v>Normal Weight</v>
      </c>
      <c r="S385" s="2">
        <f t="shared" si="5"/>
        <v>750.58823529411768</v>
      </c>
      <c r="T385" s="2" t="str" cm="1">
        <f t="array" ref="T385">_xlfn.IFS(N385&lt;=2.5,"Low",N385&lt;=3,"Medium",N385&gt;3,"High")</f>
        <v>Low</v>
      </c>
    </row>
    <row r="386" spans="1:20" x14ac:dyDescent="0.3">
      <c r="A386" s="2">
        <v>385</v>
      </c>
      <c r="B386" s="2" t="s">
        <v>21</v>
      </c>
      <c r="C386" s="2">
        <v>30</v>
      </c>
      <c r="D386" s="2" t="s">
        <v>15</v>
      </c>
      <c r="E386" s="2">
        <v>91.4</v>
      </c>
      <c r="F386" s="2">
        <v>1.99</v>
      </c>
      <c r="G386" s="2">
        <v>171</v>
      </c>
      <c r="H386" s="2">
        <v>152</v>
      </c>
      <c r="I386" s="2">
        <v>60</v>
      </c>
      <c r="J386" s="2">
        <v>1.37</v>
      </c>
      <c r="K386" s="2">
        <v>1145</v>
      </c>
      <c r="L386" s="2" t="s">
        <v>18</v>
      </c>
      <c r="M386" s="2">
        <v>23</v>
      </c>
      <c r="N386" s="2">
        <v>3.7</v>
      </c>
      <c r="O386" s="2">
        <v>3</v>
      </c>
      <c r="P386" s="2">
        <v>2</v>
      </c>
      <c r="Q386" s="2">
        <v>23.08</v>
      </c>
      <c r="R386" s="2" t="str" cm="1">
        <f t="array" ref="R386">_xlfn.IFS(Q386&lt;18.5,"Underweight",
AND(Q386&gt;=18.5,Q386&lt;25),"Normal Weight",
AND(Q386&gt;=25,Q386&lt;30),"Overweight",
Q386&gt;=30,"Obesity")</f>
        <v>Normal Weight</v>
      </c>
      <c r="S386" s="2">
        <f t="shared" si="5"/>
        <v>835.76642335766417</v>
      </c>
      <c r="T386" s="2" t="str" cm="1">
        <f t="array" ref="T386">_xlfn.IFS(N386&lt;=2.5,"Low",N386&lt;=3,"Medium",N386&gt;3,"High")</f>
        <v>High</v>
      </c>
    </row>
    <row r="387" spans="1:20" x14ac:dyDescent="0.3">
      <c r="A387" s="2">
        <v>386</v>
      </c>
      <c r="B387" s="2" t="s">
        <v>25</v>
      </c>
      <c r="C387" s="2">
        <v>59</v>
      </c>
      <c r="D387" s="2" t="s">
        <v>16</v>
      </c>
      <c r="E387" s="2">
        <v>42.1</v>
      </c>
      <c r="F387" s="2">
        <v>1.65</v>
      </c>
      <c r="G387" s="2">
        <v>172</v>
      </c>
      <c r="H387" s="2">
        <v>132</v>
      </c>
      <c r="I387" s="2">
        <v>59</v>
      </c>
      <c r="J387" s="2">
        <v>1.22</v>
      </c>
      <c r="K387" s="2">
        <v>725</v>
      </c>
      <c r="L387" s="2" t="s">
        <v>20</v>
      </c>
      <c r="M387" s="2">
        <v>33</v>
      </c>
      <c r="N387" s="2">
        <v>2.2000000000000002</v>
      </c>
      <c r="O387" s="2">
        <v>2</v>
      </c>
      <c r="P387" s="2">
        <v>1</v>
      </c>
      <c r="Q387" s="2">
        <v>15.46</v>
      </c>
      <c r="R387" s="2" t="str" cm="1">
        <f t="array" ref="R387">_xlfn.IFS(Q387&lt;18.5,"Underweight",
AND(Q387&gt;=18.5,Q387&lt;25),"Normal Weight",
AND(Q387&gt;=25,Q387&lt;30),"Overweight",
Q387&gt;=30,"Obesity")</f>
        <v>Underweight</v>
      </c>
      <c r="S387" s="2">
        <f t="shared" ref="S387:S450" si="6">K387/J387</f>
        <v>594.26229508196718</v>
      </c>
      <c r="T387" s="2" t="str" cm="1">
        <f t="array" ref="T387">_xlfn.IFS(N387&lt;=2.5,"Low",N387&lt;=3,"Medium",N387&gt;3,"High")</f>
        <v>Low</v>
      </c>
    </row>
    <row r="388" spans="1:20" x14ac:dyDescent="0.3">
      <c r="A388" s="2">
        <v>387</v>
      </c>
      <c r="B388" s="2" t="s">
        <v>24</v>
      </c>
      <c r="C388" s="2">
        <v>47</v>
      </c>
      <c r="D388" s="2" t="s">
        <v>16</v>
      </c>
      <c r="E388" s="2">
        <v>68.7</v>
      </c>
      <c r="F388" s="2">
        <v>1.76</v>
      </c>
      <c r="G388" s="2">
        <v>161</v>
      </c>
      <c r="H388" s="2">
        <v>137</v>
      </c>
      <c r="I388" s="2">
        <v>66</v>
      </c>
      <c r="J388" s="2">
        <v>1.37</v>
      </c>
      <c r="K388" s="2">
        <v>845</v>
      </c>
      <c r="L388" s="2" t="s">
        <v>20</v>
      </c>
      <c r="M388" s="2">
        <v>27.7</v>
      </c>
      <c r="N388" s="2">
        <v>2.4</v>
      </c>
      <c r="O388" s="2">
        <v>3</v>
      </c>
      <c r="P388" s="2">
        <v>2</v>
      </c>
      <c r="Q388" s="2">
        <v>22.18</v>
      </c>
      <c r="R388" s="2" t="str" cm="1">
        <f t="array" ref="R388">_xlfn.IFS(Q388&lt;18.5,"Underweight",
AND(Q388&gt;=18.5,Q388&lt;25),"Normal Weight",
AND(Q388&gt;=25,Q388&lt;30),"Overweight",
Q388&gt;=30,"Obesity")</f>
        <v>Normal Weight</v>
      </c>
      <c r="S388" s="2">
        <f t="shared" si="6"/>
        <v>616.78832116788317</v>
      </c>
      <c r="T388" s="2" t="str" cm="1">
        <f t="array" ref="T388">_xlfn.IFS(N388&lt;=2.5,"Low",N388&lt;=3,"Medium",N388&gt;3,"High")</f>
        <v>Low</v>
      </c>
    </row>
    <row r="389" spans="1:20" x14ac:dyDescent="0.3">
      <c r="A389" s="2">
        <v>388</v>
      </c>
      <c r="B389" s="2" t="s">
        <v>25</v>
      </c>
      <c r="C389" s="2">
        <v>36</v>
      </c>
      <c r="D389" s="2" t="s">
        <v>16</v>
      </c>
      <c r="E389" s="2">
        <v>47.2</v>
      </c>
      <c r="F389" s="2">
        <v>1.74</v>
      </c>
      <c r="G389" s="2">
        <v>196</v>
      </c>
      <c r="H389" s="2">
        <v>160</v>
      </c>
      <c r="I389" s="2">
        <v>53</v>
      </c>
      <c r="J389" s="2">
        <v>1.5</v>
      </c>
      <c r="K389" s="2">
        <v>1200</v>
      </c>
      <c r="L389" s="2" t="s">
        <v>19</v>
      </c>
      <c r="M389" s="2">
        <v>32.200000000000003</v>
      </c>
      <c r="N389" s="2">
        <v>1.6</v>
      </c>
      <c r="O389" s="2">
        <v>4</v>
      </c>
      <c r="P389" s="2">
        <v>2</v>
      </c>
      <c r="Q389" s="2">
        <v>15.59</v>
      </c>
      <c r="R389" s="2" t="str" cm="1">
        <f t="array" ref="R389">_xlfn.IFS(Q389&lt;18.5,"Underweight",
AND(Q389&gt;=18.5,Q389&lt;25),"Normal Weight",
AND(Q389&gt;=25,Q389&lt;30),"Overweight",
Q389&gt;=30,"Obesity")</f>
        <v>Underweight</v>
      </c>
      <c r="S389" s="2">
        <f t="shared" si="6"/>
        <v>800</v>
      </c>
      <c r="T389" s="2" t="str" cm="1">
        <f t="array" ref="T389">_xlfn.IFS(N389&lt;=2.5,"Low",N389&lt;=3,"Medium",N389&gt;3,"High")</f>
        <v>Low</v>
      </c>
    </row>
    <row r="390" spans="1:20" x14ac:dyDescent="0.3">
      <c r="A390" s="2">
        <v>389</v>
      </c>
      <c r="B390" s="2" t="s">
        <v>24</v>
      </c>
      <c r="C390" s="2">
        <v>34</v>
      </c>
      <c r="D390" s="2" t="s">
        <v>15</v>
      </c>
      <c r="E390" s="2">
        <v>92</v>
      </c>
      <c r="F390" s="2">
        <v>1.76</v>
      </c>
      <c r="G390" s="2">
        <v>175</v>
      </c>
      <c r="H390" s="2">
        <v>143</v>
      </c>
      <c r="I390" s="2">
        <v>73</v>
      </c>
      <c r="J390" s="2">
        <v>0.73</v>
      </c>
      <c r="K390" s="2">
        <v>574</v>
      </c>
      <c r="L390" s="2" t="s">
        <v>17</v>
      </c>
      <c r="M390" s="2">
        <v>22.1</v>
      </c>
      <c r="N390" s="2">
        <v>3.5</v>
      </c>
      <c r="O390" s="2">
        <v>3</v>
      </c>
      <c r="P390" s="2">
        <v>1</v>
      </c>
      <c r="Q390" s="2">
        <v>29.7</v>
      </c>
      <c r="R390" s="2" t="str" cm="1">
        <f t="array" ref="R390">_xlfn.IFS(Q390&lt;18.5,"Underweight",
AND(Q390&gt;=18.5,Q390&lt;25),"Normal Weight",
AND(Q390&gt;=25,Q390&lt;30),"Overweight",
Q390&gt;=30,"Obesity")</f>
        <v>Overweight</v>
      </c>
      <c r="S390" s="2">
        <f t="shared" si="6"/>
        <v>786.30136986301375</v>
      </c>
      <c r="T390" s="2" t="str" cm="1">
        <f t="array" ref="T390">_xlfn.IFS(N390&lt;=2.5,"Low",N390&lt;=3,"Medium",N390&gt;3,"High")</f>
        <v>High</v>
      </c>
    </row>
    <row r="391" spans="1:20" x14ac:dyDescent="0.3">
      <c r="A391" s="2">
        <v>390</v>
      </c>
      <c r="B391" s="2" t="s">
        <v>21</v>
      </c>
      <c r="C391" s="2">
        <v>36</v>
      </c>
      <c r="D391" s="2" t="s">
        <v>15</v>
      </c>
      <c r="E391" s="2">
        <v>56.2</v>
      </c>
      <c r="F391" s="2">
        <v>1.95</v>
      </c>
      <c r="G391" s="2">
        <v>183</v>
      </c>
      <c r="H391" s="2">
        <v>128</v>
      </c>
      <c r="I391" s="2">
        <v>64</v>
      </c>
      <c r="J391" s="2">
        <v>1.0900000000000001</v>
      </c>
      <c r="K391" s="2">
        <v>767</v>
      </c>
      <c r="L391" s="2" t="s">
        <v>20</v>
      </c>
      <c r="M391" s="2">
        <v>22.5</v>
      </c>
      <c r="N391" s="2">
        <v>3.4</v>
      </c>
      <c r="O391" s="2">
        <v>4</v>
      </c>
      <c r="P391" s="2">
        <v>2</v>
      </c>
      <c r="Q391" s="2">
        <v>14.78</v>
      </c>
      <c r="R391" s="2" t="str" cm="1">
        <f t="array" ref="R391">_xlfn.IFS(Q391&lt;18.5,"Underweight",
AND(Q391&gt;=18.5,Q391&lt;25),"Normal Weight",
AND(Q391&gt;=25,Q391&lt;30),"Overweight",
Q391&gt;=30,"Obesity")</f>
        <v>Underweight</v>
      </c>
      <c r="S391" s="2">
        <f t="shared" si="6"/>
        <v>703.66972477064212</v>
      </c>
      <c r="T391" s="2" t="str" cm="1">
        <f t="array" ref="T391">_xlfn.IFS(N391&lt;=2.5,"Low",N391&lt;=3,"Medium",N391&gt;3,"High")</f>
        <v>High</v>
      </c>
    </row>
    <row r="392" spans="1:20" x14ac:dyDescent="0.3">
      <c r="A392" s="2">
        <v>391</v>
      </c>
      <c r="B392" s="2" t="s">
        <v>30</v>
      </c>
      <c r="C392" s="2">
        <v>45</v>
      </c>
      <c r="D392" s="2" t="s">
        <v>15</v>
      </c>
      <c r="E392" s="2">
        <v>58.4</v>
      </c>
      <c r="F392" s="2">
        <v>1.72</v>
      </c>
      <c r="G392" s="2">
        <v>194</v>
      </c>
      <c r="H392" s="2">
        <v>150</v>
      </c>
      <c r="I392" s="2">
        <v>65</v>
      </c>
      <c r="J392" s="2">
        <v>1.31</v>
      </c>
      <c r="K392" s="2">
        <v>973</v>
      </c>
      <c r="L392" s="2" t="s">
        <v>18</v>
      </c>
      <c r="M392" s="2">
        <v>23.4</v>
      </c>
      <c r="N392" s="2">
        <v>3.1</v>
      </c>
      <c r="O392" s="2">
        <v>4</v>
      </c>
      <c r="P392" s="2">
        <v>2</v>
      </c>
      <c r="Q392" s="2">
        <v>19.739999999999998</v>
      </c>
      <c r="R392" s="2" t="str" cm="1">
        <f t="array" ref="R392">_xlfn.IFS(Q392&lt;18.5,"Underweight",
AND(Q392&gt;=18.5,Q392&lt;25),"Normal Weight",
AND(Q392&gt;=25,Q392&lt;30),"Overweight",
Q392&gt;=30,"Obesity")</f>
        <v>Normal Weight</v>
      </c>
      <c r="S392" s="2">
        <f t="shared" si="6"/>
        <v>742.74809160305335</v>
      </c>
      <c r="T392" s="2" t="str" cm="1">
        <f t="array" ref="T392">_xlfn.IFS(N392&lt;=2.5,"Low",N392&lt;=3,"Medium",N392&gt;3,"High")</f>
        <v>High</v>
      </c>
    </row>
    <row r="393" spans="1:20" x14ac:dyDescent="0.3">
      <c r="A393" s="2">
        <v>392</v>
      </c>
      <c r="B393" s="2" t="s">
        <v>24</v>
      </c>
      <c r="C393" s="2">
        <v>43</v>
      </c>
      <c r="D393" s="2" t="s">
        <v>15</v>
      </c>
      <c r="E393" s="2">
        <v>82.9</v>
      </c>
      <c r="F393" s="2">
        <v>1.95</v>
      </c>
      <c r="G393" s="2">
        <v>181</v>
      </c>
      <c r="H393" s="2">
        <v>160</v>
      </c>
      <c r="I393" s="2">
        <v>70</v>
      </c>
      <c r="J393" s="2">
        <v>1.9</v>
      </c>
      <c r="K393" s="2">
        <v>1505</v>
      </c>
      <c r="L393" s="2" t="s">
        <v>19</v>
      </c>
      <c r="M393" s="2">
        <v>12.9</v>
      </c>
      <c r="N393" s="2">
        <v>3.5</v>
      </c>
      <c r="O393" s="2">
        <v>5</v>
      </c>
      <c r="P393" s="2">
        <v>3</v>
      </c>
      <c r="Q393" s="2">
        <v>21.8</v>
      </c>
      <c r="R393" s="2" t="str" cm="1">
        <f t="array" ref="R393">_xlfn.IFS(Q393&lt;18.5,"Underweight",
AND(Q393&gt;=18.5,Q393&lt;25),"Normal Weight",
AND(Q393&gt;=25,Q393&lt;30),"Overweight",
Q393&gt;=30,"Obesity")</f>
        <v>Normal Weight</v>
      </c>
      <c r="S393" s="2">
        <f t="shared" si="6"/>
        <v>792.1052631578948</v>
      </c>
      <c r="T393" s="2" t="str" cm="1">
        <f t="array" ref="T393">_xlfn.IFS(N393&lt;=2.5,"Low",N393&lt;=3,"Medium",N393&gt;3,"High")</f>
        <v>High</v>
      </c>
    </row>
    <row r="394" spans="1:20" x14ac:dyDescent="0.3">
      <c r="A394" s="2">
        <v>393</v>
      </c>
      <c r="B394" s="2" t="s">
        <v>29</v>
      </c>
      <c r="C394" s="2">
        <v>54</v>
      </c>
      <c r="D394" s="2" t="s">
        <v>16</v>
      </c>
      <c r="E394" s="2">
        <v>66.900000000000006</v>
      </c>
      <c r="F394" s="2">
        <v>1.74</v>
      </c>
      <c r="G394" s="2">
        <v>195</v>
      </c>
      <c r="H394" s="2">
        <v>129</v>
      </c>
      <c r="I394" s="2">
        <v>62</v>
      </c>
      <c r="J394" s="2">
        <v>1.24</v>
      </c>
      <c r="K394" s="2">
        <v>720</v>
      </c>
      <c r="L394" s="2" t="s">
        <v>18</v>
      </c>
      <c r="M394" s="2">
        <v>29.5</v>
      </c>
      <c r="N394" s="2">
        <v>2.1</v>
      </c>
      <c r="O394" s="2">
        <v>2</v>
      </c>
      <c r="P394" s="2">
        <v>1</v>
      </c>
      <c r="Q394" s="2">
        <v>22.1</v>
      </c>
      <c r="R394" s="2" t="str" cm="1">
        <f t="array" ref="R394">_xlfn.IFS(Q394&lt;18.5,"Underweight",
AND(Q394&gt;=18.5,Q394&lt;25),"Normal Weight",
AND(Q394&gt;=25,Q394&lt;30),"Overweight",
Q394&gt;=30,"Obesity")</f>
        <v>Normal Weight</v>
      </c>
      <c r="S394" s="2">
        <f t="shared" si="6"/>
        <v>580.64516129032256</v>
      </c>
      <c r="T394" s="2" t="str" cm="1">
        <f t="array" ref="T394">_xlfn.IFS(N394&lt;=2.5,"Low",N394&lt;=3,"Medium",N394&gt;3,"High")</f>
        <v>Low</v>
      </c>
    </row>
    <row r="395" spans="1:20" x14ac:dyDescent="0.3">
      <c r="A395" s="2">
        <v>394</v>
      </c>
      <c r="B395" s="2" t="s">
        <v>25</v>
      </c>
      <c r="C395" s="2">
        <v>43</v>
      </c>
      <c r="D395" s="2" t="s">
        <v>15</v>
      </c>
      <c r="E395" s="2">
        <v>66.3</v>
      </c>
      <c r="F395" s="2">
        <v>1.85</v>
      </c>
      <c r="G395" s="2">
        <v>170</v>
      </c>
      <c r="H395" s="2">
        <v>121</v>
      </c>
      <c r="I395" s="2">
        <v>58</v>
      </c>
      <c r="J395" s="2">
        <v>1.18</v>
      </c>
      <c r="K395" s="2">
        <v>707</v>
      </c>
      <c r="L395" s="2" t="s">
        <v>19</v>
      </c>
      <c r="M395" s="2">
        <v>27.5</v>
      </c>
      <c r="N395" s="2">
        <v>3.2</v>
      </c>
      <c r="O395" s="2">
        <v>2</v>
      </c>
      <c r="P395" s="2">
        <v>1</v>
      </c>
      <c r="Q395" s="2">
        <v>19.37</v>
      </c>
      <c r="R395" s="2" t="str" cm="1">
        <f t="array" ref="R395">_xlfn.IFS(Q395&lt;18.5,"Underweight",
AND(Q395&gt;=18.5,Q395&lt;25),"Normal Weight",
AND(Q395&gt;=25,Q395&lt;30),"Overweight",
Q395&gt;=30,"Obesity")</f>
        <v>Normal Weight</v>
      </c>
      <c r="S395" s="2">
        <f t="shared" si="6"/>
        <v>599.15254237288138</v>
      </c>
      <c r="T395" s="2" t="str" cm="1">
        <f t="array" ref="T395">_xlfn.IFS(N395&lt;=2.5,"Low",N395&lt;=3,"Medium",N395&gt;3,"High")</f>
        <v>High</v>
      </c>
    </row>
    <row r="396" spans="1:20" x14ac:dyDescent="0.3">
      <c r="A396" s="2">
        <v>395</v>
      </c>
      <c r="B396" s="2" t="s">
        <v>25</v>
      </c>
      <c r="C396" s="2">
        <v>40</v>
      </c>
      <c r="D396" s="2" t="s">
        <v>15</v>
      </c>
      <c r="E396" s="2">
        <v>93.6</v>
      </c>
      <c r="F396" s="2">
        <v>1.93</v>
      </c>
      <c r="G396" s="2">
        <v>188</v>
      </c>
      <c r="H396" s="2">
        <v>157</v>
      </c>
      <c r="I396" s="2">
        <v>60</v>
      </c>
      <c r="J396" s="2">
        <v>1.38</v>
      </c>
      <c r="K396" s="2">
        <v>1192</v>
      </c>
      <c r="L396" s="2" t="s">
        <v>19</v>
      </c>
      <c r="M396" s="2">
        <v>22.1</v>
      </c>
      <c r="N396" s="2">
        <v>2</v>
      </c>
      <c r="O396" s="2">
        <v>3</v>
      </c>
      <c r="P396" s="2">
        <v>1</v>
      </c>
      <c r="Q396" s="2">
        <v>25.13</v>
      </c>
      <c r="R396" s="2" t="str" cm="1">
        <f t="array" ref="R396">_xlfn.IFS(Q396&lt;18.5,"Underweight",
AND(Q396&gt;=18.5,Q396&lt;25),"Normal Weight",
AND(Q396&gt;=25,Q396&lt;30),"Overweight",
Q396&gt;=30,"Obesity")</f>
        <v>Overweight</v>
      </c>
      <c r="S396" s="2">
        <f t="shared" si="6"/>
        <v>863.768115942029</v>
      </c>
      <c r="T396" s="2" t="str" cm="1">
        <f t="array" ref="T396">_xlfn.IFS(N396&lt;=2.5,"Low",N396&lt;=3,"Medium",N396&gt;3,"High")</f>
        <v>Low</v>
      </c>
    </row>
    <row r="397" spans="1:20" x14ac:dyDescent="0.3">
      <c r="A397" s="2">
        <v>396</v>
      </c>
      <c r="B397" s="2" t="s">
        <v>29</v>
      </c>
      <c r="C397" s="2">
        <v>26</v>
      </c>
      <c r="D397" s="2" t="s">
        <v>16</v>
      </c>
      <c r="E397" s="2">
        <v>64.099999999999994</v>
      </c>
      <c r="F397" s="2">
        <v>1.5</v>
      </c>
      <c r="G397" s="2">
        <v>194</v>
      </c>
      <c r="H397" s="2">
        <v>134</v>
      </c>
      <c r="I397" s="2">
        <v>60</v>
      </c>
      <c r="J397" s="2">
        <v>1.93</v>
      </c>
      <c r="K397" s="2">
        <v>1293</v>
      </c>
      <c r="L397" s="2" t="s">
        <v>20</v>
      </c>
      <c r="M397" s="2">
        <v>15.1</v>
      </c>
      <c r="N397" s="2">
        <v>2.7</v>
      </c>
      <c r="O397" s="2">
        <v>5</v>
      </c>
      <c r="P397" s="2">
        <v>3</v>
      </c>
      <c r="Q397" s="2">
        <v>28.49</v>
      </c>
      <c r="R397" s="2" t="str" cm="1">
        <f t="array" ref="R397">_xlfn.IFS(Q397&lt;18.5,"Underweight",
AND(Q397&gt;=18.5,Q397&lt;25),"Normal Weight",
AND(Q397&gt;=25,Q397&lt;30),"Overweight",
Q397&gt;=30,"Obesity")</f>
        <v>Overweight</v>
      </c>
      <c r="S397" s="2">
        <f t="shared" si="6"/>
        <v>669.94818652849744</v>
      </c>
      <c r="T397" s="2" t="str" cm="1">
        <f t="array" ref="T397">_xlfn.IFS(N397&lt;=2.5,"Low",N397&lt;=3,"Medium",N397&gt;3,"High")</f>
        <v>Medium</v>
      </c>
    </row>
    <row r="398" spans="1:20" x14ac:dyDescent="0.3">
      <c r="A398" s="2">
        <v>397</v>
      </c>
      <c r="B398" s="2" t="s">
        <v>28</v>
      </c>
      <c r="C398" s="2">
        <v>29</v>
      </c>
      <c r="D398" s="2" t="s">
        <v>15</v>
      </c>
      <c r="E398" s="2">
        <v>86.7</v>
      </c>
      <c r="F398" s="2">
        <v>1.62</v>
      </c>
      <c r="G398" s="2">
        <v>174</v>
      </c>
      <c r="H398" s="2">
        <v>122</v>
      </c>
      <c r="I398" s="2">
        <v>55</v>
      </c>
      <c r="J398" s="2">
        <v>1.52</v>
      </c>
      <c r="K398" s="2">
        <v>1020</v>
      </c>
      <c r="L398" s="2" t="s">
        <v>20</v>
      </c>
      <c r="M398" s="2">
        <v>13.9</v>
      </c>
      <c r="N398" s="2">
        <v>3.5</v>
      </c>
      <c r="O398" s="2">
        <v>4</v>
      </c>
      <c r="P398" s="2">
        <v>3</v>
      </c>
      <c r="Q398" s="2">
        <v>33.04</v>
      </c>
      <c r="R398" s="2" t="str" cm="1">
        <f t="array" ref="R398">_xlfn.IFS(Q398&lt;18.5,"Underweight",
AND(Q398&gt;=18.5,Q398&lt;25),"Normal Weight",
AND(Q398&gt;=25,Q398&lt;30),"Overweight",
Q398&gt;=30,"Obesity")</f>
        <v>Obesity</v>
      </c>
      <c r="S398" s="2">
        <f t="shared" si="6"/>
        <v>671.0526315789474</v>
      </c>
      <c r="T398" s="2" t="str" cm="1">
        <f t="array" ref="T398">_xlfn.IFS(N398&lt;=2.5,"Low",N398&lt;=3,"Medium",N398&gt;3,"High")</f>
        <v>High</v>
      </c>
    </row>
    <row r="399" spans="1:20" x14ac:dyDescent="0.3">
      <c r="A399" s="2">
        <v>398</v>
      </c>
      <c r="B399" s="2" t="s">
        <v>27</v>
      </c>
      <c r="C399" s="2">
        <v>18</v>
      </c>
      <c r="D399" s="2" t="s">
        <v>16</v>
      </c>
      <c r="E399" s="2">
        <v>62</v>
      </c>
      <c r="F399" s="2">
        <v>1.59</v>
      </c>
      <c r="G399" s="2">
        <v>190</v>
      </c>
      <c r="H399" s="2">
        <v>162</v>
      </c>
      <c r="I399" s="2">
        <v>50</v>
      </c>
      <c r="J399" s="2">
        <v>1.23</v>
      </c>
      <c r="K399" s="2">
        <v>996</v>
      </c>
      <c r="L399" s="2" t="s">
        <v>20</v>
      </c>
      <c r="M399" s="2">
        <v>33.200000000000003</v>
      </c>
      <c r="N399" s="2">
        <v>2.2000000000000002</v>
      </c>
      <c r="O399" s="2">
        <v>4</v>
      </c>
      <c r="P399" s="2">
        <v>2</v>
      </c>
      <c r="Q399" s="2">
        <v>24.52</v>
      </c>
      <c r="R399" s="2" t="str" cm="1">
        <f t="array" ref="R399">_xlfn.IFS(Q399&lt;18.5,"Underweight",
AND(Q399&gt;=18.5,Q399&lt;25),"Normal Weight",
AND(Q399&gt;=25,Q399&lt;30),"Overweight",
Q399&gt;=30,"Obesity")</f>
        <v>Normal Weight</v>
      </c>
      <c r="S399" s="2">
        <f t="shared" si="6"/>
        <v>809.7560975609756</v>
      </c>
      <c r="T399" s="2" t="str" cm="1">
        <f t="array" ref="T399">_xlfn.IFS(N399&lt;=2.5,"Low",N399&lt;=3,"Medium",N399&gt;3,"High")</f>
        <v>Low</v>
      </c>
    </row>
    <row r="400" spans="1:20" x14ac:dyDescent="0.3">
      <c r="A400" s="2">
        <v>399</v>
      </c>
      <c r="B400" s="2" t="s">
        <v>30</v>
      </c>
      <c r="C400" s="2">
        <v>18</v>
      </c>
      <c r="D400" s="2" t="s">
        <v>16</v>
      </c>
      <c r="E400" s="2">
        <v>58.1</v>
      </c>
      <c r="F400" s="2">
        <v>1.61</v>
      </c>
      <c r="G400" s="2">
        <v>175</v>
      </c>
      <c r="H400" s="2">
        <v>150</v>
      </c>
      <c r="I400" s="2">
        <v>71</v>
      </c>
      <c r="J400" s="2">
        <v>1.9</v>
      </c>
      <c r="K400" s="2">
        <v>1425</v>
      </c>
      <c r="L400" s="2" t="s">
        <v>17</v>
      </c>
      <c r="M400" s="2">
        <v>15.3</v>
      </c>
      <c r="N400" s="2">
        <v>2.7</v>
      </c>
      <c r="O400" s="2">
        <v>4</v>
      </c>
      <c r="P400" s="2">
        <v>3</v>
      </c>
      <c r="Q400" s="2">
        <v>22.41</v>
      </c>
      <c r="R400" s="2" t="str" cm="1">
        <f t="array" ref="R400">_xlfn.IFS(Q400&lt;18.5,"Underweight",
AND(Q400&gt;=18.5,Q400&lt;25),"Normal Weight",
AND(Q400&gt;=25,Q400&lt;30),"Overweight",
Q400&gt;=30,"Obesity")</f>
        <v>Normal Weight</v>
      </c>
      <c r="S400" s="2">
        <f t="shared" si="6"/>
        <v>750</v>
      </c>
      <c r="T400" s="2" t="str" cm="1">
        <f t="array" ref="T400">_xlfn.IFS(N400&lt;=2.5,"Low",N400&lt;=3,"Medium",N400&gt;3,"High")</f>
        <v>Medium</v>
      </c>
    </row>
    <row r="401" spans="1:20" x14ac:dyDescent="0.3">
      <c r="A401" s="2">
        <v>400</v>
      </c>
      <c r="B401" s="2" t="s">
        <v>23</v>
      </c>
      <c r="C401" s="2">
        <v>51</v>
      </c>
      <c r="D401" s="2" t="s">
        <v>16</v>
      </c>
      <c r="E401" s="2">
        <v>64.900000000000006</v>
      </c>
      <c r="F401" s="2">
        <v>1.6</v>
      </c>
      <c r="G401" s="2">
        <v>169</v>
      </c>
      <c r="H401" s="2">
        <v>125</v>
      </c>
      <c r="I401" s="2">
        <v>55</v>
      </c>
      <c r="J401" s="2">
        <v>1.49</v>
      </c>
      <c r="K401" s="2">
        <v>838</v>
      </c>
      <c r="L401" s="2" t="s">
        <v>17</v>
      </c>
      <c r="M401" s="2">
        <v>31.1</v>
      </c>
      <c r="N401" s="2">
        <v>2.5</v>
      </c>
      <c r="O401" s="2">
        <v>4</v>
      </c>
      <c r="P401" s="2">
        <v>2</v>
      </c>
      <c r="Q401" s="2">
        <v>25.35</v>
      </c>
      <c r="R401" s="2" t="str" cm="1">
        <f t="array" ref="R401">_xlfn.IFS(Q401&lt;18.5,"Underweight",
AND(Q401&gt;=18.5,Q401&lt;25),"Normal Weight",
AND(Q401&gt;=25,Q401&lt;30),"Overweight",
Q401&gt;=30,"Obesity")</f>
        <v>Overweight</v>
      </c>
      <c r="S401" s="2">
        <f t="shared" si="6"/>
        <v>562.41610738255031</v>
      </c>
      <c r="T401" s="2" t="str" cm="1">
        <f t="array" ref="T401">_xlfn.IFS(N401&lt;=2.5,"Low",N401&lt;=3,"Medium",N401&gt;3,"High")</f>
        <v>Low</v>
      </c>
    </row>
    <row r="402" spans="1:20" x14ac:dyDescent="0.3">
      <c r="A402" s="2">
        <v>401</v>
      </c>
      <c r="B402" s="2" t="s">
        <v>24</v>
      </c>
      <c r="C402" s="2">
        <v>49</v>
      </c>
      <c r="D402" s="2" t="s">
        <v>16</v>
      </c>
      <c r="E402" s="2">
        <v>69.3</v>
      </c>
      <c r="F402" s="2">
        <v>1.62</v>
      </c>
      <c r="G402" s="2">
        <v>191</v>
      </c>
      <c r="H402" s="2">
        <v>122</v>
      </c>
      <c r="I402" s="2">
        <v>62</v>
      </c>
      <c r="J402" s="2">
        <v>1.1399999999999999</v>
      </c>
      <c r="K402" s="2">
        <v>626</v>
      </c>
      <c r="L402" s="2" t="s">
        <v>18</v>
      </c>
      <c r="M402" s="2">
        <v>28.8</v>
      </c>
      <c r="N402" s="2">
        <v>1.9</v>
      </c>
      <c r="O402" s="2">
        <v>4</v>
      </c>
      <c r="P402" s="2">
        <v>2</v>
      </c>
      <c r="Q402" s="2">
        <v>26.41</v>
      </c>
      <c r="R402" s="2" t="str" cm="1">
        <f t="array" ref="R402">_xlfn.IFS(Q402&lt;18.5,"Underweight",
AND(Q402&gt;=18.5,Q402&lt;25),"Normal Weight",
AND(Q402&gt;=25,Q402&lt;30),"Overweight",
Q402&gt;=30,"Obesity")</f>
        <v>Overweight</v>
      </c>
      <c r="S402" s="2">
        <f t="shared" si="6"/>
        <v>549.12280701754389</v>
      </c>
      <c r="T402" s="2" t="str" cm="1">
        <f t="array" ref="T402">_xlfn.IFS(N402&lt;=2.5,"Low",N402&lt;=3,"Medium",N402&gt;3,"High")</f>
        <v>Low</v>
      </c>
    </row>
    <row r="403" spans="1:20" x14ac:dyDescent="0.3">
      <c r="A403" s="2">
        <v>402</v>
      </c>
      <c r="B403" s="2" t="s">
        <v>29</v>
      </c>
      <c r="C403" s="2">
        <v>42</v>
      </c>
      <c r="D403" s="2" t="s">
        <v>16</v>
      </c>
      <c r="E403" s="2">
        <v>42.7</v>
      </c>
      <c r="F403" s="2">
        <v>1.74</v>
      </c>
      <c r="G403" s="2">
        <v>161</v>
      </c>
      <c r="H403" s="2">
        <v>130</v>
      </c>
      <c r="I403" s="2">
        <v>71</v>
      </c>
      <c r="J403" s="2">
        <v>1.04</v>
      </c>
      <c r="K403" s="2">
        <v>608</v>
      </c>
      <c r="L403" s="2" t="s">
        <v>20</v>
      </c>
      <c r="M403" s="2">
        <v>32.9</v>
      </c>
      <c r="N403" s="2">
        <v>1.6</v>
      </c>
      <c r="O403" s="2">
        <v>3</v>
      </c>
      <c r="P403" s="2">
        <v>1</v>
      </c>
      <c r="Q403" s="2">
        <v>14.1</v>
      </c>
      <c r="R403" s="2" t="str" cm="1">
        <f t="array" ref="R403">_xlfn.IFS(Q403&lt;18.5,"Underweight",
AND(Q403&gt;=18.5,Q403&lt;25),"Normal Weight",
AND(Q403&gt;=25,Q403&lt;30),"Overweight",
Q403&gt;=30,"Obesity")</f>
        <v>Underweight</v>
      </c>
      <c r="S403" s="2">
        <f t="shared" si="6"/>
        <v>584.61538461538464</v>
      </c>
      <c r="T403" s="2" t="str" cm="1">
        <f t="array" ref="T403">_xlfn.IFS(N403&lt;=2.5,"Low",N403&lt;=3,"Medium",N403&gt;3,"High")</f>
        <v>Low</v>
      </c>
    </row>
    <row r="404" spans="1:20" x14ac:dyDescent="0.3">
      <c r="A404" s="2">
        <v>403</v>
      </c>
      <c r="B404" s="2" t="s">
        <v>21</v>
      </c>
      <c r="C404" s="2">
        <v>57</v>
      </c>
      <c r="D404" s="2" t="s">
        <v>16</v>
      </c>
      <c r="E404" s="2">
        <v>51.4</v>
      </c>
      <c r="F404" s="2">
        <v>1.63</v>
      </c>
      <c r="G404" s="2">
        <v>183</v>
      </c>
      <c r="H404" s="2">
        <v>134</v>
      </c>
      <c r="I404" s="2">
        <v>73</v>
      </c>
      <c r="J404" s="2">
        <v>1.2</v>
      </c>
      <c r="K404" s="2">
        <v>724</v>
      </c>
      <c r="L404" s="2" t="s">
        <v>17</v>
      </c>
      <c r="M404" s="2">
        <v>33.700000000000003</v>
      </c>
      <c r="N404" s="2">
        <v>2</v>
      </c>
      <c r="O404" s="2">
        <v>4</v>
      </c>
      <c r="P404" s="2">
        <v>2</v>
      </c>
      <c r="Q404" s="2">
        <v>19.350000000000001</v>
      </c>
      <c r="R404" s="2" t="str" cm="1">
        <f t="array" ref="R404">_xlfn.IFS(Q404&lt;18.5,"Underweight",
AND(Q404&gt;=18.5,Q404&lt;25),"Normal Weight",
AND(Q404&gt;=25,Q404&lt;30),"Overweight",
Q404&gt;=30,"Obesity")</f>
        <v>Normal Weight</v>
      </c>
      <c r="S404" s="2">
        <f t="shared" si="6"/>
        <v>603.33333333333337</v>
      </c>
      <c r="T404" s="2" t="str" cm="1">
        <f t="array" ref="T404">_xlfn.IFS(N404&lt;=2.5,"Low",N404&lt;=3,"Medium",N404&gt;3,"High")</f>
        <v>Low</v>
      </c>
    </row>
    <row r="405" spans="1:20" x14ac:dyDescent="0.3">
      <c r="A405" s="2">
        <v>404</v>
      </c>
      <c r="B405" s="2" t="s">
        <v>24</v>
      </c>
      <c r="C405" s="2">
        <v>18</v>
      </c>
      <c r="D405" s="2" t="s">
        <v>16</v>
      </c>
      <c r="E405" s="2">
        <v>67.400000000000006</v>
      </c>
      <c r="F405" s="2">
        <v>1.6</v>
      </c>
      <c r="G405" s="2">
        <v>182</v>
      </c>
      <c r="H405" s="2">
        <v>164</v>
      </c>
      <c r="I405" s="2">
        <v>71</v>
      </c>
      <c r="J405" s="2">
        <v>0.6</v>
      </c>
      <c r="K405" s="2">
        <v>492</v>
      </c>
      <c r="L405" s="2" t="s">
        <v>20</v>
      </c>
      <c r="M405" s="2">
        <v>33.5</v>
      </c>
      <c r="N405" s="2">
        <v>2.4</v>
      </c>
      <c r="O405" s="2">
        <v>3</v>
      </c>
      <c r="P405" s="2">
        <v>1</v>
      </c>
      <c r="Q405" s="2">
        <v>26.33</v>
      </c>
      <c r="R405" s="2" t="str" cm="1">
        <f t="array" ref="R405">_xlfn.IFS(Q405&lt;18.5,"Underweight",
AND(Q405&gt;=18.5,Q405&lt;25),"Normal Weight",
AND(Q405&gt;=25,Q405&lt;30),"Overweight",
Q405&gt;=30,"Obesity")</f>
        <v>Overweight</v>
      </c>
      <c r="S405" s="2">
        <f t="shared" si="6"/>
        <v>820</v>
      </c>
      <c r="T405" s="2" t="str" cm="1">
        <f t="array" ref="T405">_xlfn.IFS(N405&lt;=2.5,"Low",N405&lt;=3,"Medium",N405&gt;3,"High")</f>
        <v>Low</v>
      </c>
    </row>
    <row r="406" spans="1:20" x14ac:dyDescent="0.3">
      <c r="A406" s="2">
        <v>405</v>
      </c>
      <c r="B406" s="2" t="s">
        <v>27</v>
      </c>
      <c r="C406" s="2">
        <v>33</v>
      </c>
      <c r="D406" s="2" t="s">
        <v>16</v>
      </c>
      <c r="E406" s="2">
        <v>55.6</v>
      </c>
      <c r="F406" s="2">
        <v>1.61</v>
      </c>
      <c r="G406" s="2">
        <v>161</v>
      </c>
      <c r="H406" s="2">
        <v>147</v>
      </c>
      <c r="I406" s="2">
        <v>54</v>
      </c>
      <c r="J406" s="2">
        <v>1.77</v>
      </c>
      <c r="K406" s="2">
        <v>1301</v>
      </c>
      <c r="L406" s="2" t="s">
        <v>17</v>
      </c>
      <c r="M406" s="2">
        <v>18.899999999999999</v>
      </c>
      <c r="N406" s="2">
        <v>2.7</v>
      </c>
      <c r="O406" s="2">
        <v>4</v>
      </c>
      <c r="P406" s="2">
        <v>3</v>
      </c>
      <c r="Q406" s="2">
        <v>21.45</v>
      </c>
      <c r="R406" s="2" t="str" cm="1">
        <f t="array" ref="R406">_xlfn.IFS(Q406&lt;18.5,"Underweight",
AND(Q406&gt;=18.5,Q406&lt;25),"Normal Weight",
AND(Q406&gt;=25,Q406&lt;30),"Overweight",
Q406&gt;=30,"Obesity")</f>
        <v>Normal Weight</v>
      </c>
      <c r="S406" s="2">
        <f t="shared" si="6"/>
        <v>735.0282485875706</v>
      </c>
      <c r="T406" s="2" t="str" cm="1">
        <f t="array" ref="T406">_xlfn.IFS(N406&lt;=2.5,"Low",N406&lt;=3,"Medium",N406&gt;3,"High")</f>
        <v>Medium</v>
      </c>
    </row>
    <row r="407" spans="1:20" x14ac:dyDescent="0.3">
      <c r="A407" s="2">
        <v>406</v>
      </c>
      <c r="B407" s="2" t="s">
        <v>21</v>
      </c>
      <c r="C407" s="2">
        <v>56</v>
      </c>
      <c r="D407" s="2" t="s">
        <v>15</v>
      </c>
      <c r="E407" s="2">
        <v>125.3</v>
      </c>
      <c r="F407" s="2">
        <v>1.86</v>
      </c>
      <c r="G407" s="2">
        <v>197</v>
      </c>
      <c r="H407" s="2">
        <v>129</v>
      </c>
      <c r="I407" s="2">
        <v>64</v>
      </c>
      <c r="J407" s="2">
        <v>1</v>
      </c>
      <c r="K407" s="2">
        <v>639</v>
      </c>
      <c r="L407" s="2" t="s">
        <v>17</v>
      </c>
      <c r="M407" s="2">
        <v>22.7</v>
      </c>
      <c r="N407" s="2">
        <v>2.2000000000000002</v>
      </c>
      <c r="O407" s="2">
        <v>3</v>
      </c>
      <c r="P407" s="2">
        <v>2</v>
      </c>
      <c r="Q407" s="2">
        <v>36.22</v>
      </c>
      <c r="R407" s="2" t="str" cm="1">
        <f t="array" ref="R407">_xlfn.IFS(Q407&lt;18.5,"Underweight",
AND(Q407&gt;=18.5,Q407&lt;25),"Normal Weight",
AND(Q407&gt;=25,Q407&lt;30),"Overweight",
Q407&gt;=30,"Obesity")</f>
        <v>Obesity</v>
      </c>
      <c r="S407" s="2">
        <f t="shared" si="6"/>
        <v>639</v>
      </c>
      <c r="T407" s="2" t="str" cm="1">
        <f t="array" ref="T407">_xlfn.IFS(N407&lt;=2.5,"Low",N407&lt;=3,"Medium",N407&gt;3,"High")</f>
        <v>Low</v>
      </c>
    </row>
    <row r="408" spans="1:20" x14ac:dyDescent="0.3">
      <c r="A408" s="2">
        <v>407</v>
      </c>
      <c r="B408" s="2" t="s">
        <v>26</v>
      </c>
      <c r="C408" s="2">
        <v>22</v>
      </c>
      <c r="D408" s="2" t="s">
        <v>15</v>
      </c>
      <c r="E408" s="2">
        <v>102.1</v>
      </c>
      <c r="F408" s="2">
        <v>1.85</v>
      </c>
      <c r="G408" s="2">
        <v>190</v>
      </c>
      <c r="H408" s="2">
        <v>157</v>
      </c>
      <c r="I408" s="2">
        <v>67</v>
      </c>
      <c r="J408" s="2">
        <v>1.48</v>
      </c>
      <c r="K408" s="2">
        <v>1278</v>
      </c>
      <c r="L408" s="2" t="s">
        <v>19</v>
      </c>
      <c r="M408" s="2">
        <v>28.1</v>
      </c>
      <c r="N408" s="2">
        <v>2.4</v>
      </c>
      <c r="O408" s="2">
        <v>4</v>
      </c>
      <c r="P408" s="2">
        <v>2</v>
      </c>
      <c r="Q408" s="2">
        <v>29.83</v>
      </c>
      <c r="R408" s="2" t="str" cm="1">
        <f t="array" ref="R408">_xlfn.IFS(Q408&lt;18.5,"Underweight",
AND(Q408&gt;=18.5,Q408&lt;25),"Normal Weight",
AND(Q408&gt;=25,Q408&lt;30),"Overweight",
Q408&gt;=30,"Obesity")</f>
        <v>Overweight</v>
      </c>
      <c r="S408" s="2">
        <f t="shared" si="6"/>
        <v>863.51351351351354</v>
      </c>
      <c r="T408" s="2" t="str" cm="1">
        <f t="array" ref="T408">_xlfn.IFS(N408&lt;=2.5,"Low",N408&lt;=3,"Medium",N408&gt;3,"High")</f>
        <v>Low</v>
      </c>
    </row>
    <row r="409" spans="1:20" x14ac:dyDescent="0.3">
      <c r="A409" s="2">
        <v>408</v>
      </c>
      <c r="B409" s="2" t="s">
        <v>25</v>
      </c>
      <c r="C409" s="2">
        <v>39</v>
      </c>
      <c r="D409" s="2" t="s">
        <v>15</v>
      </c>
      <c r="E409" s="2">
        <v>61.9</v>
      </c>
      <c r="F409" s="2">
        <v>1.77</v>
      </c>
      <c r="G409" s="2">
        <v>199</v>
      </c>
      <c r="H409" s="2">
        <v>166</v>
      </c>
      <c r="I409" s="2">
        <v>69</v>
      </c>
      <c r="J409" s="2">
        <v>1.32</v>
      </c>
      <c r="K409" s="2">
        <v>1205</v>
      </c>
      <c r="L409" s="2" t="s">
        <v>20</v>
      </c>
      <c r="M409" s="2">
        <v>25.3</v>
      </c>
      <c r="N409" s="2">
        <v>2.2999999999999998</v>
      </c>
      <c r="O409" s="2">
        <v>3</v>
      </c>
      <c r="P409" s="2">
        <v>1</v>
      </c>
      <c r="Q409" s="2">
        <v>19.760000000000002</v>
      </c>
      <c r="R409" s="2" t="str" cm="1">
        <f t="array" ref="R409">_xlfn.IFS(Q409&lt;18.5,"Underweight",
AND(Q409&gt;=18.5,Q409&lt;25),"Normal Weight",
AND(Q409&gt;=25,Q409&lt;30),"Overweight",
Q409&gt;=30,"Obesity")</f>
        <v>Normal Weight</v>
      </c>
      <c r="S409" s="2">
        <f t="shared" si="6"/>
        <v>912.87878787878788</v>
      </c>
      <c r="T409" s="2" t="str" cm="1">
        <f t="array" ref="T409">_xlfn.IFS(N409&lt;=2.5,"Low",N409&lt;=3,"Medium",N409&gt;3,"High")</f>
        <v>Low</v>
      </c>
    </row>
    <row r="410" spans="1:20" x14ac:dyDescent="0.3">
      <c r="A410" s="2">
        <v>409</v>
      </c>
      <c r="B410" s="2" t="s">
        <v>26</v>
      </c>
      <c r="C410" s="2">
        <v>46</v>
      </c>
      <c r="D410" s="2" t="s">
        <v>15</v>
      </c>
      <c r="E410" s="2">
        <v>108.8</v>
      </c>
      <c r="F410" s="2">
        <v>1.64</v>
      </c>
      <c r="G410" s="2">
        <v>185</v>
      </c>
      <c r="H410" s="2">
        <v>169</v>
      </c>
      <c r="I410" s="2">
        <v>63</v>
      </c>
      <c r="J410" s="2">
        <v>1.4</v>
      </c>
      <c r="K410" s="2">
        <v>1171</v>
      </c>
      <c r="L410" s="2" t="s">
        <v>20</v>
      </c>
      <c r="M410" s="2">
        <v>20.5</v>
      </c>
      <c r="N410" s="2">
        <v>3.4</v>
      </c>
      <c r="O410" s="2">
        <v>3</v>
      </c>
      <c r="P410" s="2">
        <v>1</v>
      </c>
      <c r="Q410" s="2">
        <v>40.450000000000003</v>
      </c>
      <c r="R410" s="2" t="str" cm="1">
        <f t="array" ref="R410">_xlfn.IFS(Q410&lt;18.5,"Underweight",
AND(Q410&gt;=18.5,Q410&lt;25),"Normal Weight",
AND(Q410&gt;=25,Q410&lt;30),"Overweight",
Q410&gt;=30,"Obesity")</f>
        <v>Obesity</v>
      </c>
      <c r="S410" s="2">
        <f t="shared" si="6"/>
        <v>836.42857142857144</v>
      </c>
      <c r="T410" s="2" t="str" cm="1">
        <f t="array" ref="T410">_xlfn.IFS(N410&lt;=2.5,"Low",N410&lt;=3,"Medium",N410&gt;3,"High")</f>
        <v>High</v>
      </c>
    </row>
    <row r="411" spans="1:20" x14ac:dyDescent="0.3">
      <c r="A411" s="2">
        <v>410</v>
      </c>
      <c r="B411" s="2" t="s">
        <v>24</v>
      </c>
      <c r="C411" s="2">
        <v>20</v>
      </c>
      <c r="D411" s="2" t="s">
        <v>16</v>
      </c>
      <c r="E411" s="2">
        <v>51.1</v>
      </c>
      <c r="F411" s="2">
        <v>1.58</v>
      </c>
      <c r="G411" s="2">
        <v>188</v>
      </c>
      <c r="H411" s="2">
        <v>169</v>
      </c>
      <c r="I411" s="2">
        <v>64</v>
      </c>
      <c r="J411" s="2">
        <v>0.5</v>
      </c>
      <c r="K411" s="2">
        <v>422</v>
      </c>
      <c r="L411" s="2" t="s">
        <v>17</v>
      </c>
      <c r="M411" s="2">
        <v>29.6</v>
      </c>
      <c r="N411" s="2">
        <v>1.6</v>
      </c>
      <c r="O411" s="2">
        <v>2</v>
      </c>
      <c r="P411" s="2">
        <v>1</v>
      </c>
      <c r="Q411" s="2">
        <v>20.47</v>
      </c>
      <c r="R411" s="2" t="str" cm="1">
        <f t="array" ref="R411">_xlfn.IFS(Q411&lt;18.5,"Underweight",
AND(Q411&gt;=18.5,Q411&lt;25),"Normal Weight",
AND(Q411&gt;=25,Q411&lt;30),"Overweight",
Q411&gt;=30,"Obesity")</f>
        <v>Normal Weight</v>
      </c>
      <c r="S411" s="2">
        <f t="shared" si="6"/>
        <v>844</v>
      </c>
      <c r="T411" s="2" t="str" cm="1">
        <f t="array" ref="T411">_xlfn.IFS(N411&lt;=2.5,"Low",N411&lt;=3,"Medium",N411&gt;3,"High")</f>
        <v>Low</v>
      </c>
    </row>
    <row r="412" spans="1:20" x14ac:dyDescent="0.3">
      <c r="A412" s="2">
        <v>411</v>
      </c>
      <c r="B412" s="2" t="s">
        <v>27</v>
      </c>
      <c r="C412" s="2">
        <v>29</v>
      </c>
      <c r="D412" s="2" t="s">
        <v>15</v>
      </c>
      <c r="E412" s="2">
        <v>81.7</v>
      </c>
      <c r="F412" s="2">
        <v>1.99</v>
      </c>
      <c r="G412" s="2">
        <v>162</v>
      </c>
      <c r="H412" s="2">
        <v>126</v>
      </c>
      <c r="I412" s="2">
        <v>54</v>
      </c>
      <c r="J412" s="2">
        <v>1.45</v>
      </c>
      <c r="K412" s="2">
        <v>1005</v>
      </c>
      <c r="L412" s="2" t="s">
        <v>20</v>
      </c>
      <c r="M412" s="2">
        <v>29.4</v>
      </c>
      <c r="N412" s="2">
        <v>3.2</v>
      </c>
      <c r="O412" s="2">
        <v>2</v>
      </c>
      <c r="P412" s="2">
        <v>1</v>
      </c>
      <c r="Q412" s="2">
        <v>20.63</v>
      </c>
      <c r="R412" s="2" t="str" cm="1">
        <f t="array" ref="R412">_xlfn.IFS(Q412&lt;18.5,"Underweight",
AND(Q412&gt;=18.5,Q412&lt;25),"Normal Weight",
AND(Q412&gt;=25,Q412&lt;30),"Overweight",
Q412&gt;=30,"Obesity")</f>
        <v>Normal Weight</v>
      </c>
      <c r="S412" s="2">
        <f t="shared" si="6"/>
        <v>693.10344827586209</v>
      </c>
      <c r="T412" s="2" t="str" cm="1">
        <f t="array" ref="T412">_xlfn.IFS(N412&lt;=2.5,"Low",N412&lt;=3,"Medium",N412&gt;3,"High")</f>
        <v>High</v>
      </c>
    </row>
    <row r="413" spans="1:20" x14ac:dyDescent="0.3">
      <c r="A413" s="2">
        <v>412</v>
      </c>
      <c r="B413" s="2" t="s">
        <v>30</v>
      </c>
      <c r="C413" s="2">
        <v>43</v>
      </c>
      <c r="D413" s="2" t="s">
        <v>16</v>
      </c>
      <c r="E413" s="2">
        <v>42.7</v>
      </c>
      <c r="F413" s="2">
        <v>1.66</v>
      </c>
      <c r="G413" s="2">
        <v>173</v>
      </c>
      <c r="H413" s="2">
        <v>134</v>
      </c>
      <c r="I413" s="2">
        <v>53</v>
      </c>
      <c r="J413" s="2">
        <v>0.73</v>
      </c>
      <c r="K413" s="2">
        <v>440</v>
      </c>
      <c r="L413" s="2" t="s">
        <v>17</v>
      </c>
      <c r="M413" s="2">
        <v>33.9</v>
      </c>
      <c r="N413" s="2">
        <v>1.9</v>
      </c>
      <c r="O413" s="2">
        <v>2</v>
      </c>
      <c r="P413" s="2">
        <v>1</v>
      </c>
      <c r="Q413" s="2">
        <v>15.5</v>
      </c>
      <c r="R413" s="2" t="str" cm="1">
        <f t="array" ref="R413">_xlfn.IFS(Q413&lt;18.5,"Underweight",
AND(Q413&gt;=18.5,Q413&lt;25),"Normal Weight",
AND(Q413&gt;=25,Q413&lt;30),"Overweight",
Q413&gt;=30,"Obesity")</f>
        <v>Underweight</v>
      </c>
      <c r="S413" s="2">
        <f t="shared" si="6"/>
        <v>602.7397260273973</v>
      </c>
      <c r="T413" s="2" t="str" cm="1">
        <f t="array" ref="T413">_xlfn.IFS(N413&lt;=2.5,"Low",N413&lt;=3,"Medium",N413&gt;3,"High")</f>
        <v>Low</v>
      </c>
    </row>
    <row r="414" spans="1:20" x14ac:dyDescent="0.3">
      <c r="A414" s="2">
        <v>413</v>
      </c>
      <c r="B414" s="2" t="s">
        <v>24</v>
      </c>
      <c r="C414" s="2">
        <v>33</v>
      </c>
      <c r="D414" s="2" t="s">
        <v>15</v>
      </c>
      <c r="E414" s="2">
        <v>81.8</v>
      </c>
      <c r="F414" s="2">
        <v>1.99</v>
      </c>
      <c r="G414" s="2">
        <v>184</v>
      </c>
      <c r="H414" s="2">
        <v>137</v>
      </c>
      <c r="I414" s="2">
        <v>51</v>
      </c>
      <c r="J414" s="2">
        <v>1.59</v>
      </c>
      <c r="K414" s="2">
        <v>1198</v>
      </c>
      <c r="L414" s="2" t="s">
        <v>20</v>
      </c>
      <c r="M414" s="2">
        <v>10.5</v>
      </c>
      <c r="N414" s="2">
        <v>3.5</v>
      </c>
      <c r="O414" s="2">
        <v>4</v>
      </c>
      <c r="P414" s="2">
        <v>3</v>
      </c>
      <c r="Q414" s="2">
        <v>20.66</v>
      </c>
      <c r="R414" s="2" t="str" cm="1">
        <f t="array" ref="R414">_xlfn.IFS(Q414&lt;18.5,"Underweight",
AND(Q414&gt;=18.5,Q414&lt;25),"Normal Weight",
AND(Q414&gt;=25,Q414&lt;30),"Overweight",
Q414&gt;=30,"Obesity")</f>
        <v>Normal Weight</v>
      </c>
      <c r="S414" s="2">
        <f t="shared" si="6"/>
        <v>753.45911949685535</v>
      </c>
      <c r="T414" s="2" t="str" cm="1">
        <f t="array" ref="T414">_xlfn.IFS(N414&lt;=2.5,"Low",N414&lt;=3,"Medium",N414&gt;3,"High")</f>
        <v>High</v>
      </c>
    </row>
    <row r="415" spans="1:20" x14ac:dyDescent="0.3">
      <c r="A415" s="2">
        <v>414</v>
      </c>
      <c r="B415" s="2" t="s">
        <v>29</v>
      </c>
      <c r="C415" s="2">
        <v>54</v>
      </c>
      <c r="D415" s="2" t="s">
        <v>15</v>
      </c>
      <c r="E415" s="2">
        <v>54.6</v>
      </c>
      <c r="F415" s="2">
        <v>1.76</v>
      </c>
      <c r="G415" s="2">
        <v>160</v>
      </c>
      <c r="H415" s="2">
        <v>137</v>
      </c>
      <c r="I415" s="2">
        <v>56</v>
      </c>
      <c r="J415" s="2">
        <v>1.28</v>
      </c>
      <c r="K415" s="2">
        <v>868</v>
      </c>
      <c r="L415" s="2" t="s">
        <v>19</v>
      </c>
      <c r="M415" s="2">
        <v>27.4</v>
      </c>
      <c r="N415" s="2">
        <v>3.3</v>
      </c>
      <c r="O415" s="2">
        <v>4</v>
      </c>
      <c r="P415" s="2">
        <v>2</v>
      </c>
      <c r="Q415" s="2">
        <v>17.63</v>
      </c>
      <c r="R415" s="2" t="str" cm="1">
        <f t="array" ref="R415">_xlfn.IFS(Q415&lt;18.5,"Underweight",
AND(Q415&gt;=18.5,Q415&lt;25),"Normal Weight",
AND(Q415&gt;=25,Q415&lt;30),"Overweight",
Q415&gt;=30,"Obesity")</f>
        <v>Underweight</v>
      </c>
      <c r="S415" s="2">
        <f t="shared" si="6"/>
        <v>678.125</v>
      </c>
      <c r="T415" s="2" t="str" cm="1">
        <f t="array" ref="T415">_xlfn.IFS(N415&lt;=2.5,"Low",N415&lt;=3,"Medium",N415&gt;3,"High")</f>
        <v>High</v>
      </c>
    </row>
    <row r="416" spans="1:20" x14ac:dyDescent="0.3">
      <c r="A416" s="2">
        <v>415</v>
      </c>
      <c r="B416" s="2" t="s">
        <v>22</v>
      </c>
      <c r="C416" s="2">
        <v>39</v>
      </c>
      <c r="D416" s="2" t="s">
        <v>15</v>
      </c>
      <c r="E416" s="2">
        <v>107.7</v>
      </c>
      <c r="F416" s="2">
        <v>1.88</v>
      </c>
      <c r="G416" s="2">
        <v>162</v>
      </c>
      <c r="H416" s="2">
        <v>160</v>
      </c>
      <c r="I416" s="2">
        <v>59</v>
      </c>
      <c r="J416" s="2">
        <v>0.72</v>
      </c>
      <c r="K416" s="2">
        <v>634</v>
      </c>
      <c r="L416" s="2" t="s">
        <v>20</v>
      </c>
      <c r="M416" s="2">
        <v>28.1</v>
      </c>
      <c r="N416" s="2">
        <v>3.6</v>
      </c>
      <c r="O416" s="2">
        <v>2</v>
      </c>
      <c r="P416" s="2">
        <v>1</v>
      </c>
      <c r="Q416" s="2">
        <v>30.47</v>
      </c>
      <c r="R416" s="2" t="str" cm="1">
        <f t="array" ref="R416">_xlfn.IFS(Q416&lt;18.5,"Underweight",
AND(Q416&gt;=18.5,Q416&lt;25),"Normal Weight",
AND(Q416&gt;=25,Q416&lt;30),"Overweight",
Q416&gt;=30,"Obesity")</f>
        <v>Obesity</v>
      </c>
      <c r="S416" s="2">
        <f t="shared" si="6"/>
        <v>880.55555555555554</v>
      </c>
      <c r="T416" s="2" t="str" cm="1">
        <f t="array" ref="T416">_xlfn.IFS(N416&lt;=2.5,"Low",N416&lt;=3,"Medium",N416&gt;3,"High")</f>
        <v>High</v>
      </c>
    </row>
    <row r="417" spans="1:20" x14ac:dyDescent="0.3">
      <c r="A417" s="2">
        <v>416</v>
      </c>
      <c r="B417" s="2" t="s">
        <v>24</v>
      </c>
      <c r="C417" s="2">
        <v>46</v>
      </c>
      <c r="D417" s="2" t="s">
        <v>16</v>
      </c>
      <c r="E417" s="2">
        <v>56.9</v>
      </c>
      <c r="F417" s="2">
        <v>1.6</v>
      </c>
      <c r="G417" s="2">
        <v>185</v>
      </c>
      <c r="H417" s="2">
        <v>143</v>
      </c>
      <c r="I417" s="2">
        <v>65</v>
      </c>
      <c r="J417" s="2">
        <v>0.88</v>
      </c>
      <c r="K417" s="2">
        <v>566</v>
      </c>
      <c r="L417" s="2" t="s">
        <v>19</v>
      </c>
      <c r="M417" s="2">
        <v>27.7</v>
      </c>
      <c r="N417" s="2">
        <v>1.6</v>
      </c>
      <c r="O417" s="2">
        <v>3</v>
      </c>
      <c r="P417" s="2">
        <v>1</v>
      </c>
      <c r="Q417" s="2">
        <v>22.23</v>
      </c>
      <c r="R417" s="2" t="str" cm="1">
        <f t="array" ref="R417">_xlfn.IFS(Q417&lt;18.5,"Underweight",
AND(Q417&gt;=18.5,Q417&lt;25),"Normal Weight",
AND(Q417&gt;=25,Q417&lt;30),"Overweight",
Q417&gt;=30,"Obesity")</f>
        <v>Normal Weight</v>
      </c>
      <c r="S417" s="2">
        <f t="shared" si="6"/>
        <v>643.18181818181813</v>
      </c>
      <c r="T417" s="2" t="str" cm="1">
        <f t="array" ref="T417">_xlfn.IFS(N417&lt;=2.5,"Low",N417&lt;=3,"Medium",N417&gt;3,"High")</f>
        <v>Low</v>
      </c>
    </row>
    <row r="418" spans="1:20" x14ac:dyDescent="0.3">
      <c r="A418" s="2">
        <v>417</v>
      </c>
      <c r="B418" s="2" t="s">
        <v>25</v>
      </c>
      <c r="C418" s="2">
        <v>31</v>
      </c>
      <c r="D418" s="2" t="s">
        <v>15</v>
      </c>
      <c r="E418" s="2">
        <v>78.8</v>
      </c>
      <c r="F418" s="2">
        <v>1.71</v>
      </c>
      <c r="G418" s="2">
        <v>177</v>
      </c>
      <c r="H418" s="2">
        <v>121</v>
      </c>
      <c r="I418" s="2">
        <v>59</v>
      </c>
      <c r="J418" s="2">
        <v>1.49</v>
      </c>
      <c r="K418" s="2">
        <v>992</v>
      </c>
      <c r="L418" s="2" t="s">
        <v>18</v>
      </c>
      <c r="M418" s="2">
        <v>24.7</v>
      </c>
      <c r="N418" s="2">
        <v>2.5</v>
      </c>
      <c r="O418" s="2">
        <v>4</v>
      </c>
      <c r="P418" s="2">
        <v>2</v>
      </c>
      <c r="Q418" s="2">
        <v>26.95</v>
      </c>
      <c r="R418" s="2" t="str" cm="1">
        <f t="array" ref="R418">_xlfn.IFS(Q418&lt;18.5,"Underweight",
AND(Q418&gt;=18.5,Q418&lt;25),"Normal Weight",
AND(Q418&gt;=25,Q418&lt;30),"Overweight",
Q418&gt;=30,"Obesity")</f>
        <v>Overweight</v>
      </c>
      <c r="S418" s="2">
        <f t="shared" si="6"/>
        <v>665.77181208053696</v>
      </c>
      <c r="T418" s="2" t="str" cm="1">
        <f t="array" ref="T418">_xlfn.IFS(N418&lt;=2.5,"Low",N418&lt;=3,"Medium",N418&gt;3,"High")</f>
        <v>Low</v>
      </c>
    </row>
    <row r="419" spans="1:20" x14ac:dyDescent="0.3">
      <c r="A419" s="2">
        <v>418</v>
      </c>
      <c r="B419" s="2" t="s">
        <v>25</v>
      </c>
      <c r="C419" s="2">
        <v>45</v>
      </c>
      <c r="D419" s="2" t="s">
        <v>16</v>
      </c>
      <c r="E419" s="2">
        <v>48.2</v>
      </c>
      <c r="F419" s="2">
        <v>1.64</v>
      </c>
      <c r="G419" s="2">
        <v>168</v>
      </c>
      <c r="H419" s="2">
        <v>159</v>
      </c>
      <c r="I419" s="2">
        <v>67</v>
      </c>
      <c r="J419" s="2">
        <v>1.25</v>
      </c>
      <c r="K419" s="2">
        <v>894</v>
      </c>
      <c r="L419" s="2" t="s">
        <v>20</v>
      </c>
      <c r="M419" s="2">
        <v>32.1</v>
      </c>
      <c r="N419" s="2">
        <v>2.5</v>
      </c>
      <c r="O419" s="2">
        <v>4</v>
      </c>
      <c r="P419" s="2">
        <v>2</v>
      </c>
      <c r="Q419" s="2">
        <v>17.920000000000002</v>
      </c>
      <c r="R419" s="2" t="str" cm="1">
        <f t="array" ref="R419">_xlfn.IFS(Q419&lt;18.5,"Underweight",
AND(Q419&gt;=18.5,Q419&lt;25),"Normal Weight",
AND(Q419&gt;=25,Q419&lt;30),"Overweight",
Q419&gt;=30,"Obesity")</f>
        <v>Underweight</v>
      </c>
      <c r="S419" s="2">
        <f t="shared" si="6"/>
        <v>715.2</v>
      </c>
      <c r="T419" s="2" t="str" cm="1">
        <f t="array" ref="T419">_xlfn.IFS(N419&lt;=2.5,"Low",N419&lt;=3,"Medium",N419&gt;3,"High")</f>
        <v>Low</v>
      </c>
    </row>
    <row r="420" spans="1:20" x14ac:dyDescent="0.3">
      <c r="A420" s="2">
        <v>419</v>
      </c>
      <c r="B420" s="2" t="s">
        <v>24</v>
      </c>
      <c r="C420" s="2">
        <v>22</v>
      </c>
      <c r="D420" s="2" t="s">
        <v>16</v>
      </c>
      <c r="E420" s="2">
        <v>50.7</v>
      </c>
      <c r="F420" s="2">
        <v>1.59</v>
      </c>
      <c r="G420" s="2">
        <v>197</v>
      </c>
      <c r="H420" s="2">
        <v>139</v>
      </c>
      <c r="I420" s="2">
        <v>66</v>
      </c>
      <c r="J420" s="2">
        <v>1.27</v>
      </c>
      <c r="K420" s="2">
        <v>883</v>
      </c>
      <c r="L420" s="2" t="s">
        <v>20</v>
      </c>
      <c r="M420" s="2">
        <v>29.4</v>
      </c>
      <c r="N420" s="2">
        <v>1.8</v>
      </c>
      <c r="O420" s="2">
        <v>3</v>
      </c>
      <c r="P420" s="2">
        <v>2</v>
      </c>
      <c r="Q420" s="2">
        <v>20.05</v>
      </c>
      <c r="R420" s="2" t="str" cm="1">
        <f t="array" ref="R420">_xlfn.IFS(Q420&lt;18.5,"Underweight",
AND(Q420&gt;=18.5,Q420&lt;25),"Normal Weight",
AND(Q420&gt;=25,Q420&lt;30),"Overweight",
Q420&gt;=30,"Obesity")</f>
        <v>Normal Weight</v>
      </c>
      <c r="S420" s="2">
        <f t="shared" si="6"/>
        <v>695.27559055118104</v>
      </c>
      <c r="T420" s="2" t="str" cm="1">
        <f t="array" ref="T420">_xlfn.IFS(N420&lt;=2.5,"Low",N420&lt;=3,"Medium",N420&gt;3,"High")</f>
        <v>Low</v>
      </c>
    </row>
    <row r="421" spans="1:20" x14ac:dyDescent="0.3">
      <c r="A421" s="2">
        <v>420</v>
      </c>
      <c r="B421" s="2" t="s">
        <v>21</v>
      </c>
      <c r="C421" s="2">
        <v>47</v>
      </c>
      <c r="D421" s="2" t="s">
        <v>15</v>
      </c>
      <c r="E421" s="2">
        <v>86.6</v>
      </c>
      <c r="F421" s="2">
        <v>1.99</v>
      </c>
      <c r="G421" s="2">
        <v>182</v>
      </c>
      <c r="H421" s="2">
        <v>153</v>
      </c>
      <c r="I421" s="2">
        <v>70</v>
      </c>
      <c r="J421" s="2">
        <v>1.98</v>
      </c>
      <c r="K421" s="2">
        <v>1500</v>
      </c>
      <c r="L421" s="2" t="s">
        <v>20</v>
      </c>
      <c r="M421" s="2">
        <v>10.6</v>
      </c>
      <c r="N421" s="2">
        <v>3.5</v>
      </c>
      <c r="O421" s="2">
        <v>4</v>
      </c>
      <c r="P421" s="2">
        <v>3</v>
      </c>
      <c r="Q421" s="2">
        <v>21.87</v>
      </c>
      <c r="R421" s="2" t="str" cm="1">
        <f t="array" ref="R421">_xlfn.IFS(Q421&lt;18.5,"Underweight",
AND(Q421&gt;=18.5,Q421&lt;25),"Normal Weight",
AND(Q421&gt;=25,Q421&lt;30),"Overweight",
Q421&gt;=30,"Obesity")</f>
        <v>Normal Weight</v>
      </c>
      <c r="S421" s="2">
        <f t="shared" si="6"/>
        <v>757.57575757575762</v>
      </c>
      <c r="T421" s="2" t="str" cm="1">
        <f t="array" ref="T421">_xlfn.IFS(N421&lt;=2.5,"Low",N421&lt;=3,"Medium",N421&gt;3,"High")</f>
        <v>High</v>
      </c>
    </row>
    <row r="422" spans="1:20" x14ac:dyDescent="0.3">
      <c r="A422" s="2">
        <v>421</v>
      </c>
      <c r="B422" s="2" t="s">
        <v>22</v>
      </c>
      <c r="C422" s="2">
        <v>22</v>
      </c>
      <c r="D422" s="2" t="s">
        <v>15</v>
      </c>
      <c r="E422" s="2">
        <v>96.3</v>
      </c>
      <c r="F422" s="2">
        <v>1.63</v>
      </c>
      <c r="G422" s="2">
        <v>180</v>
      </c>
      <c r="H422" s="2">
        <v>162</v>
      </c>
      <c r="I422" s="2">
        <v>62</v>
      </c>
      <c r="J422" s="2">
        <v>1.35</v>
      </c>
      <c r="K422" s="2">
        <v>1203</v>
      </c>
      <c r="L422" s="2" t="s">
        <v>19</v>
      </c>
      <c r="M422" s="2">
        <v>27.1</v>
      </c>
      <c r="N422" s="2">
        <v>2.4</v>
      </c>
      <c r="O422" s="2">
        <v>4</v>
      </c>
      <c r="P422" s="2">
        <v>2</v>
      </c>
      <c r="Q422" s="2">
        <v>36.25</v>
      </c>
      <c r="R422" s="2" t="str" cm="1">
        <f t="array" ref="R422">_xlfn.IFS(Q422&lt;18.5,"Underweight",
AND(Q422&gt;=18.5,Q422&lt;25),"Normal Weight",
AND(Q422&gt;=25,Q422&lt;30),"Overweight",
Q422&gt;=30,"Obesity")</f>
        <v>Obesity</v>
      </c>
      <c r="S422" s="2">
        <f t="shared" si="6"/>
        <v>891.11111111111109</v>
      </c>
      <c r="T422" s="2" t="str" cm="1">
        <f t="array" ref="T422">_xlfn.IFS(N422&lt;=2.5,"Low",N422&lt;=3,"Medium",N422&gt;3,"High")</f>
        <v>Low</v>
      </c>
    </row>
    <row r="423" spans="1:20" x14ac:dyDescent="0.3">
      <c r="A423" s="2">
        <v>422</v>
      </c>
      <c r="B423" s="2" t="s">
        <v>29</v>
      </c>
      <c r="C423" s="2">
        <v>29</v>
      </c>
      <c r="D423" s="2" t="s">
        <v>15</v>
      </c>
      <c r="E423" s="2">
        <v>80.8</v>
      </c>
      <c r="F423" s="2">
        <v>1.98</v>
      </c>
      <c r="G423" s="2">
        <v>160</v>
      </c>
      <c r="H423" s="2">
        <v>145</v>
      </c>
      <c r="I423" s="2">
        <v>50</v>
      </c>
      <c r="J423" s="2">
        <v>1.65</v>
      </c>
      <c r="K423" s="2">
        <v>1316</v>
      </c>
      <c r="L423" s="2" t="s">
        <v>20</v>
      </c>
      <c r="M423" s="2">
        <v>14.6</v>
      </c>
      <c r="N423" s="2">
        <v>3.5</v>
      </c>
      <c r="O423" s="2">
        <v>5</v>
      </c>
      <c r="P423" s="2">
        <v>3</v>
      </c>
      <c r="Q423" s="2">
        <v>20.61</v>
      </c>
      <c r="R423" s="2" t="str" cm="1">
        <f t="array" ref="R423">_xlfn.IFS(Q423&lt;18.5,"Underweight",
AND(Q423&gt;=18.5,Q423&lt;25),"Normal Weight",
AND(Q423&gt;=25,Q423&lt;30),"Overweight",
Q423&gt;=30,"Obesity")</f>
        <v>Normal Weight</v>
      </c>
      <c r="S423" s="2">
        <f t="shared" si="6"/>
        <v>797.57575757575762</v>
      </c>
      <c r="T423" s="2" t="str" cm="1">
        <f t="array" ref="T423">_xlfn.IFS(N423&lt;=2.5,"Low",N423&lt;=3,"Medium",N423&gt;3,"High")</f>
        <v>High</v>
      </c>
    </row>
    <row r="424" spans="1:20" x14ac:dyDescent="0.3">
      <c r="A424" s="2">
        <v>423</v>
      </c>
      <c r="B424" s="2" t="s">
        <v>24</v>
      </c>
      <c r="C424" s="2">
        <v>33</v>
      </c>
      <c r="D424" s="2" t="s">
        <v>16</v>
      </c>
      <c r="E424" s="2">
        <v>58</v>
      </c>
      <c r="F424" s="2">
        <v>1.53</v>
      </c>
      <c r="G424" s="2">
        <v>180</v>
      </c>
      <c r="H424" s="2">
        <v>126</v>
      </c>
      <c r="I424" s="2">
        <v>50</v>
      </c>
      <c r="J424" s="2">
        <v>1.84</v>
      </c>
      <c r="K424" s="2">
        <v>1159</v>
      </c>
      <c r="L424" s="2" t="s">
        <v>20</v>
      </c>
      <c r="M424" s="2">
        <v>18.3</v>
      </c>
      <c r="N424" s="2">
        <v>2.7</v>
      </c>
      <c r="O424" s="2">
        <v>5</v>
      </c>
      <c r="P424" s="2">
        <v>3</v>
      </c>
      <c r="Q424" s="2">
        <v>24.78</v>
      </c>
      <c r="R424" s="2" t="str" cm="1">
        <f t="array" ref="R424">_xlfn.IFS(Q424&lt;18.5,"Underweight",
AND(Q424&gt;=18.5,Q424&lt;25),"Normal Weight",
AND(Q424&gt;=25,Q424&lt;30),"Overweight",
Q424&gt;=30,"Obesity")</f>
        <v>Normal Weight</v>
      </c>
      <c r="S424" s="2">
        <f t="shared" si="6"/>
        <v>629.89130434782601</v>
      </c>
      <c r="T424" s="2" t="str" cm="1">
        <f t="array" ref="T424">_xlfn.IFS(N424&lt;=2.5,"Low",N424&lt;=3,"Medium",N424&gt;3,"High")</f>
        <v>Medium</v>
      </c>
    </row>
    <row r="425" spans="1:20" x14ac:dyDescent="0.3">
      <c r="A425" s="2">
        <v>424</v>
      </c>
      <c r="B425" s="2" t="s">
        <v>21</v>
      </c>
      <c r="C425" s="2">
        <v>43</v>
      </c>
      <c r="D425" s="2" t="s">
        <v>15</v>
      </c>
      <c r="E425" s="2">
        <v>95.9</v>
      </c>
      <c r="F425" s="2">
        <v>1.85</v>
      </c>
      <c r="G425" s="2">
        <v>186</v>
      </c>
      <c r="H425" s="2">
        <v>157</v>
      </c>
      <c r="I425" s="2">
        <v>64</v>
      </c>
      <c r="J425" s="2">
        <v>1.28</v>
      </c>
      <c r="K425" s="2">
        <v>995</v>
      </c>
      <c r="L425" s="2" t="s">
        <v>17</v>
      </c>
      <c r="M425" s="2">
        <v>27.7</v>
      </c>
      <c r="N425" s="2">
        <v>3.4</v>
      </c>
      <c r="O425" s="2">
        <v>2</v>
      </c>
      <c r="P425" s="2">
        <v>1</v>
      </c>
      <c r="Q425" s="2">
        <v>28.02</v>
      </c>
      <c r="R425" s="2" t="str" cm="1">
        <f t="array" ref="R425">_xlfn.IFS(Q425&lt;18.5,"Underweight",
AND(Q425&gt;=18.5,Q425&lt;25),"Normal Weight",
AND(Q425&gt;=25,Q425&lt;30),"Overweight",
Q425&gt;=30,"Obesity")</f>
        <v>Overweight</v>
      </c>
      <c r="S425" s="2">
        <f t="shared" si="6"/>
        <v>777.34375</v>
      </c>
      <c r="T425" s="2" t="str" cm="1">
        <f t="array" ref="T425">_xlfn.IFS(N425&lt;=2.5,"Low",N425&lt;=3,"Medium",N425&gt;3,"High")</f>
        <v>High</v>
      </c>
    </row>
    <row r="426" spans="1:20" x14ac:dyDescent="0.3">
      <c r="A426" s="2">
        <v>425</v>
      </c>
      <c r="B426" s="2" t="s">
        <v>25</v>
      </c>
      <c r="C426" s="2">
        <v>43</v>
      </c>
      <c r="D426" s="2" t="s">
        <v>16</v>
      </c>
      <c r="E426" s="2">
        <v>61.5</v>
      </c>
      <c r="F426" s="2">
        <v>1.58</v>
      </c>
      <c r="G426" s="2">
        <v>165</v>
      </c>
      <c r="H426" s="2">
        <v>149</v>
      </c>
      <c r="I426" s="2">
        <v>50</v>
      </c>
      <c r="J426" s="2">
        <v>1.86</v>
      </c>
      <c r="K426" s="2">
        <v>1247</v>
      </c>
      <c r="L426" s="2" t="s">
        <v>18</v>
      </c>
      <c r="M426" s="2">
        <v>16.8</v>
      </c>
      <c r="N426" s="2">
        <v>2.7</v>
      </c>
      <c r="O426" s="2">
        <v>5</v>
      </c>
      <c r="P426" s="2">
        <v>3</v>
      </c>
      <c r="Q426" s="2">
        <v>24.64</v>
      </c>
      <c r="R426" s="2" t="str" cm="1">
        <f t="array" ref="R426">_xlfn.IFS(Q426&lt;18.5,"Underweight",
AND(Q426&gt;=18.5,Q426&lt;25),"Normal Weight",
AND(Q426&gt;=25,Q426&lt;30),"Overweight",
Q426&gt;=30,"Obesity")</f>
        <v>Normal Weight</v>
      </c>
      <c r="S426" s="2">
        <f t="shared" si="6"/>
        <v>670.43010752688167</v>
      </c>
      <c r="T426" s="2" t="str" cm="1">
        <f t="array" ref="T426">_xlfn.IFS(N426&lt;=2.5,"Low",N426&lt;=3,"Medium",N426&gt;3,"High")</f>
        <v>Medium</v>
      </c>
    </row>
    <row r="427" spans="1:20" x14ac:dyDescent="0.3">
      <c r="A427" s="2">
        <v>426</v>
      </c>
      <c r="B427" s="2" t="s">
        <v>25</v>
      </c>
      <c r="C427" s="2">
        <v>38</v>
      </c>
      <c r="D427" s="2" t="s">
        <v>16</v>
      </c>
      <c r="E427" s="2">
        <v>40.6</v>
      </c>
      <c r="F427" s="2">
        <v>1.79</v>
      </c>
      <c r="G427" s="2">
        <v>195</v>
      </c>
      <c r="H427" s="2">
        <v>161</v>
      </c>
      <c r="I427" s="2">
        <v>55</v>
      </c>
      <c r="J427" s="2">
        <v>0.62</v>
      </c>
      <c r="K427" s="2">
        <v>499</v>
      </c>
      <c r="L427" s="2" t="s">
        <v>19</v>
      </c>
      <c r="M427" s="2">
        <v>26.8</v>
      </c>
      <c r="N427" s="2">
        <v>2.7</v>
      </c>
      <c r="O427" s="2">
        <v>2</v>
      </c>
      <c r="P427" s="2">
        <v>1</v>
      </c>
      <c r="Q427" s="2">
        <v>12.67</v>
      </c>
      <c r="R427" s="2" t="str" cm="1">
        <f t="array" ref="R427">_xlfn.IFS(Q427&lt;18.5,"Underweight",
AND(Q427&gt;=18.5,Q427&lt;25),"Normal Weight",
AND(Q427&gt;=25,Q427&lt;30),"Overweight",
Q427&gt;=30,"Obesity")</f>
        <v>Underweight</v>
      </c>
      <c r="S427" s="2">
        <f t="shared" si="6"/>
        <v>804.83870967741939</v>
      </c>
      <c r="T427" s="2" t="str" cm="1">
        <f t="array" ref="T427">_xlfn.IFS(N427&lt;=2.5,"Low",N427&lt;=3,"Medium",N427&gt;3,"High")</f>
        <v>Medium</v>
      </c>
    </row>
    <row r="428" spans="1:20" x14ac:dyDescent="0.3">
      <c r="A428" s="2">
        <v>427</v>
      </c>
      <c r="B428" s="2" t="s">
        <v>27</v>
      </c>
      <c r="C428" s="2">
        <v>56</v>
      </c>
      <c r="D428" s="2" t="s">
        <v>15</v>
      </c>
      <c r="E428" s="2">
        <v>82.5</v>
      </c>
      <c r="F428" s="2">
        <v>1.87</v>
      </c>
      <c r="G428" s="2">
        <v>187</v>
      </c>
      <c r="H428" s="2">
        <v>124</v>
      </c>
      <c r="I428" s="2">
        <v>74</v>
      </c>
      <c r="J428" s="2">
        <v>1.51</v>
      </c>
      <c r="K428" s="2">
        <v>927</v>
      </c>
      <c r="L428" s="2" t="s">
        <v>17</v>
      </c>
      <c r="M428" s="2">
        <v>13.2</v>
      </c>
      <c r="N428" s="2">
        <v>3.5</v>
      </c>
      <c r="O428" s="2">
        <v>5</v>
      </c>
      <c r="P428" s="2">
        <v>3</v>
      </c>
      <c r="Q428" s="2">
        <v>23.59</v>
      </c>
      <c r="R428" s="2" t="str" cm="1">
        <f t="array" ref="R428">_xlfn.IFS(Q428&lt;18.5,"Underweight",
AND(Q428&gt;=18.5,Q428&lt;25),"Normal Weight",
AND(Q428&gt;=25,Q428&lt;30),"Overweight",
Q428&gt;=30,"Obesity")</f>
        <v>Normal Weight</v>
      </c>
      <c r="S428" s="2">
        <f t="shared" si="6"/>
        <v>613.90728476821187</v>
      </c>
      <c r="T428" s="2" t="str" cm="1">
        <f t="array" ref="T428">_xlfn.IFS(N428&lt;=2.5,"Low",N428&lt;=3,"Medium",N428&gt;3,"High")</f>
        <v>High</v>
      </c>
    </row>
    <row r="429" spans="1:20" x14ac:dyDescent="0.3">
      <c r="A429" s="2">
        <v>428</v>
      </c>
      <c r="B429" s="2" t="s">
        <v>24</v>
      </c>
      <c r="C429" s="2">
        <v>53</v>
      </c>
      <c r="D429" s="2" t="s">
        <v>15</v>
      </c>
      <c r="E429" s="2">
        <v>105.1</v>
      </c>
      <c r="F429" s="2">
        <v>1.84</v>
      </c>
      <c r="G429" s="2">
        <v>176</v>
      </c>
      <c r="H429" s="2">
        <v>130</v>
      </c>
      <c r="I429" s="2">
        <v>62</v>
      </c>
      <c r="J429" s="2">
        <v>0.69</v>
      </c>
      <c r="K429" s="2">
        <v>444</v>
      </c>
      <c r="L429" s="2" t="s">
        <v>19</v>
      </c>
      <c r="M429" s="2">
        <v>23.3</v>
      </c>
      <c r="N429" s="2">
        <v>2.9</v>
      </c>
      <c r="O429" s="2">
        <v>3</v>
      </c>
      <c r="P429" s="2">
        <v>1</v>
      </c>
      <c r="Q429" s="2">
        <v>31.04</v>
      </c>
      <c r="R429" s="2" t="str" cm="1">
        <f t="array" ref="R429">_xlfn.IFS(Q429&lt;18.5,"Underweight",
AND(Q429&gt;=18.5,Q429&lt;25),"Normal Weight",
AND(Q429&gt;=25,Q429&lt;30),"Overweight",
Q429&gt;=30,"Obesity")</f>
        <v>Obesity</v>
      </c>
      <c r="S429" s="2">
        <f t="shared" si="6"/>
        <v>643.47826086956525</v>
      </c>
      <c r="T429" s="2" t="str" cm="1">
        <f t="array" ref="T429">_xlfn.IFS(N429&lt;=2.5,"Low",N429&lt;=3,"Medium",N429&gt;3,"High")</f>
        <v>Medium</v>
      </c>
    </row>
    <row r="430" spans="1:20" x14ac:dyDescent="0.3">
      <c r="A430" s="2">
        <v>429</v>
      </c>
      <c r="B430" s="2" t="s">
        <v>22</v>
      </c>
      <c r="C430" s="2">
        <v>50</v>
      </c>
      <c r="D430" s="2" t="s">
        <v>16</v>
      </c>
      <c r="E430" s="2">
        <v>58.1</v>
      </c>
      <c r="F430" s="2">
        <v>1.58</v>
      </c>
      <c r="G430" s="2">
        <v>199</v>
      </c>
      <c r="H430" s="2">
        <v>120</v>
      </c>
      <c r="I430" s="2">
        <v>50</v>
      </c>
      <c r="J430" s="2">
        <v>1.93</v>
      </c>
      <c r="K430" s="2">
        <v>1042</v>
      </c>
      <c r="L430" s="2" t="s">
        <v>17</v>
      </c>
      <c r="M430" s="2">
        <v>19.3</v>
      </c>
      <c r="N430" s="2">
        <v>2.7</v>
      </c>
      <c r="O430" s="2">
        <v>5</v>
      </c>
      <c r="P430" s="2">
        <v>3</v>
      </c>
      <c r="Q430" s="2">
        <v>23.27</v>
      </c>
      <c r="R430" s="2" t="str" cm="1">
        <f t="array" ref="R430">_xlfn.IFS(Q430&lt;18.5,"Underweight",
AND(Q430&gt;=18.5,Q430&lt;25),"Normal Weight",
AND(Q430&gt;=25,Q430&lt;30),"Overweight",
Q430&gt;=30,"Obesity")</f>
        <v>Normal Weight</v>
      </c>
      <c r="S430" s="2">
        <f t="shared" si="6"/>
        <v>539.89637305699489</v>
      </c>
      <c r="T430" s="2" t="str" cm="1">
        <f t="array" ref="T430">_xlfn.IFS(N430&lt;=2.5,"Low",N430&lt;=3,"Medium",N430&gt;3,"High")</f>
        <v>Medium</v>
      </c>
    </row>
    <row r="431" spans="1:20" x14ac:dyDescent="0.3">
      <c r="A431" s="2">
        <v>430</v>
      </c>
      <c r="B431" s="2" t="s">
        <v>28</v>
      </c>
      <c r="C431" s="2">
        <v>47</v>
      </c>
      <c r="D431" s="2" t="s">
        <v>16</v>
      </c>
      <c r="E431" s="2">
        <v>61</v>
      </c>
      <c r="F431" s="2">
        <v>1.76</v>
      </c>
      <c r="G431" s="2">
        <v>162</v>
      </c>
      <c r="H431" s="2">
        <v>153</v>
      </c>
      <c r="I431" s="2">
        <v>54</v>
      </c>
      <c r="J431" s="2">
        <v>1.54</v>
      </c>
      <c r="K431" s="2">
        <v>1060</v>
      </c>
      <c r="L431" s="2" t="s">
        <v>18</v>
      </c>
      <c r="M431" s="2">
        <v>15.6</v>
      </c>
      <c r="N431" s="2">
        <v>2.7</v>
      </c>
      <c r="O431" s="2">
        <v>5</v>
      </c>
      <c r="P431" s="2">
        <v>3</v>
      </c>
      <c r="Q431" s="2">
        <v>19.690000000000001</v>
      </c>
      <c r="R431" s="2" t="str" cm="1">
        <f t="array" ref="R431">_xlfn.IFS(Q431&lt;18.5,"Underweight",
AND(Q431&gt;=18.5,Q431&lt;25),"Normal Weight",
AND(Q431&gt;=25,Q431&lt;30),"Overweight",
Q431&gt;=30,"Obesity")</f>
        <v>Normal Weight</v>
      </c>
      <c r="S431" s="2">
        <f t="shared" si="6"/>
        <v>688.31168831168827</v>
      </c>
      <c r="T431" s="2" t="str" cm="1">
        <f t="array" ref="T431">_xlfn.IFS(N431&lt;=2.5,"Low",N431&lt;=3,"Medium",N431&gt;3,"High")</f>
        <v>Medium</v>
      </c>
    </row>
    <row r="432" spans="1:20" x14ac:dyDescent="0.3">
      <c r="A432" s="2">
        <v>431</v>
      </c>
      <c r="B432" s="2" t="s">
        <v>22</v>
      </c>
      <c r="C432" s="2">
        <v>54</v>
      </c>
      <c r="D432" s="2" t="s">
        <v>16</v>
      </c>
      <c r="E432" s="2">
        <v>64.5</v>
      </c>
      <c r="F432" s="2">
        <v>1.53</v>
      </c>
      <c r="G432" s="2">
        <v>171</v>
      </c>
      <c r="H432" s="2">
        <v>120</v>
      </c>
      <c r="I432" s="2">
        <v>58</v>
      </c>
      <c r="J432" s="2">
        <v>1.74</v>
      </c>
      <c r="K432" s="2">
        <v>940</v>
      </c>
      <c r="L432" s="2" t="s">
        <v>17</v>
      </c>
      <c r="M432" s="2">
        <v>17.2</v>
      </c>
      <c r="N432" s="2">
        <v>2.7</v>
      </c>
      <c r="O432" s="2">
        <v>4</v>
      </c>
      <c r="P432" s="2">
        <v>3</v>
      </c>
      <c r="Q432" s="2">
        <v>27.55</v>
      </c>
      <c r="R432" s="2" t="str" cm="1">
        <f t="array" ref="R432">_xlfn.IFS(Q432&lt;18.5,"Underweight",
AND(Q432&gt;=18.5,Q432&lt;25),"Normal Weight",
AND(Q432&gt;=25,Q432&lt;30),"Overweight",
Q432&gt;=30,"Obesity")</f>
        <v>Overweight</v>
      </c>
      <c r="S432" s="2">
        <f t="shared" si="6"/>
        <v>540.22988505747128</v>
      </c>
      <c r="T432" s="2" t="str" cm="1">
        <f t="array" ref="T432">_xlfn.IFS(N432&lt;=2.5,"Low",N432&lt;=3,"Medium",N432&gt;3,"High")</f>
        <v>Medium</v>
      </c>
    </row>
    <row r="433" spans="1:20" x14ac:dyDescent="0.3">
      <c r="A433" s="2">
        <v>432</v>
      </c>
      <c r="B433" s="2" t="s">
        <v>25</v>
      </c>
      <c r="C433" s="2">
        <v>40</v>
      </c>
      <c r="D433" s="2" t="s">
        <v>15</v>
      </c>
      <c r="E433" s="2">
        <v>58.2</v>
      </c>
      <c r="F433" s="2">
        <v>1.98</v>
      </c>
      <c r="G433" s="2">
        <v>198</v>
      </c>
      <c r="H433" s="2">
        <v>138</v>
      </c>
      <c r="I433" s="2">
        <v>74</v>
      </c>
      <c r="J433" s="2">
        <v>1.43</v>
      </c>
      <c r="K433" s="2">
        <v>1085</v>
      </c>
      <c r="L433" s="2" t="s">
        <v>19</v>
      </c>
      <c r="M433" s="2">
        <v>24</v>
      </c>
      <c r="N433" s="2">
        <v>2.5</v>
      </c>
      <c r="O433" s="2">
        <v>3</v>
      </c>
      <c r="P433" s="2">
        <v>2</v>
      </c>
      <c r="Q433" s="2">
        <v>14.85</v>
      </c>
      <c r="R433" s="2" t="str" cm="1">
        <f t="array" ref="R433">_xlfn.IFS(Q433&lt;18.5,"Underweight",
AND(Q433&gt;=18.5,Q433&lt;25),"Normal Weight",
AND(Q433&gt;=25,Q433&lt;30),"Overweight",
Q433&gt;=30,"Obesity")</f>
        <v>Underweight</v>
      </c>
      <c r="S433" s="2">
        <f t="shared" si="6"/>
        <v>758.74125874125878</v>
      </c>
      <c r="T433" s="2" t="str" cm="1">
        <f t="array" ref="T433">_xlfn.IFS(N433&lt;=2.5,"Low",N433&lt;=3,"Medium",N433&gt;3,"High")</f>
        <v>Low</v>
      </c>
    </row>
    <row r="434" spans="1:20" x14ac:dyDescent="0.3">
      <c r="A434" s="2">
        <v>433</v>
      </c>
      <c r="B434" s="2" t="s">
        <v>25</v>
      </c>
      <c r="C434" s="2">
        <v>27</v>
      </c>
      <c r="D434" s="2" t="s">
        <v>16</v>
      </c>
      <c r="E434" s="2">
        <v>69.5</v>
      </c>
      <c r="F434" s="2">
        <v>1.76</v>
      </c>
      <c r="G434" s="2">
        <v>171</v>
      </c>
      <c r="H434" s="2">
        <v>121</v>
      </c>
      <c r="I434" s="2">
        <v>66</v>
      </c>
      <c r="J434" s="2">
        <v>0.94</v>
      </c>
      <c r="K434" s="2">
        <v>569</v>
      </c>
      <c r="L434" s="2" t="s">
        <v>20</v>
      </c>
      <c r="M434" s="2">
        <v>34.4</v>
      </c>
      <c r="N434" s="2">
        <v>2</v>
      </c>
      <c r="O434" s="2">
        <v>3</v>
      </c>
      <c r="P434" s="2">
        <v>1</v>
      </c>
      <c r="Q434" s="2">
        <v>22.44</v>
      </c>
      <c r="R434" s="2" t="str" cm="1">
        <f t="array" ref="R434">_xlfn.IFS(Q434&lt;18.5,"Underweight",
AND(Q434&gt;=18.5,Q434&lt;25),"Normal Weight",
AND(Q434&gt;=25,Q434&lt;30),"Overweight",
Q434&gt;=30,"Obesity")</f>
        <v>Normal Weight</v>
      </c>
      <c r="S434" s="2">
        <f t="shared" si="6"/>
        <v>605.31914893617022</v>
      </c>
      <c r="T434" s="2" t="str" cm="1">
        <f t="array" ref="T434">_xlfn.IFS(N434&lt;=2.5,"Low",N434&lt;=3,"Medium",N434&gt;3,"High")</f>
        <v>Low</v>
      </c>
    </row>
    <row r="435" spans="1:20" x14ac:dyDescent="0.3">
      <c r="A435" s="2">
        <v>434</v>
      </c>
      <c r="B435" s="2" t="s">
        <v>26</v>
      </c>
      <c r="C435" s="2">
        <v>22</v>
      </c>
      <c r="D435" s="2" t="s">
        <v>15</v>
      </c>
      <c r="E435" s="2">
        <v>62.2</v>
      </c>
      <c r="F435" s="2">
        <v>1.84</v>
      </c>
      <c r="G435" s="2">
        <v>161</v>
      </c>
      <c r="H435" s="2">
        <v>140</v>
      </c>
      <c r="I435" s="2">
        <v>65</v>
      </c>
      <c r="J435" s="2">
        <v>0.51</v>
      </c>
      <c r="K435" s="2">
        <v>393</v>
      </c>
      <c r="L435" s="2" t="s">
        <v>20</v>
      </c>
      <c r="M435" s="2">
        <v>21.5</v>
      </c>
      <c r="N435" s="2">
        <v>2.2999999999999998</v>
      </c>
      <c r="O435" s="2">
        <v>3</v>
      </c>
      <c r="P435" s="2">
        <v>1</v>
      </c>
      <c r="Q435" s="2">
        <v>18.37</v>
      </c>
      <c r="R435" s="2" t="str" cm="1">
        <f t="array" ref="R435">_xlfn.IFS(Q435&lt;18.5,"Underweight",
AND(Q435&gt;=18.5,Q435&lt;25),"Normal Weight",
AND(Q435&gt;=25,Q435&lt;30),"Overweight",
Q435&gt;=30,"Obesity")</f>
        <v>Underweight</v>
      </c>
      <c r="S435" s="2">
        <f t="shared" si="6"/>
        <v>770.58823529411768</v>
      </c>
      <c r="T435" s="2" t="str" cm="1">
        <f t="array" ref="T435">_xlfn.IFS(N435&lt;=2.5,"Low",N435&lt;=3,"Medium",N435&gt;3,"High")</f>
        <v>Low</v>
      </c>
    </row>
    <row r="436" spans="1:20" x14ac:dyDescent="0.3">
      <c r="A436" s="2">
        <v>435</v>
      </c>
      <c r="B436" s="2" t="s">
        <v>25</v>
      </c>
      <c r="C436" s="2">
        <v>53</v>
      </c>
      <c r="D436" s="2" t="s">
        <v>16</v>
      </c>
      <c r="E436" s="2">
        <v>68</v>
      </c>
      <c r="F436" s="2">
        <v>1.7</v>
      </c>
      <c r="G436" s="2">
        <v>181</v>
      </c>
      <c r="H436" s="2">
        <v>139</v>
      </c>
      <c r="I436" s="2">
        <v>57</v>
      </c>
      <c r="J436" s="2">
        <v>1.06</v>
      </c>
      <c r="K436" s="2">
        <v>663</v>
      </c>
      <c r="L436" s="2" t="s">
        <v>18</v>
      </c>
      <c r="M436" s="2">
        <v>25.1</v>
      </c>
      <c r="N436" s="2">
        <v>2.4</v>
      </c>
      <c r="O436" s="2">
        <v>4</v>
      </c>
      <c r="P436" s="2">
        <v>2</v>
      </c>
      <c r="Q436" s="2">
        <v>23.53</v>
      </c>
      <c r="R436" s="2" t="str" cm="1">
        <f t="array" ref="R436">_xlfn.IFS(Q436&lt;18.5,"Underweight",
AND(Q436&gt;=18.5,Q436&lt;25),"Normal Weight",
AND(Q436&gt;=25,Q436&lt;30),"Overweight",
Q436&gt;=30,"Obesity")</f>
        <v>Normal Weight</v>
      </c>
      <c r="S436" s="2">
        <f t="shared" si="6"/>
        <v>625.47169811320748</v>
      </c>
      <c r="T436" s="2" t="str" cm="1">
        <f t="array" ref="T436">_xlfn.IFS(N436&lt;=2.5,"Low",N436&lt;=3,"Medium",N436&gt;3,"High")</f>
        <v>Low</v>
      </c>
    </row>
    <row r="437" spans="1:20" x14ac:dyDescent="0.3">
      <c r="A437" s="2">
        <v>436</v>
      </c>
      <c r="B437" s="2" t="s">
        <v>29</v>
      </c>
      <c r="C437" s="2">
        <v>51</v>
      </c>
      <c r="D437" s="2" t="s">
        <v>16</v>
      </c>
      <c r="E437" s="2">
        <v>56.3</v>
      </c>
      <c r="F437" s="2">
        <v>1.5</v>
      </c>
      <c r="G437" s="2">
        <v>182</v>
      </c>
      <c r="H437" s="2">
        <v>142</v>
      </c>
      <c r="I437" s="2">
        <v>66</v>
      </c>
      <c r="J437" s="2">
        <v>1.43</v>
      </c>
      <c r="K437" s="2">
        <v>914</v>
      </c>
      <c r="L437" s="2" t="s">
        <v>19</v>
      </c>
      <c r="M437" s="2">
        <v>27.4</v>
      </c>
      <c r="N437" s="2">
        <v>2.4</v>
      </c>
      <c r="O437" s="2">
        <v>3</v>
      </c>
      <c r="P437" s="2">
        <v>1</v>
      </c>
      <c r="Q437" s="2">
        <v>25.02</v>
      </c>
      <c r="R437" s="2" t="str" cm="1">
        <f t="array" ref="R437">_xlfn.IFS(Q437&lt;18.5,"Underweight",
AND(Q437&gt;=18.5,Q437&lt;25),"Normal Weight",
AND(Q437&gt;=25,Q437&lt;30),"Overweight",
Q437&gt;=30,"Obesity")</f>
        <v>Overweight</v>
      </c>
      <c r="S437" s="2">
        <f t="shared" si="6"/>
        <v>639.16083916083915</v>
      </c>
      <c r="T437" s="2" t="str" cm="1">
        <f t="array" ref="T437">_xlfn.IFS(N437&lt;=2.5,"Low",N437&lt;=3,"Medium",N437&gt;3,"High")</f>
        <v>Low</v>
      </c>
    </row>
    <row r="438" spans="1:20" x14ac:dyDescent="0.3">
      <c r="A438" s="2">
        <v>437</v>
      </c>
      <c r="B438" s="2" t="s">
        <v>23</v>
      </c>
      <c r="C438" s="2">
        <v>48</v>
      </c>
      <c r="D438" s="2" t="s">
        <v>15</v>
      </c>
      <c r="E438" s="2">
        <v>94.5</v>
      </c>
      <c r="F438" s="2">
        <v>1.7</v>
      </c>
      <c r="G438" s="2">
        <v>189</v>
      </c>
      <c r="H438" s="2">
        <v>140</v>
      </c>
      <c r="I438" s="2">
        <v>64</v>
      </c>
      <c r="J438" s="2">
        <v>1.01</v>
      </c>
      <c r="K438" s="2">
        <v>700</v>
      </c>
      <c r="L438" s="2" t="s">
        <v>19</v>
      </c>
      <c r="M438" s="2">
        <v>28.2</v>
      </c>
      <c r="N438" s="2">
        <v>3.5</v>
      </c>
      <c r="O438" s="2">
        <v>3</v>
      </c>
      <c r="P438" s="2">
        <v>2</v>
      </c>
      <c r="Q438" s="2">
        <v>32.700000000000003</v>
      </c>
      <c r="R438" s="2" t="str" cm="1">
        <f t="array" ref="R438">_xlfn.IFS(Q438&lt;18.5,"Underweight",
AND(Q438&gt;=18.5,Q438&lt;25),"Normal Weight",
AND(Q438&gt;=25,Q438&lt;30),"Overweight",
Q438&gt;=30,"Obesity")</f>
        <v>Obesity</v>
      </c>
      <c r="S438" s="2">
        <f t="shared" si="6"/>
        <v>693.06930693069307</v>
      </c>
      <c r="T438" s="2" t="str" cm="1">
        <f t="array" ref="T438">_xlfn.IFS(N438&lt;=2.5,"Low",N438&lt;=3,"Medium",N438&gt;3,"High")</f>
        <v>High</v>
      </c>
    </row>
    <row r="439" spans="1:20" x14ac:dyDescent="0.3">
      <c r="A439" s="2">
        <v>438</v>
      </c>
      <c r="B439" s="2" t="s">
        <v>24</v>
      </c>
      <c r="C439" s="2">
        <v>27</v>
      </c>
      <c r="D439" s="2" t="s">
        <v>16</v>
      </c>
      <c r="E439" s="2">
        <v>58</v>
      </c>
      <c r="F439" s="2">
        <v>1.79</v>
      </c>
      <c r="G439" s="2">
        <v>164</v>
      </c>
      <c r="H439" s="2">
        <v>143</v>
      </c>
      <c r="I439" s="2">
        <v>73</v>
      </c>
      <c r="J439" s="2">
        <v>1.39</v>
      </c>
      <c r="K439" s="2">
        <v>994</v>
      </c>
      <c r="L439" s="2" t="s">
        <v>19</v>
      </c>
      <c r="M439" s="2">
        <v>27.1</v>
      </c>
      <c r="N439" s="2">
        <v>1.5</v>
      </c>
      <c r="O439" s="2">
        <v>2</v>
      </c>
      <c r="P439" s="2">
        <v>1</v>
      </c>
      <c r="Q439" s="2">
        <v>18.100000000000001</v>
      </c>
      <c r="R439" s="2" t="str" cm="1">
        <f t="array" ref="R439">_xlfn.IFS(Q439&lt;18.5,"Underweight",
AND(Q439&gt;=18.5,Q439&lt;25),"Normal Weight",
AND(Q439&gt;=25,Q439&lt;30),"Overweight",
Q439&gt;=30,"Obesity")</f>
        <v>Underweight</v>
      </c>
      <c r="S439" s="2">
        <f t="shared" si="6"/>
        <v>715.10791366906483</v>
      </c>
      <c r="T439" s="2" t="str" cm="1">
        <f t="array" ref="T439">_xlfn.IFS(N439&lt;=2.5,"Low",N439&lt;=3,"Medium",N439&gt;3,"High")</f>
        <v>Low</v>
      </c>
    </row>
    <row r="440" spans="1:20" x14ac:dyDescent="0.3">
      <c r="A440" s="2">
        <v>439</v>
      </c>
      <c r="B440" s="2" t="s">
        <v>22</v>
      </c>
      <c r="C440" s="2">
        <v>36</v>
      </c>
      <c r="D440" s="2" t="s">
        <v>15</v>
      </c>
      <c r="E440" s="2">
        <v>84</v>
      </c>
      <c r="F440" s="2">
        <v>1.94</v>
      </c>
      <c r="G440" s="2">
        <v>168</v>
      </c>
      <c r="H440" s="2">
        <v>123</v>
      </c>
      <c r="I440" s="2">
        <v>50</v>
      </c>
      <c r="J440" s="2">
        <v>1.8</v>
      </c>
      <c r="K440" s="2">
        <v>1218</v>
      </c>
      <c r="L440" s="2" t="s">
        <v>18</v>
      </c>
      <c r="M440" s="2">
        <v>11.2</v>
      </c>
      <c r="N440" s="2">
        <v>3.5</v>
      </c>
      <c r="O440" s="2">
        <v>5</v>
      </c>
      <c r="P440" s="2">
        <v>3</v>
      </c>
      <c r="Q440" s="2">
        <v>22.32</v>
      </c>
      <c r="R440" s="2" t="str" cm="1">
        <f t="array" ref="R440">_xlfn.IFS(Q440&lt;18.5,"Underweight",
AND(Q440&gt;=18.5,Q440&lt;25),"Normal Weight",
AND(Q440&gt;=25,Q440&lt;30),"Overweight",
Q440&gt;=30,"Obesity")</f>
        <v>Normal Weight</v>
      </c>
      <c r="S440" s="2">
        <f t="shared" si="6"/>
        <v>676.66666666666663</v>
      </c>
      <c r="T440" s="2" t="str" cm="1">
        <f t="array" ref="T440">_xlfn.IFS(N440&lt;=2.5,"Low",N440&lt;=3,"Medium",N440&gt;3,"High")</f>
        <v>High</v>
      </c>
    </row>
    <row r="441" spans="1:20" x14ac:dyDescent="0.3">
      <c r="A441" s="2">
        <v>440</v>
      </c>
      <c r="B441" s="2" t="s">
        <v>23</v>
      </c>
      <c r="C441" s="2">
        <v>49</v>
      </c>
      <c r="D441" s="2" t="s">
        <v>15</v>
      </c>
      <c r="E441" s="2">
        <v>61</v>
      </c>
      <c r="F441" s="2">
        <v>1.87</v>
      </c>
      <c r="G441" s="2">
        <v>180</v>
      </c>
      <c r="H441" s="2">
        <v>131</v>
      </c>
      <c r="I441" s="2">
        <v>61</v>
      </c>
      <c r="J441" s="2">
        <v>1.1399999999999999</v>
      </c>
      <c r="K441" s="2">
        <v>739</v>
      </c>
      <c r="L441" s="2" t="s">
        <v>20</v>
      </c>
      <c r="M441" s="2">
        <v>21.3</v>
      </c>
      <c r="N441" s="2">
        <v>3</v>
      </c>
      <c r="O441" s="2">
        <v>4</v>
      </c>
      <c r="P441" s="2">
        <v>2</v>
      </c>
      <c r="Q441" s="2">
        <v>17.440000000000001</v>
      </c>
      <c r="R441" s="2" t="str" cm="1">
        <f t="array" ref="R441">_xlfn.IFS(Q441&lt;18.5,"Underweight",
AND(Q441&gt;=18.5,Q441&lt;25),"Normal Weight",
AND(Q441&gt;=25,Q441&lt;30),"Overweight",
Q441&gt;=30,"Obesity")</f>
        <v>Underweight</v>
      </c>
      <c r="S441" s="2">
        <f t="shared" si="6"/>
        <v>648.24561403508778</v>
      </c>
      <c r="T441" s="2" t="str" cm="1">
        <f t="array" ref="T441">_xlfn.IFS(N441&lt;=2.5,"Low",N441&lt;=3,"Medium",N441&gt;3,"High")</f>
        <v>Medium</v>
      </c>
    </row>
    <row r="442" spans="1:20" x14ac:dyDescent="0.3">
      <c r="A442" s="2">
        <v>441</v>
      </c>
      <c r="B442" s="2" t="s">
        <v>21</v>
      </c>
      <c r="C442" s="2">
        <v>18</v>
      </c>
      <c r="D442" s="2" t="s">
        <v>16</v>
      </c>
      <c r="E442" s="2">
        <v>64.8</v>
      </c>
      <c r="F442" s="2">
        <v>1.53</v>
      </c>
      <c r="G442" s="2">
        <v>170</v>
      </c>
      <c r="H442" s="2">
        <v>141</v>
      </c>
      <c r="I442" s="2">
        <v>54</v>
      </c>
      <c r="J442" s="2">
        <v>1.98</v>
      </c>
      <c r="K442" s="2">
        <v>1396</v>
      </c>
      <c r="L442" s="2" t="s">
        <v>17</v>
      </c>
      <c r="M442" s="2">
        <v>18.600000000000001</v>
      </c>
      <c r="N442" s="2">
        <v>2.7</v>
      </c>
      <c r="O442" s="2">
        <v>5</v>
      </c>
      <c r="P442" s="2">
        <v>3</v>
      </c>
      <c r="Q442" s="2">
        <v>27.68</v>
      </c>
      <c r="R442" s="2" t="str" cm="1">
        <f t="array" ref="R442">_xlfn.IFS(Q442&lt;18.5,"Underweight",
AND(Q442&gt;=18.5,Q442&lt;25),"Normal Weight",
AND(Q442&gt;=25,Q442&lt;30),"Overweight",
Q442&gt;=30,"Obesity")</f>
        <v>Overweight</v>
      </c>
      <c r="S442" s="2">
        <f t="shared" si="6"/>
        <v>705.05050505050508</v>
      </c>
      <c r="T442" s="2" t="str" cm="1">
        <f t="array" ref="T442">_xlfn.IFS(N442&lt;=2.5,"Low",N442&lt;=3,"Medium",N442&gt;3,"High")</f>
        <v>Medium</v>
      </c>
    </row>
    <row r="443" spans="1:20" x14ac:dyDescent="0.3">
      <c r="A443" s="2">
        <v>442</v>
      </c>
      <c r="B443" s="2" t="s">
        <v>28</v>
      </c>
      <c r="C443" s="2">
        <v>22</v>
      </c>
      <c r="D443" s="2" t="s">
        <v>15</v>
      </c>
      <c r="E443" s="2">
        <v>45.7</v>
      </c>
      <c r="F443" s="2">
        <v>1.77</v>
      </c>
      <c r="G443" s="2">
        <v>164</v>
      </c>
      <c r="H443" s="2">
        <v>139</v>
      </c>
      <c r="I443" s="2">
        <v>73</v>
      </c>
      <c r="J443" s="2">
        <v>1.04</v>
      </c>
      <c r="K443" s="2">
        <v>795</v>
      </c>
      <c r="L443" s="2" t="s">
        <v>18</v>
      </c>
      <c r="M443" s="2">
        <v>20.7</v>
      </c>
      <c r="N443" s="2">
        <v>2.4</v>
      </c>
      <c r="O443" s="2">
        <v>3</v>
      </c>
      <c r="P443" s="2">
        <v>1</v>
      </c>
      <c r="Q443" s="2">
        <v>14.59</v>
      </c>
      <c r="R443" s="2" t="str" cm="1">
        <f t="array" ref="R443">_xlfn.IFS(Q443&lt;18.5,"Underweight",
AND(Q443&gt;=18.5,Q443&lt;25),"Normal Weight",
AND(Q443&gt;=25,Q443&lt;30),"Overweight",
Q443&gt;=30,"Obesity")</f>
        <v>Underweight</v>
      </c>
      <c r="S443" s="2">
        <f t="shared" si="6"/>
        <v>764.42307692307691</v>
      </c>
      <c r="T443" s="2" t="str" cm="1">
        <f t="array" ref="T443">_xlfn.IFS(N443&lt;=2.5,"Low",N443&lt;=3,"Medium",N443&gt;3,"High")</f>
        <v>Low</v>
      </c>
    </row>
    <row r="444" spans="1:20" x14ac:dyDescent="0.3">
      <c r="A444" s="2">
        <v>443</v>
      </c>
      <c r="B444" s="2" t="s">
        <v>29</v>
      </c>
      <c r="C444" s="2">
        <v>21</v>
      </c>
      <c r="D444" s="2" t="s">
        <v>15</v>
      </c>
      <c r="E444" s="2">
        <v>80.900000000000006</v>
      </c>
      <c r="F444" s="2">
        <v>1.9</v>
      </c>
      <c r="G444" s="2">
        <v>194</v>
      </c>
      <c r="H444" s="2">
        <v>137</v>
      </c>
      <c r="I444" s="2">
        <v>55</v>
      </c>
      <c r="J444" s="2">
        <v>1.8</v>
      </c>
      <c r="K444" s="2">
        <v>1356</v>
      </c>
      <c r="L444" s="2" t="s">
        <v>17</v>
      </c>
      <c r="M444" s="2">
        <v>11.7</v>
      </c>
      <c r="N444" s="2">
        <v>3.5</v>
      </c>
      <c r="O444" s="2">
        <v>4</v>
      </c>
      <c r="P444" s="2">
        <v>3</v>
      </c>
      <c r="Q444" s="2">
        <v>22.41</v>
      </c>
      <c r="R444" s="2" t="str" cm="1">
        <f t="array" ref="R444">_xlfn.IFS(Q444&lt;18.5,"Underweight",
AND(Q444&gt;=18.5,Q444&lt;25),"Normal Weight",
AND(Q444&gt;=25,Q444&lt;30),"Overweight",
Q444&gt;=30,"Obesity")</f>
        <v>Normal Weight</v>
      </c>
      <c r="S444" s="2">
        <f t="shared" si="6"/>
        <v>753.33333333333337</v>
      </c>
      <c r="T444" s="2" t="str" cm="1">
        <f t="array" ref="T444">_xlfn.IFS(N444&lt;=2.5,"Low",N444&lt;=3,"Medium",N444&gt;3,"High")</f>
        <v>High</v>
      </c>
    </row>
    <row r="445" spans="1:20" x14ac:dyDescent="0.3">
      <c r="A445" s="2">
        <v>444</v>
      </c>
      <c r="B445" s="2" t="s">
        <v>22</v>
      </c>
      <c r="C445" s="2">
        <v>33</v>
      </c>
      <c r="D445" s="2" t="s">
        <v>16</v>
      </c>
      <c r="E445" s="2">
        <v>64.099999999999994</v>
      </c>
      <c r="F445" s="2">
        <v>1.63</v>
      </c>
      <c r="G445" s="2">
        <v>186</v>
      </c>
      <c r="H445" s="2">
        <v>120</v>
      </c>
      <c r="I445" s="2">
        <v>74</v>
      </c>
      <c r="J445" s="2">
        <v>1.58</v>
      </c>
      <c r="K445" s="2">
        <v>948</v>
      </c>
      <c r="L445" s="2" t="s">
        <v>20</v>
      </c>
      <c r="M445" s="2">
        <v>16.399999999999999</v>
      </c>
      <c r="N445" s="2">
        <v>2.7</v>
      </c>
      <c r="O445" s="2">
        <v>5</v>
      </c>
      <c r="P445" s="2">
        <v>3</v>
      </c>
      <c r="Q445" s="2">
        <v>24.13</v>
      </c>
      <c r="R445" s="2" t="str" cm="1">
        <f t="array" ref="R445">_xlfn.IFS(Q445&lt;18.5,"Underweight",
AND(Q445&gt;=18.5,Q445&lt;25),"Normal Weight",
AND(Q445&gt;=25,Q445&lt;30),"Overweight",
Q445&gt;=30,"Obesity")</f>
        <v>Normal Weight</v>
      </c>
      <c r="S445" s="2">
        <f t="shared" si="6"/>
        <v>600</v>
      </c>
      <c r="T445" s="2" t="str" cm="1">
        <f t="array" ref="T445">_xlfn.IFS(N445&lt;=2.5,"Low",N445&lt;=3,"Medium",N445&gt;3,"High")</f>
        <v>Medium</v>
      </c>
    </row>
    <row r="446" spans="1:20" x14ac:dyDescent="0.3">
      <c r="A446" s="2">
        <v>445</v>
      </c>
      <c r="B446" s="2" t="s">
        <v>23</v>
      </c>
      <c r="C446" s="2">
        <v>41</v>
      </c>
      <c r="D446" s="2" t="s">
        <v>15</v>
      </c>
      <c r="E446" s="2">
        <v>67</v>
      </c>
      <c r="F446" s="2">
        <v>1.77</v>
      </c>
      <c r="G446" s="2">
        <v>161</v>
      </c>
      <c r="H446" s="2">
        <v>149</v>
      </c>
      <c r="I446" s="2">
        <v>50</v>
      </c>
      <c r="J446" s="2">
        <v>1.22</v>
      </c>
      <c r="K446" s="2">
        <v>900</v>
      </c>
      <c r="L446" s="2" t="s">
        <v>18</v>
      </c>
      <c r="M446" s="2">
        <v>25.6</v>
      </c>
      <c r="N446" s="2">
        <v>2.6</v>
      </c>
      <c r="O446" s="2">
        <v>3</v>
      </c>
      <c r="P446" s="2">
        <v>2</v>
      </c>
      <c r="Q446" s="2">
        <v>21.39</v>
      </c>
      <c r="R446" s="2" t="str" cm="1">
        <f t="array" ref="R446">_xlfn.IFS(Q446&lt;18.5,"Underweight",
AND(Q446&gt;=18.5,Q446&lt;25),"Normal Weight",
AND(Q446&gt;=25,Q446&lt;30),"Overweight",
Q446&gt;=30,"Obesity")</f>
        <v>Normal Weight</v>
      </c>
      <c r="S446" s="2">
        <f t="shared" si="6"/>
        <v>737.70491803278685</v>
      </c>
      <c r="T446" s="2" t="str" cm="1">
        <f t="array" ref="T446">_xlfn.IFS(N446&lt;=2.5,"Low",N446&lt;=3,"Medium",N446&gt;3,"High")</f>
        <v>Medium</v>
      </c>
    </row>
    <row r="447" spans="1:20" x14ac:dyDescent="0.3">
      <c r="A447" s="2">
        <v>446</v>
      </c>
      <c r="B447" s="2" t="s">
        <v>28</v>
      </c>
      <c r="C447" s="2">
        <v>33</v>
      </c>
      <c r="D447" s="2" t="s">
        <v>15</v>
      </c>
      <c r="E447" s="2">
        <v>106.5</v>
      </c>
      <c r="F447" s="2">
        <v>1.6</v>
      </c>
      <c r="G447" s="2">
        <v>183</v>
      </c>
      <c r="H447" s="2">
        <v>152</v>
      </c>
      <c r="I447" s="2">
        <v>74</v>
      </c>
      <c r="J447" s="2">
        <v>1.4</v>
      </c>
      <c r="K447" s="2">
        <v>1170</v>
      </c>
      <c r="L447" s="2" t="s">
        <v>20</v>
      </c>
      <c r="M447" s="2">
        <v>27.3</v>
      </c>
      <c r="N447" s="2">
        <v>3.3</v>
      </c>
      <c r="O447" s="2">
        <v>4</v>
      </c>
      <c r="P447" s="2">
        <v>2</v>
      </c>
      <c r="Q447" s="2">
        <v>41.6</v>
      </c>
      <c r="R447" s="2" t="str" cm="1">
        <f t="array" ref="R447">_xlfn.IFS(Q447&lt;18.5,"Underweight",
AND(Q447&gt;=18.5,Q447&lt;25),"Normal Weight",
AND(Q447&gt;=25,Q447&lt;30),"Overweight",
Q447&gt;=30,"Obesity")</f>
        <v>Obesity</v>
      </c>
      <c r="S447" s="2">
        <f t="shared" si="6"/>
        <v>835.71428571428578</v>
      </c>
      <c r="T447" s="2" t="str" cm="1">
        <f t="array" ref="T447">_xlfn.IFS(N447&lt;=2.5,"Low",N447&lt;=3,"Medium",N447&gt;3,"High")</f>
        <v>High</v>
      </c>
    </row>
    <row r="448" spans="1:20" x14ac:dyDescent="0.3">
      <c r="A448" s="2">
        <v>447</v>
      </c>
      <c r="B448" s="2" t="s">
        <v>26</v>
      </c>
      <c r="C448" s="2">
        <v>19</v>
      </c>
      <c r="D448" s="2" t="s">
        <v>15</v>
      </c>
      <c r="E448" s="2">
        <v>95.1</v>
      </c>
      <c r="F448" s="2">
        <v>1.85</v>
      </c>
      <c r="G448" s="2">
        <v>190</v>
      </c>
      <c r="H448" s="2">
        <v>143</v>
      </c>
      <c r="I448" s="2">
        <v>50</v>
      </c>
      <c r="J448" s="2">
        <v>1.21</v>
      </c>
      <c r="K448" s="2">
        <v>952</v>
      </c>
      <c r="L448" s="2" t="s">
        <v>17</v>
      </c>
      <c r="M448" s="2">
        <v>25.3</v>
      </c>
      <c r="N448" s="2">
        <v>2.2999999999999998</v>
      </c>
      <c r="O448" s="2">
        <v>4</v>
      </c>
      <c r="P448" s="2">
        <v>2</v>
      </c>
      <c r="Q448" s="2">
        <v>27.79</v>
      </c>
      <c r="R448" s="2" t="str" cm="1">
        <f t="array" ref="R448">_xlfn.IFS(Q448&lt;18.5,"Underweight",
AND(Q448&gt;=18.5,Q448&lt;25),"Normal Weight",
AND(Q448&gt;=25,Q448&lt;30),"Overweight",
Q448&gt;=30,"Obesity")</f>
        <v>Overweight</v>
      </c>
      <c r="S448" s="2">
        <f t="shared" si="6"/>
        <v>786.77685950413229</v>
      </c>
      <c r="T448" s="2" t="str" cm="1">
        <f t="array" ref="T448">_xlfn.IFS(N448&lt;=2.5,"Low",N448&lt;=3,"Medium",N448&gt;3,"High")</f>
        <v>Low</v>
      </c>
    </row>
    <row r="449" spans="1:20" x14ac:dyDescent="0.3">
      <c r="A449" s="2">
        <v>448</v>
      </c>
      <c r="B449" s="2" t="s">
        <v>29</v>
      </c>
      <c r="C449" s="2">
        <v>45</v>
      </c>
      <c r="D449" s="2" t="s">
        <v>16</v>
      </c>
      <c r="E449" s="2">
        <v>65.5</v>
      </c>
      <c r="F449" s="2">
        <v>1.57</v>
      </c>
      <c r="G449" s="2">
        <v>192</v>
      </c>
      <c r="H449" s="2">
        <v>133</v>
      </c>
      <c r="I449" s="2">
        <v>59</v>
      </c>
      <c r="J449" s="2">
        <v>0.66</v>
      </c>
      <c r="K449" s="2">
        <v>395</v>
      </c>
      <c r="L449" s="2" t="s">
        <v>19</v>
      </c>
      <c r="M449" s="2">
        <v>34.299999999999997</v>
      </c>
      <c r="N449" s="2">
        <v>2.2999999999999998</v>
      </c>
      <c r="O449" s="2">
        <v>2</v>
      </c>
      <c r="P449" s="2">
        <v>1</v>
      </c>
      <c r="Q449" s="2">
        <v>26.57</v>
      </c>
      <c r="R449" s="2" t="str" cm="1">
        <f t="array" ref="R449">_xlfn.IFS(Q449&lt;18.5,"Underweight",
AND(Q449&gt;=18.5,Q449&lt;25),"Normal Weight",
AND(Q449&gt;=25,Q449&lt;30),"Overweight",
Q449&gt;=30,"Obesity")</f>
        <v>Overweight</v>
      </c>
      <c r="S449" s="2">
        <f t="shared" si="6"/>
        <v>598.4848484848485</v>
      </c>
      <c r="T449" s="2" t="str" cm="1">
        <f t="array" ref="T449">_xlfn.IFS(N449&lt;=2.5,"Low",N449&lt;=3,"Medium",N449&gt;3,"High")</f>
        <v>Low</v>
      </c>
    </row>
    <row r="450" spans="1:20" x14ac:dyDescent="0.3">
      <c r="A450" s="2">
        <v>449</v>
      </c>
      <c r="B450" s="2" t="s">
        <v>29</v>
      </c>
      <c r="C450" s="2">
        <v>49</v>
      </c>
      <c r="D450" s="2" t="s">
        <v>15</v>
      </c>
      <c r="E450" s="2">
        <v>105.7</v>
      </c>
      <c r="F450" s="2">
        <v>1.64</v>
      </c>
      <c r="G450" s="2">
        <v>198</v>
      </c>
      <c r="H450" s="2">
        <v>155</v>
      </c>
      <c r="I450" s="2">
        <v>59</v>
      </c>
      <c r="J450" s="2">
        <v>1.2</v>
      </c>
      <c r="K450" s="2">
        <v>921</v>
      </c>
      <c r="L450" s="2" t="s">
        <v>19</v>
      </c>
      <c r="M450" s="2">
        <v>29.5</v>
      </c>
      <c r="N450" s="2">
        <v>3.1</v>
      </c>
      <c r="O450" s="2">
        <v>3</v>
      </c>
      <c r="P450" s="2">
        <v>2</v>
      </c>
      <c r="Q450" s="2">
        <v>39.299999999999997</v>
      </c>
      <c r="R450" s="2" t="str" cm="1">
        <f t="array" ref="R450">_xlfn.IFS(Q450&lt;18.5,"Underweight",
AND(Q450&gt;=18.5,Q450&lt;25),"Normal Weight",
AND(Q450&gt;=25,Q450&lt;30),"Overweight",
Q450&gt;=30,"Obesity")</f>
        <v>Obesity</v>
      </c>
      <c r="S450" s="2">
        <f t="shared" si="6"/>
        <v>767.5</v>
      </c>
      <c r="T450" s="2" t="str" cm="1">
        <f t="array" ref="T450">_xlfn.IFS(N450&lt;=2.5,"Low",N450&lt;=3,"Medium",N450&gt;3,"High")</f>
        <v>High</v>
      </c>
    </row>
    <row r="451" spans="1:20" x14ac:dyDescent="0.3">
      <c r="A451" s="2">
        <v>450</v>
      </c>
      <c r="B451" s="2" t="s">
        <v>26</v>
      </c>
      <c r="C451" s="2">
        <v>44</v>
      </c>
      <c r="D451" s="2" t="s">
        <v>16</v>
      </c>
      <c r="E451" s="2">
        <v>48</v>
      </c>
      <c r="F451" s="2">
        <v>1.76</v>
      </c>
      <c r="G451" s="2">
        <v>189</v>
      </c>
      <c r="H451" s="2">
        <v>124</v>
      </c>
      <c r="I451" s="2">
        <v>52</v>
      </c>
      <c r="J451" s="2">
        <v>0.88</v>
      </c>
      <c r="K451" s="2">
        <v>491</v>
      </c>
      <c r="L451" s="2" t="s">
        <v>17</v>
      </c>
      <c r="M451" s="2">
        <v>28.6</v>
      </c>
      <c r="N451" s="2">
        <v>2.6</v>
      </c>
      <c r="O451" s="2">
        <v>2</v>
      </c>
      <c r="P451" s="2">
        <v>1</v>
      </c>
      <c r="Q451" s="2">
        <v>15.5</v>
      </c>
      <c r="R451" s="2" t="str" cm="1">
        <f t="array" ref="R451">_xlfn.IFS(Q451&lt;18.5,"Underweight",
AND(Q451&gt;=18.5,Q451&lt;25),"Normal Weight",
AND(Q451&gt;=25,Q451&lt;30),"Overweight",
Q451&gt;=30,"Obesity")</f>
        <v>Underweight</v>
      </c>
      <c r="S451" s="2">
        <f t="shared" ref="S451:S514" si="7">K451/J451</f>
        <v>557.9545454545455</v>
      </c>
      <c r="T451" s="2" t="str" cm="1">
        <f t="array" ref="T451">_xlfn.IFS(N451&lt;=2.5,"Low",N451&lt;=3,"Medium",N451&gt;3,"High")</f>
        <v>Medium</v>
      </c>
    </row>
    <row r="452" spans="1:20" x14ac:dyDescent="0.3">
      <c r="A452" s="2">
        <v>451</v>
      </c>
      <c r="B452" s="2" t="s">
        <v>24</v>
      </c>
      <c r="C452" s="2">
        <v>37</v>
      </c>
      <c r="D452" s="2" t="s">
        <v>16</v>
      </c>
      <c r="E452" s="2">
        <v>69.5</v>
      </c>
      <c r="F452" s="2">
        <v>1.5</v>
      </c>
      <c r="G452" s="2">
        <v>196</v>
      </c>
      <c r="H452" s="2">
        <v>130</v>
      </c>
      <c r="I452" s="2">
        <v>66</v>
      </c>
      <c r="J452" s="2">
        <v>0.69</v>
      </c>
      <c r="K452" s="2">
        <v>448</v>
      </c>
      <c r="L452" s="2" t="s">
        <v>19</v>
      </c>
      <c r="M452" s="2">
        <v>32.799999999999997</v>
      </c>
      <c r="N452" s="2">
        <v>2.4</v>
      </c>
      <c r="O452" s="2">
        <v>2</v>
      </c>
      <c r="P452" s="2">
        <v>1</v>
      </c>
      <c r="Q452" s="2">
        <v>30.89</v>
      </c>
      <c r="R452" s="2" t="str" cm="1">
        <f t="array" ref="R452">_xlfn.IFS(Q452&lt;18.5,"Underweight",
AND(Q452&gt;=18.5,Q452&lt;25),"Normal Weight",
AND(Q452&gt;=25,Q452&lt;30),"Overweight",
Q452&gt;=30,"Obesity")</f>
        <v>Obesity</v>
      </c>
      <c r="S452" s="2">
        <f t="shared" si="7"/>
        <v>649.27536231884062</v>
      </c>
      <c r="T452" s="2" t="str" cm="1">
        <f t="array" ref="T452">_xlfn.IFS(N452&lt;=2.5,"Low",N452&lt;=3,"Medium",N452&gt;3,"High")</f>
        <v>Low</v>
      </c>
    </row>
    <row r="453" spans="1:20" x14ac:dyDescent="0.3">
      <c r="A453" s="2">
        <v>452</v>
      </c>
      <c r="B453" s="2" t="s">
        <v>26</v>
      </c>
      <c r="C453" s="2">
        <v>41</v>
      </c>
      <c r="D453" s="2" t="s">
        <v>15</v>
      </c>
      <c r="E453" s="2">
        <v>66.099999999999994</v>
      </c>
      <c r="F453" s="2">
        <v>1.69</v>
      </c>
      <c r="G453" s="2">
        <v>187</v>
      </c>
      <c r="H453" s="2">
        <v>143</v>
      </c>
      <c r="I453" s="2">
        <v>68</v>
      </c>
      <c r="J453" s="2">
        <v>0.77</v>
      </c>
      <c r="K453" s="2">
        <v>545</v>
      </c>
      <c r="L453" s="2" t="s">
        <v>17</v>
      </c>
      <c r="M453" s="2">
        <v>27.4</v>
      </c>
      <c r="N453" s="2">
        <v>3.4</v>
      </c>
      <c r="O453" s="2">
        <v>2</v>
      </c>
      <c r="P453" s="2">
        <v>1</v>
      </c>
      <c r="Q453" s="2">
        <v>23.14</v>
      </c>
      <c r="R453" s="2" t="str" cm="1">
        <f t="array" ref="R453">_xlfn.IFS(Q453&lt;18.5,"Underweight",
AND(Q453&gt;=18.5,Q453&lt;25),"Normal Weight",
AND(Q453&gt;=25,Q453&lt;30),"Overweight",
Q453&gt;=30,"Obesity")</f>
        <v>Normal Weight</v>
      </c>
      <c r="S453" s="2">
        <f t="shared" si="7"/>
        <v>707.79220779220782</v>
      </c>
      <c r="T453" s="2" t="str" cm="1">
        <f t="array" ref="T453">_xlfn.IFS(N453&lt;=2.5,"Low",N453&lt;=3,"Medium",N453&gt;3,"High")</f>
        <v>High</v>
      </c>
    </row>
    <row r="454" spans="1:20" x14ac:dyDescent="0.3">
      <c r="A454" s="2">
        <v>453</v>
      </c>
      <c r="B454" s="2" t="s">
        <v>29</v>
      </c>
      <c r="C454" s="2">
        <v>29</v>
      </c>
      <c r="D454" s="2" t="s">
        <v>15</v>
      </c>
      <c r="E454" s="2">
        <v>68</v>
      </c>
      <c r="F454" s="2">
        <v>1.7</v>
      </c>
      <c r="G454" s="2">
        <v>190</v>
      </c>
      <c r="H454" s="2">
        <v>150</v>
      </c>
      <c r="I454" s="2">
        <v>60</v>
      </c>
      <c r="J454" s="2">
        <v>0.76</v>
      </c>
      <c r="K454" s="2">
        <v>627</v>
      </c>
      <c r="L454" s="2" t="s">
        <v>18</v>
      </c>
      <c r="M454" s="2">
        <v>28.9</v>
      </c>
      <c r="N454" s="2">
        <v>2.9</v>
      </c>
      <c r="O454" s="2">
        <v>2</v>
      </c>
      <c r="P454" s="2">
        <v>1</v>
      </c>
      <c r="Q454" s="2">
        <v>23.53</v>
      </c>
      <c r="R454" s="2" t="str" cm="1">
        <f t="array" ref="R454">_xlfn.IFS(Q454&lt;18.5,"Underweight",
AND(Q454&gt;=18.5,Q454&lt;25),"Normal Weight",
AND(Q454&gt;=25,Q454&lt;30),"Overweight",
Q454&gt;=30,"Obesity")</f>
        <v>Normal Weight</v>
      </c>
      <c r="S454" s="2">
        <f t="shared" si="7"/>
        <v>825</v>
      </c>
      <c r="T454" s="2" t="str" cm="1">
        <f t="array" ref="T454">_xlfn.IFS(N454&lt;=2.5,"Low",N454&lt;=3,"Medium",N454&gt;3,"High")</f>
        <v>Medium</v>
      </c>
    </row>
    <row r="455" spans="1:20" x14ac:dyDescent="0.3">
      <c r="A455" s="2">
        <v>454</v>
      </c>
      <c r="B455" s="2" t="s">
        <v>29</v>
      </c>
      <c r="C455" s="2">
        <v>52</v>
      </c>
      <c r="D455" s="2" t="s">
        <v>15</v>
      </c>
      <c r="E455" s="2">
        <v>50.3</v>
      </c>
      <c r="F455" s="2">
        <v>1.78</v>
      </c>
      <c r="G455" s="2">
        <v>170</v>
      </c>
      <c r="H455" s="2">
        <v>132</v>
      </c>
      <c r="I455" s="2">
        <v>67</v>
      </c>
      <c r="J455" s="2">
        <v>0.85</v>
      </c>
      <c r="K455" s="2">
        <v>555</v>
      </c>
      <c r="L455" s="2" t="s">
        <v>18</v>
      </c>
      <c r="M455" s="2">
        <v>24.5</v>
      </c>
      <c r="N455" s="2">
        <v>2.2999999999999998</v>
      </c>
      <c r="O455" s="2">
        <v>2</v>
      </c>
      <c r="P455" s="2">
        <v>1</v>
      </c>
      <c r="Q455" s="2">
        <v>15.88</v>
      </c>
      <c r="R455" s="2" t="str" cm="1">
        <f t="array" ref="R455">_xlfn.IFS(Q455&lt;18.5,"Underweight",
AND(Q455&gt;=18.5,Q455&lt;25),"Normal Weight",
AND(Q455&gt;=25,Q455&lt;30),"Overweight",
Q455&gt;=30,"Obesity")</f>
        <v>Underweight</v>
      </c>
      <c r="S455" s="2">
        <f t="shared" si="7"/>
        <v>652.94117647058829</v>
      </c>
      <c r="T455" s="2" t="str" cm="1">
        <f t="array" ref="T455">_xlfn.IFS(N455&lt;=2.5,"Low",N455&lt;=3,"Medium",N455&gt;3,"High")</f>
        <v>Low</v>
      </c>
    </row>
    <row r="456" spans="1:20" x14ac:dyDescent="0.3">
      <c r="A456" s="2">
        <v>455</v>
      </c>
      <c r="B456" s="2" t="s">
        <v>23</v>
      </c>
      <c r="C456" s="2">
        <v>50</v>
      </c>
      <c r="D456" s="2" t="s">
        <v>16</v>
      </c>
      <c r="E456" s="2">
        <v>69.3</v>
      </c>
      <c r="F456" s="2">
        <v>1.68</v>
      </c>
      <c r="G456" s="2">
        <v>182</v>
      </c>
      <c r="H456" s="2">
        <v>135</v>
      </c>
      <c r="I456" s="2">
        <v>51</v>
      </c>
      <c r="J456" s="2">
        <v>1.2</v>
      </c>
      <c r="K456" s="2">
        <v>729</v>
      </c>
      <c r="L456" s="2" t="s">
        <v>18</v>
      </c>
      <c r="M456" s="2">
        <v>30.3</v>
      </c>
      <c r="N456" s="2">
        <v>2</v>
      </c>
      <c r="O456" s="2">
        <v>2</v>
      </c>
      <c r="P456" s="2">
        <v>1</v>
      </c>
      <c r="Q456" s="2">
        <v>24.55</v>
      </c>
      <c r="R456" s="2" t="str" cm="1">
        <f t="array" ref="R456">_xlfn.IFS(Q456&lt;18.5,"Underweight",
AND(Q456&gt;=18.5,Q456&lt;25),"Normal Weight",
AND(Q456&gt;=25,Q456&lt;30),"Overweight",
Q456&gt;=30,"Obesity")</f>
        <v>Normal Weight</v>
      </c>
      <c r="S456" s="2">
        <f t="shared" si="7"/>
        <v>607.5</v>
      </c>
      <c r="T456" s="2" t="str" cm="1">
        <f t="array" ref="T456">_xlfn.IFS(N456&lt;=2.5,"Low",N456&lt;=3,"Medium",N456&gt;3,"High")</f>
        <v>Low</v>
      </c>
    </row>
    <row r="457" spans="1:20" x14ac:dyDescent="0.3">
      <c r="A457" s="2">
        <v>456</v>
      </c>
      <c r="B457" s="2" t="s">
        <v>25</v>
      </c>
      <c r="C457" s="2">
        <v>50</v>
      </c>
      <c r="D457" s="2" t="s">
        <v>15</v>
      </c>
      <c r="E457" s="2">
        <v>86.7</v>
      </c>
      <c r="F457" s="2">
        <v>1.63</v>
      </c>
      <c r="G457" s="2">
        <v>161</v>
      </c>
      <c r="H457" s="2">
        <v>143</v>
      </c>
      <c r="I457" s="2">
        <v>58</v>
      </c>
      <c r="J457" s="2">
        <v>1.7</v>
      </c>
      <c r="K457" s="2">
        <v>1203</v>
      </c>
      <c r="L457" s="2" t="s">
        <v>19</v>
      </c>
      <c r="M457" s="2">
        <v>12.1</v>
      </c>
      <c r="N457" s="2">
        <v>3.5</v>
      </c>
      <c r="O457" s="2">
        <v>4</v>
      </c>
      <c r="P457" s="2">
        <v>3</v>
      </c>
      <c r="Q457" s="2">
        <v>32.630000000000003</v>
      </c>
      <c r="R457" s="2" t="str" cm="1">
        <f t="array" ref="R457">_xlfn.IFS(Q457&lt;18.5,"Underweight",
AND(Q457&gt;=18.5,Q457&lt;25),"Normal Weight",
AND(Q457&gt;=25,Q457&lt;30),"Overweight",
Q457&gt;=30,"Obesity")</f>
        <v>Obesity</v>
      </c>
      <c r="S457" s="2">
        <f t="shared" si="7"/>
        <v>707.64705882352939</v>
      </c>
      <c r="T457" s="2" t="str" cm="1">
        <f t="array" ref="T457">_xlfn.IFS(N457&lt;=2.5,"Low",N457&lt;=3,"Medium",N457&gt;3,"High")</f>
        <v>High</v>
      </c>
    </row>
    <row r="458" spans="1:20" x14ac:dyDescent="0.3">
      <c r="A458" s="2">
        <v>457</v>
      </c>
      <c r="B458" s="2" t="s">
        <v>28</v>
      </c>
      <c r="C458" s="2">
        <v>54</v>
      </c>
      <c r="D458" s="2" t="s">
        <v>15</v>
      </c>
      <c r="E458" s="2">
        <v>125.9</v>
      </c>
      <c r="F458" s="2">
        <v>1.94</v>
      </c>
      <c r="G458" s="2">
        <v>199</v>
      </c>
      <c r="H458" s="2">
        <v>132</v>
      </c>
      <c r="I458" s="2">
        <v>73</v>
      </c>
      <c r="J458" s="2">
        <v>1.35</v>
      </c>
      <c r="K458" s="2">
        <v>882</v>
      </c>
      <c r="L458" s="2" t="s">
        <v>20</v>
      </c>
      <c r="M458" s="2">
        <v>28.5</v>
      </c>
      <c r="N458" s="2">
        <v>2.9</v>
      </c>
      <c r="O458" s="2">
        <v>3</v>
      </c>
      <c r="P458" s="2">
        <v>2</v>
      </c>
      <c r="Q458" s="2">
        <v>33.450000000000003</v>
      </c>
      <c r="R458" s="2" t="str" cm="1">
        <f t="array" ref="R458">_xlfn.IFS(Q458&lt;18.5,"Underweight",
AND(Q458&gt;=18.5,Q458&lt;25),"Normal Weight",
AND(Q458&gt;=25,Q458&lt;30),"Overweight",
Q458&gt;=30,"Obesity")</f>
        <v>Obesity</v>
      </c>
      <c r="S458" s="2">
        <f t="shared" si="7"/>
        <v>653.33333333333326</v>
      </c>
      <c r="T458" s="2" t="str" cm="1">
        <f t="array" ref="T458">_xlfn.IFS(N458&lt;=2.5,"Low",N458&lt;=3,"Medium",N458&gt;3,"High")</f>
        <v>Medium</v>
      </c>
    </row>
    <row r="459" spans="1:20" x14ac:dyDescent="0.3">
      <c r="A459" s="2">
        <v>458</v>
      </c>
      <c r="B459" s="2" t="s">
        <v>26</v>
      </c>
      <c r="C459" s="2">
        <v>29</v>
      </c>
      <c r="D459" s="2" t="s">
        <v>15</v>
      </c>
      <c r="E459" s="2">
        <v>88.1</v>
      </c>
      <c r="F459" s="2">
        <v>1.93</v>
      </c>
      <c r="G459" s="2">
        <v>186</v>
      </c>
      <c r="H459" s="2">
        <v>143</v>
      </c>
      <c r="I459" s="2">
        <v>66</v>
      </c>
      <c r="J459" s="2">
        <v>1.88</v>
      </c>
      <c r="K459" s="2">
        <v>1479</v>
      </c>
      <c r="L459" s="2" t="s">
        <v>19</v>
      </c>
      <c r="M459" s="2">
        <v>11.1</v>
      </c>
      <c r="N459" s="2">
        <v>3.5</v>
      </c>
      <c r="O459" s="2">
        <v>5</v>
      </c>
      <c r="P459" s="2">
        <v>3</v>
      </c>
      <c r="Q459" s="2">
        <v>23.65</v>
      </c>
      <c r="R459" s="2" t="str" cm="1">
        <f t="array" ref="R459">_xlfn.IFS(Q459&lt;18.5,"Underweight",
AND(Q459&gt;=18.5,Q459&lt;25),"Normal Weight",
AND(Q459&gt;=25,Q459&lt;30),"Overweight",
Q459&gt;=30,"Obesity")</f>
        <v>Normal Weight</v>
      </c>
      <c r="S459" s="2">
        <f t="shared" si="7"/>
        <v>786.70212765957456</v>
      </c>
      <c r="T459" s="2" t="str" cm="1">
        <f t="array" ref="T459">_xlfn.IFS(N459&lt;=2.5,"Low",N459&lt;=3,"Medium",N459&gt;3,"High")</f>
        <v>High</v>
      </c>
    </row>
    <row r="460" spans="1:20" x14ac:dyDescent="0.3">
      <c r="A460" s="2">
        <v>459</v>
      </c>
      <c r="B460" s="2" t="s">
        <v>28</v>
      </c>
      <c r="C460" s="2">
        <v>20</v>
      </c>
      <c r="D460" s="2" t="s">
        <v>15</v>
      </c>
      <c r="E460" s="2">
        <v>124.3</v>
      </c>
      <c r="F460" s="2">
        <v>1.82</v>
      </c>
      <c r="G460" s="2">
        <v>194</v>
      </c>
      <c r="H460" s="2">
        <v>145</v>
      </c>
      <c r="I460" s="2">
        <v>63</v>
      </c>
      <c r="J460" s="2">
        <v>1.25</v>
      </c>
      <c r="K460" s="2">
        <v>997</v>
      </c>
      <c r="L460" s="2" t="s">
        <v>19</v>
      </c>
      <c r="M460" s="2">
        <v>22.4</v>
      </c>
      <c r="N460" s="2">
        <v>3.2</v>
      </c>
      <c r="O460" s="2">
        <v>3</v>
      </c>
      <c r="P460" s="2">
        <v>2</v>
      </c>
      <c r="Q460" s="2">
        <v>37.53</v>
      </c>
      <c r="R460" s="2" t="str" cm="1">
        <f t="array" ref="R460">_xlfn.IFS(Q460&lt;18.5,"Underweight",
AND(Q460&gt;=18.5,Q460&lt;25),"Normal Weight",
AND(Q460&gt;=25,Q460&lt;30),"Overweight",
Q460&gt;=30,"Obesity")</f>
        <v>Obesity</v>
      </c>
      <c r="S460" s="2">
        <f t="shared" si="7"/>
        <v>797.6</v>
      </c>
      <c r="T460" s="2" t="str" cm="1">
        <f t="array" ref="T460">_xlfn.IFS(N460&lt;=2.5,"Low",N460&lt;=3,"Medium",N460&gt;3,"High")</f>
        <v>High</v>
      </c>
    </row>
    <row r="461" spans="1:20" x14ac:dyDescent="0.3">
      <c r="A461" s="2">
        <v>460</v>
      </c>
      <c r="B461" s="2" t="s">
        <v>26</v>
      </c>
      <c r="C461" s="2">
        <v>18</v>
      </c>
      <c r="D461" s="2" t="s">
        <v>15</v>
      </c>
      <c r="E461" s="2">
        <v>62</v>
      </c>
      <c r="F461" s="2">
        <v>1.85</v>
      </c>
      <c r="G461" s="2">
        <v>161</v>
      </c>
      <c r="H461" s="2">
        <v>121</v>
      </c>
      <c r="I461" s="2">
        <v>53</v>
      </c>
      <c r="J461" s="2">
        <v>0.88</v>
      </c>
      <c r="K461" s="2">
        <v>586</v>
      </c>
      <c r="L461" s="2" t="s">
        <v>20</v>
      </c>
      <c r="M461" s="2">
        <v>23.7</v>
      </c>
      <c r="N461" s="2">
        <v>3</v>
      </c>
      <c r="O461" s="2">
        <v>3</v>
      </c>
      <c r="P461" s="2">
        <v>1</v>
      </c>
      <c r="Q461" s="2">
        <v>18.12</v>
      </c>
      <c r="R461" s="2" t="str" cm="1">
        <f t="array" ref="R461">_xlfn.IFS(Q461&lt;18.5,"Underweight",
AND(Q461&gt;=18.5,Q461&lt;25),"Normal Weight",
AND(Q461&gt;=25,Q461&lt;30),"Overweight",
Q461&gt;=30,"Obesity")</f>
        <v>Underweight</v>
      </c>
      <c r="S461" s="2">
        <f t="shared" si="7"/>
        <v>665.90909090909088</v>
      </c>
      <c r="T461" s="2" t="str" cm="1">
        <f t="array" ref="T461">_xlfn.IFS(N461&lt;=2.5,"Low",N461&lt;=3,"Medium",N461&gt;3,"High")</f>
        <v>Medium</v>
      </c>
    </row>
    <row r="462" spans="1:20" x14ac:dyDescent="0.3">
      <c r="A462" s="2">
        <v>461</v>
      </c>
      <c r="B462" s="2" t="s">
        <v>21</v>
      </c>
      <c r="C462" s="2">
        <v>50</v>
      </c>
      <c r="D462" s="2" t="s">
        <v>16</v>
      </c>
      <c r="E462" s="2">
        <v>69.7</v>
      </c>
      <c r="F462" s="2">
        <v>1.72</v>
      </c>
      <c r="G462" s="2">
        <v>198</v>
      </c>
      <c r="H462" s="2">
        <v>135</v>
      </c>
      <c r="I462" s="2">
        <v>66</v>
      </c>
      <c r="J462" s="2">
        <v>1.24</v>
      </c>
      <c r="K462" s="2">
        <v>753</v>
      </c>
      <c r="L462" s="2" t="s">
        <v>20</v>
      </c>
      <c r="M462" s="2">
        <v>27.3</v>
      </c>
      <c r="N462" s="2">
        <v>2</v>
      </c>
      <c r="O462" s="2">
        <v>4</v>
      </c>
      <c r="P462" s="2">
        <v>2</v>
      </c>
      <c r="Q462" s="2">
        <v>23.56</v>
      </c>
      <c r="R462" s="2" t="str" cm="1">
        <f t="array" ref="R462">_xlfn.IFS(Q462&lt;18.5,"Underweight",
AND(Q462&gt;=18.5,Q462&lt;25),"Normal Weight",
AND(Q462&gt;=25,Q462&lt;30),"Overweight",
Q462&gt;=30,"Obesity")</f>
        <v>Normal Weight</v>
      </c>
      <c r="S462" s="2">
        <f t="shared" si="7"/>
        <v>607.25806451612902</v>
      </c>
      <c r="T462" s="2" t="str" cm="1">
        <f t="array" ref="T462">_xlfn.IFS(N462&lt;=2.5,"Low",N462&lt;=3,"Medium",N462&gt;3,"High")</f>
        <v>Low</v>
      </c>
    </row>
    <row r="463" spans="1:20" x14ac:dyDescent="0.3">
      <c r="A463" s="2">
        <v>462</v>
      </c>
      <c r="B463" s="2" t="s">
        <v>29</v>
      </c>
      <c r="C463" s="2">
        <v>57</v>
      </c>
      <c r="D463" s="2" t="s">
        <v>16</v>
      </c>
      <c r="E463" s="2">
        <v>60.9</v>
      </c>
      <c r="F463" s="2">
        <v>1.52</v>
      </c>
      <c r="G463" s="2">
        <v>196</v>
      </c>
      <c r="H463" s="2">
        <v>157</v>
      </c>
      <c r="I463" s="2">
        <v>66</v>
      </c>
      <c r="J463" s="2">
        <v>1.31</v>
      </c>
      <c r="K463" s="2">
        <v>926</v>
      </c>
      <c r="L463" s="2" t="s">
        <v>20</v>
      </c>
      <c r="M463" s="2">
        <v>30.6</v>
      </c>
      <c r="N463" s="2">
        <v>1.8</v>
      </c>
      <c r="O463" s="2">
        <v>3</v>
      </c>
      <c r="P463" s="2">
        <v>2</v>
      </c>
      <c r="Q463" s="2">
        <v>26.36</v>
      </c>
      <c r="R463" s="2" t="str" cm="1">
        <f t="array" ref="R463">_xlfn.IFS(Q463&lt;18.5,"Underweight",
AND(Q463&gt;=18.5,Q463&lt;25),"Normal Weight",
AND(Q463&gt;=25,Q463&lt;30),"Overweight",
Q463&gt;=30,"Obesity")</f>
        <v>Overweight</v>
      </c>
      <c r="S463" s="2">
        <f t="shared" si="7"/>
        <v>706.87022900763361</v>
      </c>
      <c r="T463" s="2" t="str" cm="1">
        <f t="array" ref="T463">_xlfn.IFS(N463&lt;=2.5,"Low",N463&lt;=3,"Medium",N463&gt;3,"High")</f>
        <v>Low</v>
      </c>
    </row>
    <row r="464" spans="1:20" x14ac:dyDescent="0.3">
      <c r="A464" s="2">
        <v>463</v>
      </c>
      <c r="B464" s="2" t="s">
        <v>25</v>
      </c>
      <c r="C464" s="2">
        <v>27</v>
      </c>
      <c r="D464" s="2" t="s">
        <v>15</v>
      </c>
      <c r="E464" s="2">
        <v>76.5</v>
      </c>
      <c r="F464" s="2">
        <v>1.97</v>
      </c>
      <c r="G464" s="2">
        <v>180</v>
      </c>
      <c r="H464" s="2">
        <v>165</v>
      </c>
      <c r="I464" s="2">
        <v>61</v>
      </c>
      <c r="J464" s="2">
        <v>1.1299999999999999</v>
      </c>
      <c r="K464" s="2">
        <v>1025</v>
      </c>
      <c r="L464" s="2" t="s">
        <v>20</v>
      </c>
      <c r="M464" s="2">
        <v>21.3</v>
      </c>
      <c r="N464" s="2">
        <v>2.2999999999999998</v>
      </c>
      <c r="O464" s="2">
        <v>2</v>
      </c>
      <c r="P464" s="2">
        <v>1</v>
      </c>
      <c r="Q464" s="2">
        <v>19.71</v>
      </c>
      <c r="R464" s="2" t="str" cm="1">
        <f t="array" ref="R464">_xlfn.IFS(Q464&lt;18.5,"Underweight",
AND(Q464&gt;=18.5,Q464&lt;25),"Normal Weight",
AND(Q464&gt;=25,Q464&lt;30),"Overweight",
Q464&gt;=30,"Obesity")</f>
        <v>Normal Weight</v>
      </c>
      <c r="S464" s="2">
        <f t="shared" si="7"/>
        <v>907.07964601769925</v>
      </c>
      <c r="T464" s="2" t="str" cm="1">
        <f t="array" ref="T464">_xlfn.IFS(N464&lt;=2.5,"Low",N464&lt;=3,"Medium",N464&gt;3,"High")</f>
        <v>Low</v>
      </c>
    </row>
    <row r="465" spans="1:20" x14ac:dyDescent="0.3">
      <c r="A465" s="2">
        <v>464</v>
      </c>
      <c r="B465" s="2" t="s">
        <v>23</v>
      </c>
      <c r="C465" s="2">
        <v>46</v>
      </c>
      <c r="D465" s="2" t="s">
        <v>15</v>
      </c>
      <c r="E465" s="2">
        <v>94.7</v>
      </c>
      <c r="F465" s="2">
        <v>1.82</v>
      </c>
      <c r="G465" s="2">
        <v>164</v>
      </c>
      <c r="H465" s="2">
        <v>120</v>
      </c>
      <c r="I465" s="2">
        <v>69</v>
      </c>
      <c r="J465" s="2">
        <v>1.47</v>
      </c>
      <c r="K465" s="2">
        <v>873</v>
      </c>
      <c r="L465" s="2" t="s">
        <v>19</v>
      </c>
      <c r="M465" s="2">
        <v>23.2</v>
      </c>
      <c r="N465" s="2">
        <v>3.2</v>
      </c>
      <c r="O465" s="2">
        <v>3</v>
      </c>
      <c r="P465" s="2">
        <v>2</v>
      </c>
      <c r="Q465" s="2">
        <v>28.59</v>
      </c>
      <c r="R465" s="2" t="str" cm="1">
        <f t="array" ref="R465">_xlfn.IFS(Q465&lt;18.5,"Underweight",
AND(Q465&gt;=18.5,Q465&lt;25),"Normal Weight",
AND(Q465&gt;=25,Q465&lt;30),"Overweight",
Q465&gt;=30,"Obesity")</f>
        <v>Overweight</v>
      </c>
      <c r="S465" s="2">
        <f t="shared" si="7"/>
        <v>593.87755102040819</v>
      </c>
      <c r="T465" s="2" t="str" cm="1">
        <f t="array" ref="T465">_xlfn.IFS(N465&lt;=2.5,"Low",N465&lt;=3,"Medium",N465&gt;3,"High")</f>
        <v>High</v>
      </c>
    </row>
    <row r="466" spans="1:20" x14ac:dyDescent="0.3">
      <c r="A466" s="2">
        <v>465</v>
      </c>
      <c r="B466" s="2" t="s">
        <v>25</v>
      </c>
      <c r="C466" s="2">
        <v>30</v>
      </c>
      <c r="D466" s="2" t="s">
        <v>15</v>
      </c>
      <c r="E466" s="2">
        <v>67.900000000000006</v>
      </c>
      <c r="F466" s="2">
        <v>1.75</v>
      </c>
      <c r="G466" s="2">
        <v>180</v>
      </c>
      <c r="H466" s="2">
        <v>168</v>
      </c>
      <c r="I466" s="2">
        <v>67</v>
      </c>
      <c r="J466" s="2">
        <v>1.25</v>
      </c>
      <c r="K466" s="2">
        <v>1155</v>
      </c>
      <c r="L466" s="2" t="s">
        <v>17</v>
      </c>
      <c r="M466" s="2">
        <v>29.1</v>
      </c>
      <c r="N466" s="2">
        <v>3.1</v>
      </c>
      <c r="O466" s="2">
        <v>2</v>
      </c>
      <c r="P466" s="2">
        <v>1</v>
      </c>
      <c r="Q466" s="2">
        <v>22.17</v>
      </c>
      <c r="R466" s="2" t="str" cm="1">
        <f t="array" ref="R466">_xlfn.IFS(Q466&lt;18.5,"Underweight",
AND(Q466&gt;=18.5,Q466&lt;25),"Normal Weight",
AND(Q466&gt;=25,Q466&lt;30),"Overweight",
Q466&gt;=30,"Obesity")</f>
        <v>Normal Weight</v>
      </c>
      <c r="S466" s="2">
        <f t="shared" si="7"/>
        <v>924</v>
      </c>
      <c r="T466" s="2" t="str" cm="1">
        <f t="array" ref="T466">_xlfn.IFS(N466&lt;=2.5,"Low",N466&lt;=3,"Medium",N466&gt;3,"High")</f>
        <v>High</v>
      </c>
    </row>
    <row r="467" spans="1:20" x14ac:dyDescent="0.3">
      <c r="A467" s="2">
        <v>466</v>
      </c>
      <c r="B467" s="2" t="s">
        <v>25</v>
      </c>
      <c r="C467" s="2">
        <v>29</v>
      </c>
      <c r="D467" s="2" t="s">
        <v>15</v>
      </c>
      <c r="E467" s="2">
        <v>121.1</v>
      </c>
      <c r="F467" s="2">
        <v>1.87</v>
      </c>
      <c r="G467" s="2">
        <v>188</v>
      </c>
      <c r="H467" s="2">
        <v>130</v>
      </c>
      <c r="I467" s="2">
        <v>52</v>
      </c>
      <c r="J467" s="2">
        <v>1.31</v>
      </c>
      <c r="K467" s="2">
        <v>937</v>
      </c>
      <c r="L467" s="2" t="s">
        <v>18</v>
      </c>
      <c r="M467" s="2">
        <v>24.1</v>
      </c>
      <c r="N467" s="2">
        <v>3.2</v>
      </c>
      <c r="O467" s="2">
        <v>4</v>
      </c>
      <c r="P467" s="2">
        <v>2</v>
      </c>
      <c r="Q467" s="2">
        <v>34.630000000000003</v>
      </c>
      <c r="R467" s="2" t="str" cm="1">
        <f t="array" ref="R467">_xlfn.IFS(Q467&lt;18.5,"Underweight",
AND(Q467&gt;=18.5,Q467&lt;25),"Normal Weight",
AND(Q467&gt;=25,Q467&lt;30),"Overweight",
Q467&gt;=30,"Obesity")</f>
        <v>Obesity</v>
      </c>
      <c r="S467" s="2">
        <f t="shared" si="7"/>
        <v>715.26717557251902</v>
      </c>
      <c r="T467" s="2" t="str" cm="1">
        <f t="array" ref="T467">_xlfn.IFS(N467&lt;=2.5,"Low",N467&lt;=3,"Medium",N467&gt;3,"High")</f>
        <v>High</v>
      </c>
    </row>
    <row r="468" spans="1:20" x14ac:dyDescent="0.3">
      <c r="A468" s="2">
        <v>467</v>
      </c>
      <c r="B468" s="2" t="s">
        <v>25</v>
      </c>
      <c r="C468" s="2">
        <v>48</v>
      </c>
      <c r="D468" s="2" t="s">
        <v>16</v>
      </c>
      <c r="E468" s="2">
        <v>71.5</v>
      </c>
      <c r="F468" s="2">
        <v>1.64</v>
      </c>
      <c r="G468" s="2">
        <v>179</v>
      </c>
      <c r="H468" s="2">
        <v>154</v>
      </c>
      <c r="I468" s="2">
        <v>60</v>
      </c>
      <c r="J468" s="2">
        <v>1.46</v>
      </c>
      <c r="K468" s="2">
        <v>1012</v>
      </c>
      <c r="L468" s="2" t="s">
        <v>17</v>
      </c>
      <c r="M468" s="2">
        <v>32.5</v>
      </c>
      <c r="N468" s="2">
        <v>1.9</v>
      </c>
      <c r="O468" s="2">
        <v>4</v>
      </c>
      <c r="P468" s="2">
        <v>2</v>
      </c>
      <c r="Q468" s="2">
        <v>26.58</v>
      </c>
      <c r="R468" s="2" t="str" cm="1">
        <f t="array" ref="R468">_xlfn.IFS(Q468&lt;18.5,"Underweight",
AND(Q468&gt;=18.5,Q468&lt;25),"Normal Weight",
AND(Q468&gt;=25,Q468&lt;30),"Overweight",
Q468&gt;=30,"Obesity")</f>
        <v>Overweight</v>
      </c>
      <c r="S468" s="2">
        <f t="shared" si="7"/>
        <v>693.15068493150682</v>
      </c>
      <c r="T468" s="2" t="str" cm="1">
        <f t="array" ref="T468">_xlfn.IFS(N468&lt;=2.5,"Low",N468&lt;=3,"Medium",N468&gt;3,"High")</f>
        <v>Low</v>
      </c>
    </row>
    <row r="469" spans="1:20" x14ac:dyDescent="0.3">
      <c r="A469" s="2">
        <v>468</v>
      </c>
      <c r="B469" s="2" t="s">
        <v>28</v>
      </c>
      <c r="C469" s="2">
        <v>19</v>
      </c>
      <c r="D469" s="2" t="s">
        <v>15</v>
      </c>
      <c r="E469" s="2">
        <v>98.6</v>
      </c>
      <c r="F469" s="2">
        <v>1.7</v>
      </c>
      <c r="G469" s="2">
        <v>197</v>
      </c>
      <c r="H469" s="2">
        <v>162</v>
      </c>
      <c r="I469" s="2">
        <v>74</v>
      </c>
      <c r="J469" s="2">
        <v>0.83</v>
      </c>
      <c r="K469" s="2">
        <v>740</v>
      </c>
      <c r="L469" s="2" t="s">
        <v>19</v>
      </c>
      <c r="M469" s="2">
        <v>21.1</v>
      </c>
      <c r="N469" s="2">
        <v>2.4</v>
      </c>
      <c r="O469" s="2">
        <v>2</v>
      </c>
      <c r="P469" s="2">
        <v>1</v>
      </c>
      <c r="Q469" s="2">
        <v>34.119999999999997</v>
      </c>
      <c r="R469" s="2" t="str" cm="1">
        <f t="array" ref="R469">_xlfn.IFS(Q469&lt;18.5,"Underweight",
AND(Q469&gt;=18.5,Q469&lt;25),"Normal Weight",
AND(Q469&gt;=25,Q469&lt;30),"Overweight",
Q469&gt;=30,"Obesity")</f>
        <v>Obesity</v>
      </c>
      <c r="S469" s="2">
        <f t="shared" si="7"/>
        <v>891.56626506024099</v>
      </c>
      <c r="T469" s="2" t="str" cm="1">
        <f t="array" ref="T469">_xlfn.IFS(N469&lt;=2.5,"Low",N469&lt;=3,"Medium",N469&gt;3,"High")</f>
        <v>Low</v>
      </c>
    </row>
    <row r="470" spans="1:20" x14ac:dyDescent="0.3">
      <c r="A470" s="2">
        <v>469</v>
      </c>
      <c r="B470" s="2" t="s">
        <v>26</v>
      </c>
      <c r="C470" s="2">
        <v>52</v>
      </c>
      <c r="D470" s="2" t="s">
        <v>16</v>
      </c>
      <c r="E470" s="2">
        <v>68.2</v>
      </c>
      <c r="F470" s="2">
        <v>1.63</v>
      </c>
      <c r="G470" s="2">
        <v>179</v>
      </c>
      <c r="H470" s="2">
        <v>148</v>
      </c>
      <c r="I470" s="2">
        <v>67</v>
      </c>
      <c r="J470" s="2">
        <v>1.17</v>
      </c>
      <c r="K470" s="2">
        <v>779</v>
      </c>
      <c r="L470" s="2" t="s">
        <v>20</v>
      </c>
      <c r="M470" s="2">
        <v>27.5</v>
      </c>
      <c r="N470" s="2">
        <v>2.4</v>
      </c>
      <c r="O470" s="2">
        <v>3</v>
      </c>
      <c r="P470" s="2">
        <v>1</v>
      </c>
      <c r="Q470" s="2">
        <v>25.67</v>
      </c>
      <c r="R470" s="2" t="str" cm="1">
        <f t="array" ref="R470">_xlfn.IFS(Q470&lt;18.5,"Underweight",
AND(Q470&gt;=18.5,Q470&lt;25),"Normal Weight",
AND(Q470&gt;=25,Q470&lt;30),"Overweight",
Q470&gt;=30,"Obesity")</f>
        <v>Overweight</v>
      </c>
      <c r="S470" s="2">
        <f t="shared" si="7"/>
        <v>665.81196581196582</v>
      </c>
      <c r="T470" s="2" t="str" cm="1">
        <f t="array" ref="T470">_xlfn.IFS(N470&lt;=2.5,"Low",N470&lt;=3,"Medium",N470&gt;3,"High")</f>
        <v>Low</v>
      </c>
    </row>
    <row r="471" spans="1:20" x14ac:dyDescent="0.3">
      <c r="A471" s="2">
        <v>470</v>
      </c>
      <c r="B471" s="2" t="s">
        <v>30</v>
      </c>
      <c r="C471" s="2">
        <v>40</v>
      </c>
      <c r="D471" s="2" t="s">
        <v>16</v>
      </c>
      <c r="E471" s="2">
        <v>57.7</v>
      </c>
      <c r="F471" s="2">
        <v>1.69</v>
      </c>
      <c r="G471" s="2">
        <v>184</v>
      </c>
      <c r="H471" s="2">
        <v>156</v>
      </c>
      <c r="I471" s="2">
        <v>53</v>
      </c>
      <c r="J471" s="2">
        <v>1.18</v>
      </c>
      <c r="K471" s="2">
        <v>920</v>
      </c>
      <c r="L471" s="2" t="s">
        <v>18</v>
      </c>
      <c r="M471" s="2">
        <v>33.1</v>
      </c>
      <c r="N471" s="2">
        <v>2.4</v>
      </c>
      <c r="O471" s="2">
        <v>4</v>
      </c>
      <c r="P471" s="2">
        <v>2</v>
      </c>
      <c r="Q471" s="2">
        <v>20.2</v>
      </c>
      <c r="R471" s="2" t="str" cm="1">
        <f t="array" ref="R471">_xlfn.IFS(Q471&lt;18.5,"Underweight",
AND(Q471&gt;=18.5,Q471&lt;25),"Normal Weight",
AND(Q471&gt;=25,Q471&lt;30),"Overweight",
Q471&gt;=30,"Obesity")</f>
        <v>Normal Weight</v>
      </c>
      <c r="S471" s="2">
        <f t="shared" si="7"/>
        <v>779.66101694915255</v>
      </c>
      <c r="T471" s="2" t="str" cm="1">
        <f t="array" ref="T471">_xlfn.IFS(N471&lt;=2.5,"Low",N471&lt;=3,"Medium",N471&gt;3,"High")</f>
        <v>Low</v>
      </c>
    </row>
    <row r="472" spans="1:20" x14ac:dyDescent="0.3">
      <c r="A472" s="2">
        <v>471</v>
      </c>
      <c r="B472" s="2" t="s">
        <v>21</v>
      </c>
      <c r="C472" s="2">
        <v>34</v>
      </c>
      <c r="D472" s="2" t="s">
        <v>15</v>
      </c>
      <c r="E472" s="2">
        <v>124.6</v>
      </c>
      <c r="F472" s="2">
        <v>1.63</v>
      </c>
      <c r="G472" s="2">
        <v>161</v>
      </c>
      <c r="H472" s="2">
        <v>136</v>
      </c>
      <c r="I472" s="2">
        <v>66</v>
      </c>
      <c r="J472" s="2">
        <v>1.41</v>
      </c>
      <c r="K472" s="2">
        <v>1055</v>
      </c>
      <c r="L472" s="2" t="s">
        <v>18</v>
      </c>
      <c r="M472" s="2">
        <v>27.6</v>
      </c>
      <c r="N472" s="2">
        <v>2.8</v>
      </c>
      <c r="O472" s="2">
        <v>3</v>
      </c>
      <c r="P472" s="2">
        <v>2</v>
      </c>
      <c r="Q472" s="2">
        <v>46.9</v>
      </c>
      <c r="R472" s="2" t="str" cm="1">
        <f t="array" ref="R472">_xlfn.IFS(Q472&lt;18.5,"Underweight",
AND(Q472&gt;=18.5,Q472&lt;25),"Normal Weight",
AND(Q472&gt;=25,Q472&lt;30),"Overweight",
Q472&gt;=30,"Obesity")</f>
        <v>Obesity</v>
      </c>
      <c r="S472" s="2">
        <f t="shared" si="7"/>
        <v>748.22695035460993</v>
      </c>
      <c r="T472" s="2" t="str" cm="1">
        <f t="array" ref="T472">_xlfn.IFS(N472&lt;=2.5,"Low",N472&lt;=3,"Medium",N472&gt;3,"High")</f>
        <v>Medium</v>
      </c>
    </row>
    <row r="473" spans="1:20" x14ac:dyDescent="0.3">
      <c r="A473" s="2">
        <v>472</v>
      </c>
      <c r="B473" s="2" t="s">
        <v>22</v>
      </c>
      <c r="C473" s="2">
        <v>43</v>
      </c>
      <c r="D473" s="2" t="s">
        <v>16</v>
      </c>
      <c r="E473" s="2">
        <v>73</v>
      </c>
      <c r="F473" s="2">
        <v>1.59</v>
      </c>
      <c r="G473" s="2">
        <v>191</v>
      </c>
      <c r="H473" s="2">
        <v>158</v>
      </c>
      <c r="I473" s="2">
        <v>67</v>
      </c>
      <c r="J473" s="2">
        <v>1.31</v>
      </c>
      <c r="K473" s="2">
        <v>931</v>
      </c>
      <c r="L473" s="2" t="s">
        <v>17</v>
      </c>
      <c r="M473" s="2">
        <v>28.9</v>
      </c>
      <c r="N473" s="2">
        <v>2.2000000000000002</v>
      </c>
      <c r="O473" s="2">
        <v>3</v>
      </c>
      <c r="P473" s="2">
        <v>1</v>
      </c>
      <c r="Q473" s="2">
        <v>28.88</v>
      </c>
      <c r="R473" s="2" t="str" cm="1">
        <f t="array" ref="R473">_xlfn.IFS(Q473&lt;18.5,"Underweight",
AND(Q473&gt;=18.5,Q473&lt;25),"Normal Weight",
AND(Q473&gt;=25,Q473&lt;30),"Overweight",
Q473&gt;=30,"Obesity")</f>
        <v>Overweight</v>
      </c>
      <c r="S473" s="2">
        <f t="shared" si="7"/>
        <v>710.68702290076328</v>
      </c>
      <c r="T473" s="2" t="str" cm="1">
        <f t="array" ref="T473">_xlfn.IFS(N473&lt;=2.5,"Low",N473&lt;=3,"Medium",N473&gt;3,"High")</f>
        <v>Low</v>
      </c>
    </row>
    <row r="474" spans="1:20" x14ac:dyDescent="0.3">
      <c r="A474" s="2">
        <v>473</v>
      </c>
      <c r="B474" s="2" t="s">
        <v>25</v>
      </c>
      <c r="C474" s="2">
        <v>25</v>
      </c>
      <c r="D474" s="2" t="s">
        <v>16</v>
      </c>
      <c r="E474" s="2">
        <v>59.4</v>
      </c>
      <c r="F474" s="2">
        <v>1.51</v>
      </c>
      <c r="G474" s="2">
        <v>185</v>
      </c>
      <c r="H474" s="2">
        <v>161</v>
      </c>
      <c r="I474" s="2">
        <v>54</v>
      </c>
      <c r="J474" s="2">
        <v>1.62</v>
      </c>
      <c r="K474" s="2">
        <v>1304</v>
      </c>
      <c r="L474" s="2" t="s">
        <v>19</v>
      </c>
      <c r="M474" s="2">
        <v>19.8</v>
      </c>
      <c r="N474" s="2">
        <v>2.7</v>
      </c>
      <c r="O474" s="2">
        <v>5</v>
      </c>
      <c r="P474" s="2">
        <v>3</v>
      </c>
      <c r="Q474" s="2">
        <v>26.05</v>
      </c>
      <c r="R474" s="2" t="str" cm="1">
        <f t="array" ref="R474">_xlfn.IFS(Q474&lt;18.5,"Underweight",
AND(Q474&gt;=18.5,Q474&lt;25),"Normal Weight",
AND(Q474&gt;=25,Q474&lt;30),"Overweight",
Q474&gt;=30,"Obesity")</f>
        <v>Overweight</v>
      </c>
      <c r="S474" s="2">
        <f t="shared" si="7"/>
        <v>804.93827160493822</v>
      </c>
      <c r="T474" s="2" t="str" cm="1">
        <f t="array" ref="T474">_xlfn.IFS(N474&lt;=2.5,"Low",N474&lt;=3,"Medium",N474&gt;3,"High")</f>
        <v>Medium</v>
      </c>
    </row>
    <row r="475" spans="1:20" x14ac:dyDescent="0.3">
      <c r="A475" s="2">
        <v>474</v>
      </c>
      <c r="B475" s="2" t="s">
        <v>24</v>
      </c>
      <c r="C475" s="2">
        <v>46</v>
      </c>
      <c r="D475" s="2" t="s">
        <v>16</v>
      </c>
      <c r="E475" s="2">
        <v>52</v>
      </c>
      <c r="F475" s="2">
        <v>1.65</v>
      </c>
      <c r="G475" s="2">
        <v>165</v>
      </c>
      <c r="H475" s="2">
        <v>147</v>
      </c>
      <c r="I475" s="2">
        <v>63</v>
      </c>
      <c r="J475" s="2">
        <v>0.7</v>
      </c>
      <c r="K475" s="2">
        <v>463</v>
      </c>
      <c r="L475" s="2" t="s">
        <v>19</v>
      </c>
      <c r="M475" s="2">
        <v>34.1</v>
      </c>
      <c r="N475" s="2">
        <v>1.9</v>
      </c>
      <c r="O475" s="2">
        <v>2</v>
      </c>
      <c r="P475" s="2">
        <v>1</v>
      </c>
      <c r="Q475" s="2">
        <v>19.100000000000001</v>
      </c>
      <c r="R475" s="2" t="str" cm="1">
        <f t="array" ref="R475">_xlfn.IFS(Q475&lt;18.5,"Underweight",
AND(Q475&gt;=18.5,Q475&lt;25),"Normal Weight",
AND(Q475&gt;=25,Q475&lt;30),"Overweight",
Q475&gt;=30,"Obesity")</f>
        <v>Normal Weight</v>
      </c>
      <c r="S475" s="2">
        <f t="shared" si="7"/>
        <v>661.42857142857144</v>
      </c>
      <c r="T475" s="2" t="str" cm="1">
        <f t="array" ref="T475">_xlfn.IFS(N475&lt;=2.5,"Low",N475&lt;=3,"Medium",N475&gt;3,"High")</f>
        <v>Low</v>
      </c>
    </row>
    <row r="476" spans="1:20" x14ac:dyDescent="0.3">
      <c r="A476" s="2">
        <v>475</v>
      </c>
      <c r="B476" s="2" t="s">
        <v>28</v>
      </c>
      <c r="C476" s="2">
        <v>43</v>
      </c>
      <c r="D476" s="2" t="s">
        <v>16</v>
      </c>
      <c r="E476" s="2">
        <v>42.2</v>
      </c>
      <c r="F476" s="2">
        <v>1.65</v>
      </c>
      <c r="G476" s="2">
        <v>162</v>
      </c>
      <c r="H476" s="2">
        <v>148</v>
      </c>
      <c r="I476" s="2">
        <v>59</v>
      </c>
      <c r="J476" s="2">
        <v>1.33</v>
      </c>
      <c r="K476" s="2">
        <v>886</v>
      </c>
      <c r="L476" s="2" t="s">
        <v>19</v>
      </c>
      <c r="M476" s="2">
        <v>34.6</v>
      </c>
      <c r="N476" s="2">
        <v>2.2999999999999998</v>
      </c>
      <c r="O476" s="2">
        <v>3</v>
      </c>
      <c r="P476" s="2">
        <v>2</v>
      </c>
      <c r="Q476" s="2">
        <v>15.5</v>
      </c>
      <c r="R476" s="2" t="str" cm="1">
        <f t="array" ref="R476">_xlfn.IFS(Q476&lt;18.5,"Underweight",
AND(Q476&gt;=18.5,Q476&lt;25),"Normal Weight",
AND(Q476&gt;=25,Q476&lt;30),"Overweight",
Q476&gt;=30,"Obesity")</f>
        <v>Underweight</v>
      </c>
      <c r="S476" s="2">
        <f t="shared" si="7"/>
        <v>666.16541353383457</v>
      </c>
      <c r="T476" s="2" t="str" cm="1">
        <f t="array" ref="T476">_xlfn.IFS(N476&lt;=2.5,"Low",N476&lt;=3,"Medium",N476&gt;3,"High")</f>
        <v>Low</v>
      </c>
    </row>
    <row r="477" spans="1:20" x14ac:dyDescent="0.3">
      <c r="A477" s="2">
        <v>476</v>
      </c>
      <c r="B477" s="2" t="s">
        <v>23</v>
      </c>
      <c r="C477" s="2">
        <v>27</v>
      </c>
      <c r="D477" s="2" t="s">
        <v>15</v>
      </c>
      <c r="E477" s="2">
        <v>89.3</v>
      </c>
      <c r="F477" s="2">
        <v>1.64</v>
      </c>
      <c r="G477" s="2">
        <v>192</v>
      </c>
      <c r="H477" s="2">
        <v>162</v>
      </c>
      <c r="I477" s="2">
        <v>64</v>
      </c>
      <c r="J477" s="2">
        <v>1.82</v>
      </c>
      <c r="K477" s="2">
        <v>1622</v>
      </c>
      <c r="L477" s="2" t="s">
        <v>18</v>
      </c>
      <c r="M477" s="2">
        <v>12.1</v>
      </c>
      <c r="N477" s="2">
        <v>3.5</v>
      </c>
      <c r="O477" s="2">
        <v>4</v>
      </c>
      <c r="P477" s="2">
        <v>3</v>
      </c>
      <c r="Q477" s="2">
        <v>33.200000000000003</v>
      </c>
      <c r="R477" s="2" t="str" cm="1">
        <f t="array" ref="R477">_xlfn.IFS(Q477&lt;18.5,"Underweight",
AND(Q477&gt;=18.5,Q477&lt;25),"Normal Weight",
AND(Q477&gt;=25,Q477&lt;30),"Overweight",
Q477&gt;=30,"Obesity")</f>
        <v>Obesity</v>
      </c>
      <c r="S477" s="2">
        <f t="shared" si="7"/>
        <v>891.20879120879113</v>
      </c>
      <c r="T477" s="2" t="str" cm="1">
        <f t="array" ref="T477">_xlfn.IFS(N477&lt;=2.5,"Low",N477&lt;=3,"Medium",N477&gt;3,"High")</f>
        <v>High</v>
      </c>
    </row>
    <row r="478" spans="1:20" x14ac:dyDescent="0.3">
      <c r="A478" s="2">
        <v>477</v>
      </c>
      <c r="B478" s="2" t="s">
        <v>22</v>
      </c>
      <c r="C478" s="2">
        <v>43</v>
      </c>
      <c r="D478" s="2" t="s">
        <v>15</v>
      </c>
      <c r="E478" s="2">
        <v>110</v>
      </c>
      <c r="F478" s="2">
        <v>1.76</v>
      </c>
      <c r="G478" s="2">
        <v>160</v>
      </c>
      <c r="H478" s="2">
        <v>122</v>
      </c>
      <c r="I478" s="2">
        <v>50</v>
      </c>
      <c r="J478" s="2">
        <v>1.0900000000000001</v>
      </c>
      <c r="K478" s="2">
        <v>658</v>
      </c>
      <c r="L478" s="2" t="s">
        <v>17</v>
      </c>
      <c r="M478" s="2">
        <v>22</v>
      </c>
      <c r="N478" s="2">
        <v>3.4</v>
      </c>
      <c r="O478" s="2">
        <v>3</v>
      </c>
      <c r="P478" s="2">
        <v>1</v>
      </c>
      <c r="Q478" s="2">
        <v>35.51</v>
      </c>
      <c r="R478" s="2" t="str" cm="1">
        <f t="array" ref="R478">_xlfn.IFS(Q478&lt;18.5,"Underweight",
AND(Q478&gt;=18.5,Q478&lt;25),"Normal Weight",
AND(Q478&gt;=25,Q478&lt;30),"Overweight",
Q478&gt;=30,"Obesity")</f>
        <v>Obesity</v>
      </c>
      <c r="S478" s="2">
        <f t="shared" si="7"/>
        <v>603.66972477064212</v>
      </c>
      <c r="T478" s="2" t="str" cm="1">
        <f t="array" ref="T478">_xlfn.IFS(N478&lt;=2.5,"Low",N478&lt;=3,"Medium",N478&gt;3,"High")</f>
        <v>High</v>
      </c>
    </row>
    <row r="479" spans="1:20" x14ac:dyDescent="0.3">
      <c r="A479" s="2">
        <v>478</v>
      </c>
      <c r="B479" s="2" t="s">
        <v>30</v>
      </c>
      <c r="C479" s="2">
        <v>51</v>
      </c>
      <c r="D479" s="2" t="s">
        <v>16</v>
      </c>
      <c r="E479" s="2">
        <v>66.2</v>
      </c>
      <c r="F479" s="2">
        <v>1.58</v>
      </c>
      <c r="G479" s="2">
        <v>164</v>
      </c>
      <c r="H479" s="2">
        <v>129</v>
      </c>
      <c r="I479" s="2">
        <v>65</v>
      </c>
      <c r="J479" s="2">
        <v>0.86</v>
      </c>
      <c r="K479" s="2">
        <v>499</v>
      </c>
      <c r="L479" s="2" t="s">
        <v>18</v>
      </c>
      <c r="M479" s="2">
        <v>31.3</v>
      </c>
      <c r="N479" s="2">
        <v>2.2999999999999998</v>
      </c>
      <c r="O479" s="2">
        <v>3</v>
      </c>
      <c r="P479" s="2">
        <v>1</v>
      </c>
      <c r="Q479" s="2">
        <v>26.52</v>
      </c>
      <c r="R479" s="2" t="str" cm="1">
        <f t="array" ref="R479">_xlfn.IFS(Q479&lt;18.5,"Underweight",
AND(Q479&gt;=18.5,Q479&lt;25),"Normal Weight",
AND(Q479&gt;=25,Q479&lt;30),"Overweight",
Q479&gt;=30,"Obesity")</f>
        <v>Overweight</v>
      </c>
      <c r="S479" s="2">
        <f t="shared" si="7"/>
        <v>580.23255813953494</v>
      </c>
      <c r="T479" s="2" t="str" cm="1">
        <f t="array" ref="T479">_xlfn.IFS(N479&lt;=2.5,"Low",N479&lt;=3,"Medium",N479&gt;3,"High")</f>
        <v>Low</v>
      </c>
    </row>
    <row r="480" spans="1:20" x14ac:dyDescent="0.3">
      <c r="A480" s="2">
        <v>479</v>
      </c>
      <c r="B480" s="2" t="s">
        <v>24</v>
      </c>
      <c r="C480" s="2">
        <v>58</v>
      </c>
      <c r="D480" s="2" t="s">
        <v>15</v>
      </c>
      <c r="E480" s="2">
        <v>58.6</v>
      </c>
      <c r="F480" s="2">
        <v>1.66</v>
      </c>
      <c r="G480" s="2">
        <v>172</v>
      </c>
      <c r="H480" s="2">
        <v>161</v>
      </c>
      <c r="I480" s="2">
        <v>60</v>
      </c>
      <c r="J480" s="2">
        <v>1.21</v>
      </c>
      <c r="K480" s="2">
        <v>964</v>
      </c>
      <c r="L480" s="2" t="s">
        <v>18</v>
      </c>
      <c r="M480" s="2">
        <v>26.8</v>
      </c>
      <c r="N480" s="2">
        <v>2.9</v>
      </c>
      <c r="O480" s="2">
        <v>2</v>
      </c>
      <c r="P480" s="2">
        <v>1</v>
      </c>
      <c r="Q480" s="2">
        <v>21.27</v>
      </c>
      <c r="R480" s="2" t="str" cm="1">
        <f t="array" ref="R480">_xlfn.IFS(Q480&lt;18.5,"Underweight",
AND(Q480&gt;=18.5,Q480&lt;25),"Normal Weight",
AND(Q480&gt;=25,Q480&lt;30),"Overweight",
Q480&gt;=30,"Obesity")</f>
        <v>Normal Weight</v>
      </c>
      <c r="S480" s="2">
        <f t="shared" si="7"/>
        <v>796.69421487603313</v>
      </c>
      <c r="T480" s="2" t="str" cm="1">
        <f t="array" ref="T480">_xlfn.IFS(N480&lt;=2.5,"Low",N480&lt;=3,"Medium",N480&gt;3,"High")</f>
        <v>Medium</v>
      </c>
    </row>
    <row r="481" spans="1:20" x14ac:dyDescent="0.3">
      <c r="A481" s="2">
        <v>480</v>
      </c>
      <c r="B481" s="2" t="s">
        <v>30</v>
      </c>
      <c r="C481" s="2">
        <v>24</v>
      </c>
      <c r="D481" s="2" t="s">
        <v>15</v>
      </c>
      <c r="E481" s="2">
        <v>51</v>
      </c>
      <c r="F481" s="2">
        <v>1.67</v>
      </c>
      <c r="G481" s="2">
        <v>178</v>
      </c>
      <c r="H481" s="2">
        <v>133</v>
      </c>
      <c r="I481" s="2">
        <v>72</v>
      </c>
      <c r="J481" s="2">
        <v>0.97</v>
      </c>
      <c r="K481" s="2">
        <v>710</v>
      </c>
      <c r="L481" s="2" t="s">
        <v>20</v>
      </c>
      <c r="M481" s="2">
        <v>21.3</v>
      </c>
      <c r="N481" s="2">
        <v>2.8</v>
      </c>
      <c r="O481" s="2">
        <v>3</v>
      </c>
      <c r="P481" s="2">
        <v>1</v>
      </c>
      <c r="Q481" s="2">
        <v>18.29</v>
      </c>
      <c r="R481" s="2" t="str" cm="1">
        <f t="array" ref="R481">_xlfn.IFS(Q481&lt;18.5,"Underweight",
AND(Q481&gt;=18.5,Q481&lt;25),"Normal Weight",
AND(Q481&gt;=25,Q481&lt;30),"Overweight",
Q481&gt;=30,"Obesity")</f>
        <v>Underweight</v>
      </c>
      <c r="S481" s="2">
        <f t="shared" si="7"/>
        <v>731.95876288659792</v>
      </c>
      <c r="T481" s="2" t="str" cm="1">
        <f t="array" ref="T481">_xlfn.IFS(N481&lt;=2.5,"Low",N481&lt;=3,"Medium",N481&gt;3,"High")</f>
        <v>Medium</v>
      </c>
    </row>
    <row r="482" spans="1:20" x14ac:dyDescent="0.3">
      <c r="A482" s="2">
        <v>481</v>
      </c>
      <c r="B482" s="2" t="s">
        <v>22</v>
      </c>
      <c r="C482" s="2">
        <v>21</v>
      </c>
      <c r="D482" s="2" t="s">
        <v>15</v>
      </c>
      <c r="E482" s="2">
        <v>101.5</v>
      </c>
      <c r="F482" s="2">
        <v>1.95</v>
      </c>
      <c r="G482" s="2">
        <v>171</v>
      </c>
      <c r="H482" s="2">
        <v>131</v>
      </c>
      <c r="I482" s="2">
        <v>69</v>
      </c>
      <c r="J482" s="2">
        <v>0.97</v>
      </c>
      <c r="K482" s="2">
        <v>699</v>
      </c>
      <c r="L482" s="2" t="s">
        <v>17</v>
      </c>
      <c r="M482" s="2">
        <v>27.9</v>
      </c>
      <c r="N482" s="2">
        <v>3.1</v>
      </c>
      <c r="O482" s="2">
        <v>3</v>
      </c>
      <c r="P482" s="2">
        <v>1</v>
      </c>
      <c r="Q482" s="2">
        <v>26.69</v>
      </c>
      <c r="R482" s="2" t="str" cm="1">
        <f t="array" ref="R482">_xlfn.IFS(Q482&lt;18.5,"Underweight",
AND(Q482&gt;=18.5,Q482&lt;25),"Normal Weight",
AND(Q482&gt;=25,Q482&lt;30),"Overweight",
Q482&gt;=30,"Obesity")</f>
        <v>Overweight</v>
      </c>
      <c r="S482" s="2">
        <f t="shared" si="7"/>
        <v>720.61855670103091</v>
      </c>
      <c r="T482" s="2" t="str" cm="1">
        <f t="array" ref="T482">_xlfn.IFS(N482&lt;=2.5,"Low",N482&lt;=3,"Medium",N482&gt;3,"High")</f>
        <v>High</v>
      </c>
    </row>
    <row r="483" spans="1:20" x14ac:dyDescent="0.3">
      <c r="A483" s="2">
        <v>482</v>
      </c>
      <c r="B483" s="2" t="s">
        <v>25</v>
      </c>
      <c r="C483" s="2">
        <v>28</v>
      </c>
      <c r="D483" s="2" t="s">
        <v>15</v>
      </c>
      <c r="E483" s="2">
        <v>114.2</v>
      </c>
      <c r="F483" s="2">
        <v>1.87</v>
      </c>
      <c r="G483" s="2">
        <v>184</v>
      </c>
      <c r="H483" s="2">
        <v>166</v>
      </c>
      <c r="I483" s="2">
        <v>55</v>
      </c>
      <c r="J483" s="2">
        <v>1.05</v>
      </c>
      <c r="K483" s="2">
        <v>959</v>
      </c>
      <c r="L483" s="2" t="s">
        <v>20</v>
      </c>
      <c r="M483" s="2">
        <v>20.2</v>
      </c>
      <c r="N483" s="2">
        <v>3.2</v>
      </c>
      <c r="O483" s="2">
        <v>3</v>
      </c>
      <c r="P483" s="2">
        <v>2</v>
      </c>
      <c r="Q483" s="2">
        <v>32.659999999999997</v>
      </c>
      <c r="R483" s="2" t="str" cm="1">
        <f t="array" ref="R483">_xlfn.IFS(Q483&lt;18.5,"Underweight",
AND(Q483&gt;=18.5,Q483&lt;25),"Normal Weight",
AND(Q483&gt;=25,Q483&lt;30),"Overweight",
Q483&gt;=30,"Obesity")</f>
        <v>Obesity</v>
      </c>
      <c r="S483" s="2">
        <f t="shared" si="7"/>
        <v>913.33333333333326</v>
      </c>
      <c r="T483" s="2" t="str" cm="1">
        <f t="array" ref="T483">_xlfn.IFS(N483&lt;=2.5,"Low",N483&lt;=3,"Medium",N483&gt;3,"High")</f>
        <v>High</v>
      </c>
    </row>
    <row r="484" spans="1:20" x14ac:dyDescent="0.3">
      <c r="A484" s="2">
        <v>483</v>
      </c>
      <c r="B484" s="2" t="s">
        <v>24</v>
      </c>
      <c r="C484" s="2">
        <v>46</v>
      </c>
      <c r="D484" s="2" t="s">
        <v>15</v>
      </c>
      <c r="E484" s="2">
        <v>54.4</v>
      </c>
      <c r="F484" s="2">
        <v>1.72</v>
      </c>
      <c r="G484" s="2">
        <v>194</v>
      </c>
      <c r="H484" s="2">
        <v>161</v>
      </c>
      <c r="I484" s="2">
        <v>73</v>
      </c>
      <c r="J484" s="2">
        <v>0.91</v>
      </c>
      <c r="K484" s="2">
        <v>725</v>
      </c>
      <c r="L484" s="2" t="s">
        <v>19</v>
      </c>
      <c r="M484" s="2">
        <v>24.8</v>
      </c>
      <c r="N484" s="2">
        <v>2.9</v>
      </c>
      <c r="O484" s="2">
        <v>2</v>
      </c>
      <c r="P484" s="2">
        <v>1</v>
      </c>
      <c r="Q484" s="2">
        <v>18.39</v>
      </c>
      <c r="R484" s="2" t="str" cm="1">
        <f t="array" ref="R484">_xlfn.IFS(Q484&lt;18.5,"Underweight",
AND(Q484&gt;=18.5,Q484&lt;25),"Normal Weight",
AND(Q484&gt;=25,Q484&lt;30),"Overweight",
Q484&gt;=30,"Obesity")</f>
        <v>Underweight</v>
      </c>
      <c r="S484" s="2">
        <f t="shared" si="7"/>
        <v>796.7032967032967</v>
      </c>
      <c r="T484" s="2" t="str" cm="1">
        <f t="array" ref="T484">_xlfn.IFS(N484&lt;=2.5,"Low",N484&lt;=3,"Medium",N484&gt;3,"High")</f>
        <v>Medium</v>
      </c>
    </row>
    <row r="485" spans="1:20" x14ac:dyDescent="0.3">
      <c r="A485" s="2">
        <v>484</v>
      </c>
      <c r="B485" s="2" t="s">
        <v>30</v>
      </c>
      <c r="C485" s="2">
        <v>53</v>
      </c>
      <c r="D485" s="2" t="s">
        <v>16</v>
      </c>
      <c r="E485" s="2">
        <v>52.4</v>
      </c>
      <c r="F485" s="2">
        <v>1.57</v>
      </c>
      <c r="G485" s="2">
        <v>171</v>
      </c>
      <c r="H485" s="2">
        <v>149</v>
      </c>
      <c r="I485" s="2">
        <v>71</v>
      </c>
      <c r="J485" s="2">
        <v>1.34</v>
      </c>
      <c r="K485" s="2">
        <v>898</v>
      </c>
      <c r="L485" s="2" t="s">
        <v>18</v>
      </c>
      <c r="M485" s="2">
        <v>28.3</v>
      </c>
      <c r="N485" s="2">
        <v>2.2000000000000002</v>
      </c>
      <c r="O485" s="2">
        <v>3</v>
      </c>
      <c r="P485" s="2">
        <v>2</v>
      </c>
      <c r="Q485" s="2">
        <v>21.26</v>
      </c>
      <c r="R485" s="2" t="str" cm="1">
        <f t="array" ref="R485">_xlfn.IFS(Q485&lt;18.5,"Underweight",
AND(Q485&gt;=18.5,Q485&lt;25),"Normal Weight",
AND(Q485&gt;=25,Q485&lt;30),"Overweight",
Q485&gt;=30,"Obesity")</f>
        <v>Normal Weight</v>
      </c>
      <c r="S485" s="2">
        <f t="shared" si="7"/>
        <v>670.14925373134326</v>
      </c>
      <c r="T485" s="2" t="str" cm="1">
        <f t="array" ref="T485">_xlfn.IFS(N485&lt;=2.5,"Low",N485&lt;=3,"Medium",N485&gt;3,"High")</f>
        <v>Low</v>
      </c>
    </row>
    <row r="486" spans="1:20" x14ac:dyDescent="0.3">
      <c r="A486" s="2">
        <v>485</v>
      </c>
      <c r="B486" s="2" t="s">
        <v>23</v>
      </c>
      <c r="C486" s="2">
        <v>42</v>
      </c>
      <c r="D486" s="2" t="s">
        <v>15</v>
      </c>
      <c r="E486" s="2">
        <v>85.2</v>
      </c>
      <c r="F486" s="2">
        <v>1.81</v>
      </c>
      <c r="G486" s="2">
        <v>189</v>
      </c>
      <c r="H486" s="2">
        <v>151</v>
      </c>
      <c r="I486" s="2">
        <v>65</v>
      </c>
      <c r="J486" s="2">
        <v>1.54</v>
      </c>
      <c r="K486" s="2">
        <v>1151</v>
      </c>
      <c r="L486" s="2" t="s">
        <v>17</v>
      </c>
      <c r="M486" s="2">
        <v>13.7</v>
      </c>
      <c r="N486" s="2">
        <v>3.5</v>
      </c>
      <c r="O486" s="2">
        <v>5</v>
      </c>
      <c r="P486" s="2">
        <v>3</v>
      </c>
      <c r="Q486" s="2">
        <v>26.01</v>
      </c>
      <c r="R486" s="2" t="str" cm="1">
        <f t="array" ref="R486">_xlfn.IFS(Q486&lt;18.5,"Underweight",
AND(Q486&gt;=18.5,Q486&lt;25),"Normal Weight",
AND(Q486&gt;=25,Q486&lt;30),"Overweight",
Q486&gt;=30,"Obesity")</f>
        <v>Overweight</v>
      </c>
      <c r="S486" s="2">
        <f t="shared" si="7"/>
        <v>747.40259740259739</v>
      </c>
      <c r="T486" s="2" t="str" cm="1">
        <f t="array" ref="T486">_xlfn.IFS(N486&lt;=2.5,"Low",N486&lt;=3,"Medium",N486&gt;3,"High")</f>
        <v>High</v>
      </c>
    </row>
    <row r="487" spans="1:20" x14ac:dyDescent="0.3">
      <c r="A487" s="2">
        <v>486</v>
      </c>
      <c r="B487" s="2" t="s">
        <v>26</v>
      </c>
      <c r="C487" s="2">
        <v>38</v>
      </c>
      <c r="D487" s="2" t="s">
        <v>15</v>
      </c>
      <c r="E487" s="2">
        <v>83.6</v>
      </c>
      <c r="F487" s="2">
        <v>1.74</v>
      </c>
      <c r="G487" s="2">
        <v>164</v>
      </c>
      <c r="H487" s="2">
        <v>151</v>
      </c>
      <c r="I487" s="2">
        <v>51</v>
      </c>
      <c r="J487" s="2">
        <v>1.66</v>
      </c>
      <c r="K487" s="2">
        <v>1379</v>
      </c>
      <c r="L487" s="2" t="s">
        <v>19</v>
      </c>
      <c r="M487" s="2">
        <v>11.6</v>
      </c>
      <c r="N487" s="2">
        <v>3.5</v>
      </c>
      <c r="O487" s="2">
        <v>5</v>
      </c>
      <c r="P487" s="2">
        <v>3</v>
      </c>
      <c r="Q487" s="2">
        <v>27.61</v>
      </c>
      <c r="R487" s="2" t="str" cm="1">
        <f t="array" ref="R487">_xlfn.IFS(Q487&lt;18.5,"Underweight",
AND(Q487&gt;=18.5,Q487&lt;25),"Normal Weight",
AND(Q487&gt;=25,Q487&lt;30),"Overweight",
Q487&gt;=30,"Obesity")</f>
        <v>Overweight</v>
      </c>
      <c r="S487" s="2">
        <f t="shared" si="7"/>
        <v>830.72289156626505</v>
      </c>
      <c r="T487" s="2" t="str" cm="1">
        <f t="array" ref="T487">_xlfn.IFS(N487&lt;=2.5,"Low",N487&lt;=3,"Medium",N487&gt;3,"High")</f>
        <v>High</v>
      </c>
    </row>
    <row r="488" spans="1:20" x14ac:dyDescent="0.3">
      <c r="A488" s="2">
        <v>487</v>
      </c>
      <c r="B488" s="2" t="s">
        <v>29</v>
      </c>
      <c r="C488" s="2">
        <v>53</v>
      </c>
      <c r="D488" s="2" t="s">
        <v>15</v>
      </c>
      <c r="E488" s="2">
        <v>115.4</v>
      </c>
      <c r="F488" s="2">
        <v>1.92</v>
      </c>
      <c r="G488" s="2">
        <v>193</v>
      </c>
      <c r="H488" s="2">
        <v>161</v>
      </c>
      <c r="I488" s="2">
        <v>50</v>
      </c>
      <c r="J488" s="2">
        <v>1.36</v>
      </c>
      <c r="K488" s="2">
        <v>1084</v>
      </c>
      <c r="L488" s="2" t="s">
        <v>17</v>
      </c>
      <c r="M488" s="2">
        <v>28.3</v>
      </c>
      <c r="N488" s="2">
        <v>2.2000000000000002</v>
      </c>
      <c r="O488" s="2">
        <v>4</v>
      </c>
      <c r="P488" s="2">
        <v>2</v>
      </c>
      <c r="Q488" s="2">
        <v>31.3</v>
      </c>
      <c r="R488" s="2" t="str" cm="1">
        <f t="array" ref="R488">_xlfn.IFS(Q488&lt;18.5,"Underweight",
AND(Q488&gt;=18.5,Q488&lt;25),"Normal Weight",
AND(Q488&gt;=25,Q488&lt;30),"Overweight",
Q488&gt;=30,"Obesity")</f>
        <v>Obesity</v>
      </c>
      <c r="S488" s="2">
        <f t="shared" si="7"/>
        <v>797.05882352941171</v>
      </c>
      <c r="T488" s="2" t="str" cm="1">
        <f t="array" ref="T488">_xlfn.IFS(N488&lt;=2.5,"Low",N488&lt;=3,"Medium",N488&gt;3,"High")</f>
        <v>Low</v>
      </c>
    </row>
    <row r="489" spans="1:20" x14ac:dyDescent="0.3">
      <c r="A489" s="2">
        <v>488</v>
      </c>
      <c r="B489" s="2" t="s">
        <v>26</v>
      </c>
      <c r="C489" s="2">
        <v>27</v>
      </c>
      <c r="D489" s="2" t="s">
        <v>15</v>
      </c>
      <c r="E489" s="2">
        <v>71.2</v>
      </c>
      <c r="F489" s="2">
        <v>1.97</v>
      </c>
      <c r="G489" s="2">
        <v>181</v>
      </c>
      <c r="H489" s="2">
        <v>151</v>
      </c>
      <c r="I489" s="2">
        <v>73</v>
      </c>
      <c r="J489" s="2">
        <v>0.74</v>
      </c>
      <c r="K489" s="2">
        <v>615</v>
      </c>
      <c r="L489" s="2" t="s">
        <v>18</v>
      </c>
      <c r="M489" s="2">
        <v>25.9</v>
      </c>
      <c r="N489" s="2">
        <v>3.6</v>
      </c>
      <c r="O489" s="2">
        <v>3</v>
      </c>
      <c r="P489" s="2">
        <v>1</v>
      </c>
      <c r="Q489" s="2">
        <v>18.350000000000001</v>
      </c>
      <c r="R489" s="2" t="str" cm="1">
        <f t="array" ref="R489">_xlfn.IFS(Q489&lt;18.5,"Underweight",
AND(Q489&gt;=18.5,Q489&lt;25),"Normal Weight",
AND(Q489&gt;=25,Q489&lt;30),"Overweight",
Q489&gt;=30,"Obesity")</f>
        <v>Underweight</v>
      </c>
      <c r="S489" s="2">
        <f t="shared" si="7"/>
        <v>831.08108108108104</v>
      </c>
      <c r="T489" s="2" t="str" cm="1">
        <f t="array" ref="T489">_xlfn.IFS(N489&lt;=2.5,"Low",N489&lt;=3,"Medium",N489&gt;3,"High")</f>
        <v>High</v>
      </c>
    </row>
    <row r="490" spans="1:20" x14ac:dyDescent="0.3">
      <c r="A490" s="2">
        <v>489</v>
      </c>
      <c r="B490" s="2" t="s">
        <v>22</v>
      </c>
      <c r="C490" s="2">
        <v>54</v>
      </c>
      <c r="D490" s="2" t="s">
        <v>16</v>
      </c>
      <c r="E490" s="2">
        <v>78.099999999999994</v>
      </c>
      <c r="F490" s="2">
        <v>1.6</v>
      </c>
      <c r="G490" s="2">
        <v>198</v>
      </c>
      <c r="H490" s="2">
        <v>145</v>
      </c>
      <c r="I490" s="2">
        <v>73</v>
      </c>
      <c r="J490" s="2">
        <v>1.1000000000000001</v>
      </c>
      <c r="K490" s="2">
        <v>718</v>
      </c>
      <c r="L490" s="2" t="s">
        <v>17</v>
      </c>
      <c r="M490" s="2">
        <v>32.9</v>
      </c>
      <c r="N490" s="2">
        <v>2.4</v>
      </c>
      <c r="O490" s="2">
        <v>4</v>
      </c>
      <c r="P490" s="2">
        <v>2</v>
      </c>
      <c r="Q490" s="2">
        <v>30.51</v>
      </c>
      <c r="R490" s="2" t="str" cm="1">
        <f t="array" ref="R490">_xlfn.IFS(Q490&lt;18.5,"Underweight",
AND(Q490&gt;=18.5,Q490&lt;25),"Normal Weight",
AND(Q490&gt;=25,Q490&lt;30),"Overweight",
Q490&gt;=30,"Obesity")</f>
        <v>Obesity</v>
      </c>
      <c r="S490" s="2">
        <f t="shared" si="7"/>
        <v>652.72727272727263</v>
      </c>
      <c r="T490" s="2" t="str" cm="1">
        <f t="array" ref="T490">_xlfn.IFS(N490&lt;=2.5,"Low",N490&lt;=3,"Medium",N490&gt;3,"High")</f>
        <v>Low</v>
      </c>
    </row>
    <row r="491" spans="1:20" x14ac:dyDescent="0.3">
      <c r="A491" s="2">
        <v>490</v>
      </c>
      <c r="B491" s="2" t="s">
        <v>28</v>
      </c>
      <c r="C491" s="2">
        <v>26</v>
      </c>
      <c r="D491" s="2" t="s">
        <v>16</v>
      </c>
      <c r="E491" s="2">
        <v>54.2</v>
      </c>
      <c r="F491" s="2">
        <v>1.65</v>
      </c>
      <c r="G491" s="2">
        <v>172</v>
      </c>
      <c r="H491" s="2">
        <v>120</v>
      </c>
      <c r="I491" s="2">
        <v>58</v>
      </c>
      <c r="J491" s="2">
        <v>1.07</v>
      </c>
      <c r="K491" s="2">
        <v>642</v>
      </c>
      <c r="L491" s="2" t="s">
        <v>19</v>
      </c>
      <c r="M491" s="2">
        <v>34.9</v>
      </c>
      <c r="N491" s="2">
        <v>1.9</v>
      </c>
      <c r="O491" s="2">
        <v>4</v>
      </c>
      <c r="P491" s="2">
        <v>2</v>
      </c>
      <c r="Q491" s="2">
        <v>19.91</v>
      </c>
      <c r="R491" s="2" t="str" cm="1">
        <f t="array" ref="R491">_xlfn.IFS(Q491&lt;18.5,"Underweight",
AND(Q491&gt;=18.5,Q491&lt;25),"Normal Weight",
AND(Q491&gt;=25,Q491&lt;30),"Overweight",
Q491&gt;=30,"Obesity")</f>
        <v>Normal Weight</v>
      </c>
      <c r="S491" s="2">
        <f t="shared" si="7"/>
        <v>600</v>
      </c>
      <c r="T491" s="2" t="str" cm="1">
        <f t="array" ref="T491">_xlfn.IFS(N491&lt;=2.5,"Low",N491&lt;=3,"Medium",N491&gt;3,"High")</f>
        <v>Low</v>
      </c>
    </row>
    <row r="492" spans="1:20" x14ac:dyDescent="0.3">
      <c r="A492" s="2">
        <v>491</v>
      </c>
      <c r="B492" s="2" t="s">
        <v>29</v>
      </c>
      <c r="C492" s="2">
        <v>41</v>
      </c>
      <c r="D492" s="2" t="s">
        <v>16</v>
      </c>
      <c r="E492" s="2">
        <v>77.599999999999994</v>
      </c>
      <c r="F492" s="2">
        <v>1.76</v>
      </c>
      <c r="G492" s="2">
        <v>162</v>
      </c>
      <c r="H492" s="2">
        <v>161</v>
      </c>
      <c r="I492" s="2">
        <v>71</v>
      </c>
      <c r="J492" s="2">
        <v>1.27</v>
      </c>
      <c r="K492" s="2">
        <v>920</v>
      </c>
      <c r="L492" s="2" t="s">
        <v>20</v>
      </c>
      <c r="M492" s="2">
        <v>31.8</v>
      </c>
      <c r="N492" s="2">
        <v>2.2000000000000002</v>
      </c>
      <c r="O492" s="2">
        <v>4</v>
      </c>
      <c r="P492" s="2">
        <v>2</v>
      </c>
      <c r="Q492" s="2">
        <v>25.05</v>
      </c>
      <c r="R492" s="2" t="str" cm="1">
        <f t="array" ref="R492">_xlfn.IFS(Q492&lt;18.5,"Underweight",
AND(Q492&gt;=18.5,Q492&lt;25),"Normal Weight",
AND(Q492&gt;=25,Q492&lt;30),"Overweight",
Q492&gt;=30,"Obesity")</f>
        <v>Overweight</v>
      </c>
      <c r="S492" s="2">
        <f t="shared" si="7"/>
        <v>724.40944881889766</v>
      </c>
      <c r="T492" s="2" t="str" cm="1">
        <f t="array" ref="T492">_xlfn.IFS(N492&lt;=2.5,"Low",N492&lt;=3,"Medium",N492&gt;3,"High")</f>
        <v>Low</v>
      </c>
    </row>
    <row r="493" spans="1:20" x14ac:dyDescent="0.3">
      <c r="A493" s="2">
        <v>492</v>
      </c>
      <c r="B493" s="2" t="s">
        <v>21</v>
      </c>
      <c r="C493" s="2">
        <v>52</v>
      </c>
      <c r="D493" s="2" t="s">
        <v>16</v>
      </c>
      <c r="E493" s="2">
        <v>44.1</v>
      </c>
      <c r="F493" s="2">
        <v>1.62</v>
      </c>
      <c r="G493" s="2">
        <v>179</v>
      </c>
      <c r="H493" s="2">
        <v>121</v>
      </c>
      <c r="I493" s="2">
        <v>61</v>
      </c>
      <c r="J493" s="2">
        <v>1.41</v>
      </c>
      <c r="K493" s="2">
        <v>768</v>
      </c>
      <c r="L493" s="2" t="s">
        <v>18</v>
      </c>
      <c r="M493" s="2">
        <v>34.799999999999997</v>
      </c>
      <c r="N493" s="2">
        <v>1.6</v>
      </c>
      <c r="O493" s="2">
        <v>3</v>
      </c>
      <c r="P493" s="2">
        <v>1</v>
      </c>
      <c r="Q493" s="2">
        <v>16.8</v>
      </c>
      <c r="R493" s="2" t="str" cm="1">
        <f t="array" ref="R493">_xlfn.IFS(Q493&lt;18.5,"Underweight",
AND(Q493&gt;=18.5,Q493&lt;25),"Normal Weight",
AND(Q493&gt;=25,Q493&lt;30),"Overweight",
Q493&gt;=30,"Obesity")</f>
        <v>Underweight</v>
      </c>
      <c r="S493" s="2">
        <f t="shared" si="7"/>
        <v>544.68085106382978</v>
      </c>
      <c r="T493" s="2" t="str" cm="1">
        <f t="array" ref="T493">_xlfn.IFS(N493&lt;=2.5,"Low",N493&lt;=3,"Medium",N493&gt;3,"High")</f>
        <v>Low</v>
      </c>
    </row>
    <row r="494" spans="1:20" x14ac:dyDescent="0.3">
      <c r="A494" s="2">
        <v>493</v>
      </c>
      <c r="B494" s="2" t="s">
        <v>23</v>
      </c>
      <c r="C494" s="2">
        <v>52</v>
      </c>
      <c r="D494" s="2" t="s">
        <v>15</v>
      </c>
      <c r="E494" s="2">
        <v>85.5</v>
      </c>
      <c r="F494" s="2">
        <v>1.8</v>
      </c>
      <c r="G494" s="2">
        <v>190</v>
      </c>
      <c r="H494" s="2">
        <v>136</v>
      </c>
      <c r="I494" s="2">
        <v>66</v>
      </c>
      <c r="J494" s="2">
        <v>1.7</v>
      </c>
      <c r="K494" s="2">
        <v>1144</v>
      </c>
      <c r="L494" s="2" t="s">
        <v>20</v>
      </c>
      <c r="M494" s="2">
        <v>10.1</v>
      </c>
      <c r="N494" s="2">
        <v>3.5</v>
      </c>
      <c r="O494" s="2">
        <v>5</v>
      </c>
      <c r="P494" s="2">
        <v>3</v>
      </c>
      <c r="Q494" s="2">
        <v>26.39</v>
      </c>
      <c r="R494" s="2" t="str" cm="1">
        <f t="array" ref="R494">_xlfn.IFS(Q494&lt;18.5,"Underweight",
AND(Q494&gt;=18.5,Q494&lt;25),"Normal Weight",
AND(Q494&gt;=25,Q494&lt;30),"Overweight",
Q494&gt;=30,"Obesity")</f>
        <v>Overweight</v>
      </c>
      <c r="S494" s="2">
        <f t="shared" si="7"/>
        <v>672.94117647058829</v>
      </c>
      <c r="T494" s="2" t="str" cm="1">
        <f t="array" ref="T494">_xlfn.IFS(N494&lt;=2.5,"Low",N494&lt;=3,"Medium",N494&gt;3,"High")</f>
        <v>High</v>
      </c>
    </row>
    <row r="495" spans="1:20" x14ac:dyDescent="0.3">
      <c r="A495" s="2">
        <v>494</v>
      </c>
      <c r="B495" s="2" t="s">
        <v>21</v>
      </c>
      <c r="C495" s="2">
        <v>53</v>
      </c>
      <c r="D495" s="2" t="s">
        <v>16</v>
      </c>
      <c r="E495" s="2">
        <v>47.8</v>
      </c>
      <c r="F495" s="2">
        <v>1.76</v>
      </c>
      <c r="G495" s="2">
        <v>164</v>
      </c>
      <c r="H495" s="2">
        <v>149</v>
      </c>
      <c r="I495" s="2">
        <v>74</v>
      </c>
      <c r="J495" s="2">
        <v>1.06</v>
      </c>
      <c r="K495" s="2">
        <v>711</v>
      </c>
      <c r="L495" s="2" t="s">
        <v>18</v>
      </c>
      <c r="M495" s="2">
        <v>28.4</v>
      </c>
      <c r="N495" s="2">
        <v>1.5</v>
      </c>
      <c r="O495" s="2">
        <v>4</v>
      </c>
      <c r="P495" s="2">
        <v>2</v>
      </c>
      <c r="Q495" s="2">
        <v>15.43</v>
      </c>
      <c r="R495" s="2" t="str" cm="1">
        <f t="array" ref="R495">_xlfn.IFS(Q495&lt;18.5,"Underweight",
AND(Q495&gt;=18.5,Q495&lt;25),"Normal Weight",
AND(Q495&gt;=25,Q495&lt;30),"Overweight",
Q495&gt;=30,"Obesity")</f>
        <v>Underweight</v>
      </c>
      <c r="S495" s="2">
        <f t="shared" si="7"/>
        <v>670.75471698113199</v>
      </c>
      <c r="T495" s="2" t="str" cm="1">
        <f t="array" ref="T495">_xlfn.IFS(N495&lt;=2.5,"Low",N495&lt;=3,"Medium",N495&gt;3,"High")</f>
        <v>Low</v>
      </c>
    </row>
    <row r="496" spans="1:20" x14ac:dyDescent="0.3">
      <c r="A496" s="2">
        <v>495</v>
      </c>
      <c r="B496" s="2" t="s">
        <v>24</v>
      </c>
      <c r="C496" s="2">
        <v>35</v>
      </c>
      <c r="D496" s="2" t="s">
        <v>15</v>
      </c>
      <c r="E496" s="2">
        <v>102.5</v>
      </c>
      <c r="F496" s="2">
        <v>1.94</v>
      </c>
      <c r="G496" s="2">
        <v>183</v>
      </c>
      <c r="H496" s="2">
        <v>158</v>
      </c>
      <c r="I496" s="2">
        <v>64</v>
      </c>
      <c r="J496" s="2">
        <v>0.84</v>
      </c>
      <c r="K496" s="2">
        <v>730</v>
      </c>
      <c r="L496" s="2" t="s">
        <v>19</v>
      </c>
      <c r="M496" s="2">
        <v>21.1</v>
      </c>
      <c r="N496" s="2">
        <v>2.4</v>
      </c>
      <c r="O496" s="2">
        <v>2</v>
      </c>
      <c r="P496" s="2">
        <v>1</v>
      </c>
      <c r="Q496" s="2">
        <v>27.23</v>
      </c>
      <c r="R496" s="2" t="str" cm="1">
        <f t="array" ref="R496">_xlfn.IFS(Q496&lt;18.5,"Underweight",
AND(Q496&gt;=18.5,Q496&lt;25),"Normal Weight",
AND(Q496&gt;=25,Q496&lt;30),"Overweight",
Q496&gt;=30,"Obesity")</f>
        <v>Overweight</v>
      </c>
      <c r="S496" s="2">
        <f t="shared" si="7"/>
        <v>869.04761904761904</v>
      </c>
      <c r="T496" s="2" t="str" cm="1">
        <f t="array" ref="T496">_xlfn.IFS(N496&lt;=2.5,"Low",N496&lt;=3,"Medium",N496&gt;3,"High")</f>
        <v>Low</v>
      </c>
    </row>
    <row r="497" spans="1:20" x14ac:dyDescent="0.3">
      <c r="A497" s="2">
        <v>496</v>
      </c>
      <c r="B497" s="2" t="s">
        <v>29</v>
      </c>
      <c r="C497" s="2">
        <v>56</v>
      </c>
      <c r="D497" s="2" t="s">
        <v>15</v>
      </c>
      <c r="E497" s="2">
        <v>118</v>
      </c>
      <c r="F497" s="2">
        <v>1.9</v>
      </c>
      <c r="G497" s="2">
        <v>199</v>
      </c>
      <c r="H497" s="2">
        <v>126</v>
      </c>
      <c r="I497" s="2">
        <v>68</v>
      </c>
      <c r="J497" s="2">
        <v>0.66</v>
      </c>
      <c r="K497" s="2">
        <v>412</v>
      </c>
      <c r="L497" s="2" t="s">
        <v>18</v>
      </c>
      <c r="M497" s="2">
        <v>22.6</v>
      </c>
      <c r="N497" s="2">
        <v>3.2</v>
      </c>
      <c r="O497" s="2">
        <v>2</v>
      </c>
      <c r="P497" s="2">
        <v>1</v>
      </c>
      <c r="Q497" s="2">
        <v>32.69</v>
      </c>
      <c r="R497" s="2" t="str" cm="1">
        <f t="array" ref="R497">_xlfn.IFS(Q497&lt;18.5,"Underweight",
AND(Q497&gt;=18.5,Q497&lt;25),"Normal Weight",
AND(Q497&gt;=25,Q497&lt;30),"Overweight",
Q497&gt;=30,"Obesity")</f>
        <v>Obesity</v>
      </c>
      <c r="S497" s="2">
        <f t="shared" si="7"/>
        <v>624.24242424242425</v>
      </c>
      <c r="T497" s="2" t="str" cm="1">
        <f t="array" ref="T497">_xlfn.IFS(N497&lt;=2.5,"Low",N497&lt;=3,"Medium",N497&gt;3,"High")</f>
        <v>High</v>
      </c>
    </row>
    <row r="498" spans="1:20" x14ac:dyDescent="0.3">
      <c r="A498" s="2">
        <v>497</v>
      </c>
      <c r="B498" s="2" t="s">
        <v>21</v>
      </c>
      <c r="C498" s="2">
        <v>49</v>
      </c>
      <c r="D498" s="2" t="s">
        <v>15</v>
      </c>
      <c r="E498" s="2">
        <v>82.3</v>
      </c>
      <c r="F498" s="2">
        <v>1.84</v>
      </c>
      <c r="G498" s="2">
        <v>192</v>
      </c>
      <c r="H498" s="2">
        <v>146</v>
      </c>
      <c r="I498" s="2">
        <v>71</v>
      </c>
      <c r="J498" s="2">
        <v>1.29</v>
      </c>
      <c r="K498" s="2">
        <v>932</v>
      </c>
      <c r="L498" s="2" t="s">
        <v>20</v>
      </c>
      <c r="M498" s="2">
        <v>28.4</v>
      </c>
      <c r="N498" s="2">
        <v>3.4</v>
      </c>
      <c r="O498" s="2">
        <v>4</v>
      </c>
      <c r="P498" s="2">
        <v>2</v>
      </c>
      <c r="Q498" s="2">
        <v>24.31</v>
      </c>
      <c r="R498" s="2" t="str" cm="1">
        <f t="array" ref="R498">_xlfn.IFS(Q498&lt;18.5,"Underweight",
AND(Q498&gt;=18.5,Q498&lt;25),"Normal Weight",
AND(Q498&gt;=25,Q498&lt;30),"Overweight",
Q498&gt;=30,"Obesity")</f>
        <v>Normal Weight</v>
      </c>
      <c r="S498" s="2">
        <f t="shared" si="7"/>
        <v>722.48062015503876</v>
      </c>
      <c r="T498" s="2" t="str" cm="1">
        <f t="array" ref="T498">_xlfn.IFS(N498&lt;=2.5,"Low",N498&lt;=3,"Medium",N498&gt;3,"High")</f>
        <v>High</v>
      </c>
    </row>
    <row r="499" spans="1:20" x14ac:dyDescent="0.3">
      <c r="A499" s="2">
        <v>498</v>
      </c>
      <c r="B499" s="2" t="s">
        <v>21</v>
      </c>
      <c r="C499" s="2">
        <v>41</v>
      </c>
      <c r="D499" s="2" t="s">
        <v>15</v>
      </c>
      <c r="E499" s="2">
        <v>81.599999999999994</v>
      </c>
      <c r="F499" s="2">
        <v>1.87</v>
      </c>
      <c r="G499" s="2">
        <v>167</v>
      </c>
      <c r="H499" s="2">
        <v>128</v>
      </c>
      <c r="I499" s="2">
        <v>59</v>
      </c>
      <c r="J499" s="2">
        <v>1.87</v>
      </c>
      <c r="K499" s="2">
        <v>1185</v>
      </c>
      <c r="L499" s="2" t="s">
        <v>18</v>
      </c>
      <c r="M499" s="2">
        <v>10.199999999999999</v>
      </c>
      <c r="N499" s="2">
        <v>3.5</v>
      </c>
      <c r="O499" s="2">
        <v>5</v>
      </c>
      <c r="P499" s="2">
        <v>3</v>
      </c>
      <c r="Q499" s="2">
        <v>23.33</v>
      </c>
      <c r="R499" s="2" t="str" cm="1">
        <f t="array" ref="R499">_xlfn.IFS(Q499&lt;18.5,"Underweight",
AND(Q499&gt;=18.5,Q499&lt;25),"Normal Weight",
AND(Q499&gt;=25,Q499&lt;30),"Overweight",
Q499&gt;=30,"Obesity")</f>
        <v>Normal Weight</v>
      </c>
      <c r="S499" s="2">
        <f t="shared" si="7"/>
        <v>633.68983957219245</v>
      </c>
      <c r="T499" s="2" t="str" cm="1">
        <f t="array" ref="T499">_xlfn.IFS(N499&lt;=2.5,"Low",N499&lt;=3,"Medium",N499&gt;3,"High")</f>
        <v>High</v>
      </c>
    </row>
    <row r="500" spans="1:20" x14ac:dyDescent="0.3">
      <c r="A500" s="2">
        <v>499</v>
      </c>
      <c r="B500" s="2" t="s">
        <v>30</v>
      </c>
      <c r="C500" s="2">
        <v>40</v>
      </c>
      <c r="D500" s="2" t="s">
        <v>15</v>
      </c>
      <c r="E500" s="2">
        <v>60.2</v>
      </c>
      <c r="F500" s="2">
        <v>1.88</v>
      </c>
      <c r="G500" s="2">
        <v>183</v>
      </c>
      <c r="H500" s="2">
        <v>141</v>
      </c>
      <c r="I500" s="2">
        <v>61</v>
      </c>
      <c r="J500" s="2">
        <v>1.22</v>
      </c>
      <c r="K500" s="2">
        <v>946</v>
      </c>
      <c r="L500" s="2" t="s">
        <v>19</v>
      </c>
      <c r="M500" s="2">
        <v>25.2</v>
      </c>
      <c r="N500" s="2">
        <v>3</v>
      </c>
      <c r="O500" s="2">
        <v>3</v>
      </c>
      <c r="P500" s="2">
        <v>2</v>
      </c>
      <c r="Q500" s="2">
        <v>17.03</v>
      </c>
      <c r="R500" s="2" t="str" cm="1">
        <f t="array" ref="R500">_xlfn.IFS(Q500&lt;18.5,"Underweight",
AND(Q500&gt;=18.5,Q500&lt;25),"Normal Weight",
AND(Q500&gt;=25,Q500&lt;30),"Overweight",
Q500&gt;=30,"Obesity")</f>
        <v>Underweight</v>
      </c>
      <c r="S500" s="2">
        <f t="shared" si="7"/>
        <v>775.40983606557381</v>
      </c>
      <c r="T500" s="2" t="str" cm="1">
        <f t="array" ref="T500">_xlfn.IFS(N500&lt;=2.5,"Low",N500&lt;=3,"Medium",N500&gt;3,"High")</f>
        <v>Medium</v>
      </c>
    </row>
    <row r="501" spans="1:20" x14ac:dyDescent="0.3">
      <c r="A501" s="2">
        <v>500</v>
      </c>
      <c r="B501" s="2" t="s">
        <v>26</v>
      </c>
      <c r="C501" s="2">
        <v>49</v>
      </c>
      <c r="D501" s="2" t="s">
        <v>16</v>
      </c>
      <c r="E501" s="2">
        <v>49.2</v>
      </c>
      <c r="F501" s="2">
        <v>1.54</v>
      </c>
      <c r="G501" s="2">
        <v>179</v>
      </c>
      <c r="H501" s="2">
        <v>153</v>
      </c>
      <c r="I501" s="2">
        <v>63</v>
      </c>
      <c r="J501" s="2">
        <v>1.28</v>
      </c>
      <c r="K501" s="2">
        <v>881</v>
      </c>
      <c r="L501" s="2" t="s">
        <v>18</v>
      </c>
      <c r="M501" s="2">
        <v>30.7</v>
      </c>
      <c r="N501" s="2">
        <v>2.1</v>
      </c>
      <c r="O501" s="2">
        <v>3</v>
      </c>
      <c r="P501" s="2">
        <v>2</v>
      </c>
      <c r="Q501" s="2">
        <v>20.75</v>
      </c>
      <c r="R501" s="2" t="str" cm="1">
        <f t="array" ref="R501">_xlfn.IFS(Q501&lt;18.5,"Underweight",
AND(Q501&gt;=18.5,Q501&lt;25),"Normal Weight",
AND(Q501&gt;=25,Q501&lt;30),"Overweight",
Q501&gt;=30,"Obesity")</f>
        <v>Normal Weight</v>
      </c>
      <c r="S501" s="2">
        <f t="shared" si="7"/>
        <v>688.28125</v>
      </c>
      <c r="T501" s="2" t="str" cm="1">
        <f t="array" ref="T501">_xlfn.IFS(N501&lt;=2.5,"Low",N501&lt;=3,"Medium",N501&gt;3,"High")</f>
        <v>Low</v>
      </c>
    </row>
    <row r="502" spans="1:20" x14ac:dyDescent="0.3">
      <c r="A502" s="2">
        <v>501</v>
      </c>
      <c r="B502" s="2" t="s">
        <v>30</v>
      </c>
      <c r="C502" s="2">
        <v>54</v>
      </c>
      <c r="D502" s="2" t="s">
        <v>16</v>
      </c>
      <c r="E502" s="2">
        <v>46.6</v>
      </c>
      <c r="F502" s="2">
        <v>1.5</v>
      </c>
      <c r="G502" s="2">
        <v>175</v>
      </c>
      <c r="H502" s="2">
        <v>165</v>
      </c>
      <c r="I502" s="2">
        <v>58</v>
      </c>
      <c r="J502" s="2">
        <v>1.38</v>
      </c>
      <c r="K502" s="2">
        <v>1025</v>
      </c>
      <c r="L502" s="2" t="s">
        <v>20</v>
      </c>
      <c r="M502" s="2">
        <v>30.6</v>
      </c>
      <c r="N502" s="2">
        <v>2</v>
      </c>
      <c r="O502" s="2">
        <v>2</v>
      </c>
      <c r="P502" s="2">
        <v>1</v>
      </c>
      <c r="Q502" s="2">
        <v>20.71</v>
      </c>
      <c r="R502" s="2" t="str" cm="1">
        <f t="array" ref="R502">_xlfn.IFS(Q502&lt;18.5,"Underweight",
AND(Q502&gt;=18.5,Q502&lt;25),"Normal Weight",
AND(Q502&gt;=25,Q502&lt;30),"Overweight",
Q502&gt;=30,"Obesity")</f>
        <v>Normal Weight</v>
      </c>
      <c r="S502" s="2">
        <f t="shared" si="7"/>
        <v>742.75362318840587</v>
      </c>
      <c r="T502" s="2" t="str" cm="1">
        <f t="array" ref="T502">_xlfn.IFS(N502&lt;=2.5,"Low",N502&lt;=3,"Medium",N502&gt;3,"High")</f>
        <v>Low</v>
      </c>
    </row>
    <row r="503" spans="1:20" x14ac:dyDescent="0.3">
      <c r="A503" s="2">
        <v>502</v>
      </c>
      <c r="B503" s="2" t="s">
        <v>29</v>
      </c>
      <c r="C503" s="2">
        <v>29</v>
      </c>
      <c r="D503" s="2" t="s">
        <v>16</v>
      </c>
      <c r="E503" s="2">
        <v>68.7</v>
      </c>
      <c r="F503" s="2">
        <v>1.72</v>
      </c>
      <c r="G503" s="2">
        <v>171</v>
      </c>
      <c r="H503" s="2">
        <v>168</v>
      </c>
      <c r="I503" s="2">
        <v>62</v>
      </c>
      <c r="J503" s="2">
        <v>1.08</v>
      </c>
      <c r="K503" s="2">
        <v>907</v>
      </c>
      <c r="L503" s="2" t="s">
        <v>19</v>
      </c>
      <c r="M503" s="2">
        <v>29.8</v>
      </c>
      <c r="N503" s="2">
        <v>1.7</v>
      </c>
      <c r="O503" s="2">
        <v>4</v>
      </c>
      <c r="P503" s="2">
        <v>2</v>
      </c>
      <c r="Q503" s="2">
        <v>23.22</v>
      </c>
      <c r="R503" s="2" t="str" cm="1">
        <f t="array" ref="R503">_xlfn.IFS(Q503&lt;18.5,"Underweight",
AND(Q503&gt;=18.5,Q503&lt;25),"Normal Weight",
AND(Q503&gt;=25,Q503&lt;30),"Overweight",
Q503&gt;=30,"Obesity")</f>
        <v>Normal Weight</v>
      </c>
      <c r="S503" s="2">
        <f t="shared" si="7"/>
        <v>839.81481481481478</v>
      </c>
      <c r="T503" s="2" t="str" cm="1">
        <f t="array" ref="T503">_xlfn.IFS(N503&lt;=2.5,"Low",N503&lt;=3,"Medium",N503&gt;3,"High")</f>
        <v>Low</v>
      </c>
    </row>
    <row r="504" spans="1:20" x14ac:dyDescent="0.3">
      <c r="A504" s="2">
        <v>503</v>
      </c>
      <c r="B504" s="2" t="s">
        <v>29</v>
      </c>
      <c r="C504" s="2">
        <v>30</v>
      </c>
      <c r="D504" s="2" t="s">
        <v>16</v>
      </c>
      <c r="E504" s="2">
        <v>60.6</v>
      </c>
      <c r="F504" s="2">
        <v>1.55</v>
      </c>
      <c r="G504" s="2">
        <v>172</v>
      </c>
      <c r="H504" s="2">
        <v>120</v>
      </c>
      <c r="I504" s="2">
        <v>52</v>
      </c>
      <c r="J504" s="2">
        <v>1.3</v>
      </c>
      <c r="K504" s="2">
        <v>780</v>
      </c>
      <c r="L504" s="2" t="s">
        <v>20</v>
      </c>
      <c r="M504" s="2">
        <v>32.9</v>
      </c>
      <c r="N504" s="2">
        <v>1.6</v>
      </c>
      <c r="O504" s="2">
        <v>3</v>
      </c>
      <c r="P504" s="2">
        <v>2</v>
      </c>
      <c r="Q504" s="2">
        <v>25.22</v>
      </c>
      <c r="R504" s="2" t="str" cm="1">
        <f t="array" ref="R504">_xlfn.IFS(Q504&lt;18.5,"Underweight",
AND(Q504&gt;=18.5,Q504&lt;25),"Normal Weight",
AND(Q504&gt;=25,Q504&lt;30),"Overweight",
Q504&gt;=30,"Obesity")</f>
        <v>Overweight</v>
      </c>
      <c r="S504" s="2">
        <f t="shared" si="7"/>
        <v>600</v>
      </c>
      <c r="T504" s="2" t="str" cm="1">
        <f t="array" ref="T504">_xlfn.IFS(N504&lt;=2.5,"Low",N504&lt;=3,"Medium",N504&gt;3,"High")</f>
        <v>Low</v>
      </c>
    </row>
    <row r="505" spans="1:20" x14ac:dyDescent="0.3">
      <c r="A505" s="2">
        <v>504</v>
      </c>
      <c r="B505" s="2" t="s">
        <v>22</v>
      </c>
      <c r="C505" s="2">
        <v>40</v>
      </c>
      <c r="D505" s="2" t="s">
        <v>15</v>
      </c>
      <c r="E505" s="2">
        <v>52.1</v>
      </c>
      <c r="F505" s="2">
        <v>1.61</v>
      </c>
      <c r="G505" s="2">
        <v>198</v>
      </c>
      <c r="H505" s="2">
        <v>128</v>
      </c>
      <c r="I505" s="2">
        <v>70</v>
      </c>
      <c r="J505" s="2">
        <v>0.87</v>
      </c>
      <c r="K505" s="2">
        <v>612</v>
      </c>
      <c r="L505" s="2" t="s">
        <v>18</v>
      </c>
      <c r="M505" s="2">
        <v>21.3</v>
      </c>
      <c r="N505" s="2">
        <v>3.3</v>
      </c>
      <c r="O505" s="2">
        <v>2</v>
      </c>
      <c r="P505" s="2">
        <v>1</v>
      </c>
      <c r="Q505" s="2">
        <v>20.100000000000001</v>
      </c>
      <c r="R505" s="2" t="str" cm="1">
        <f t="array" ref="R505">_xlfn.IFS(Q505&lt;18.5,"Underweight",
AND(Q505&gt;=18.5,Q505&lt;25),"Normal Weight",
AND(Q505&gt;=25,Q505&lt;30),"Overweight",
Q505&gt;=30,"Obesity")</f>
        <v>Normal Weight</v>
      </c>
      <c r="S505" s="2">
        <f t="shared" si="7"/>
        <v>703.44827586206895</v>
      </c>
      <c r="T505" s="2" t="str" cm="1">
        <f t="array" ref="T505">_xlfn.IFS(N505&lt;=2.5,"Low",N505&lt;=3,"Medium",N505&gt;3,"High")</f>
        <v>High</v>
      </c>
    </row>
    <row r="506" spans="1:20" x14ac:dyDescent="0.3">
      <c r="A506" s="2">
        <v>505</v>
      </c>
      <c r="B506" s="2" t="s">
        <v>30</v>
      </c>
      <c r="C506" s="2">
        <v>42</v>
      </c>
      <c r="D506" s="2" t="s">
        <v>16</v>
      </c>
      <c r="E506" s="2">
        <v>46.6</v>
      </c>
      <c r="F506" s="2">
        <v>1.77</v>
      </c>
      <c r="G506" s="2">
        <v>184</v>
      </c>
      <c r="H506" s="2">
        <v>139</v>
      </c>
      <c r="I506" s="2">
        <v>63</v>
      </c>
      <c r="J506" s="2">
        <v>0.61</v>
      </c>
      <c r="K506" s="2">
        <v>382</v>
      </c>
      <c r="L506" s="2" t="s">
        <v>17</v>
      </c>
      <c r="M506" s="2">
        <v>28.1</v>
      </c>
      <c r="N506" s="2">
        <v>2.6</v>
      </c>
      <c r="O506" s="2">
        <v>2</v>
      </c>
      <c r="P506" s="2">
        <v>1</v>
      </c>
      <c r="Q506" s="2">
        <v>14.87</v>
      </c>
      <c r="R506" s="2" t="str" cm="1">
        <f t="array" ref="R506">_xlfn.IFS(Q506&lt;18.5,"Underweight",
AND(Q506&gt;=18.5,Q506&lt;25),"Normal Weight",
AND(Q506&gt;=25,Q506&lt;30),"Overweight",
Q506&gt;=30,"Obesity")</f>
        <v>Underweight</v>
      </c>
      <c r="S506" s="2">
        <f t="shared" si="7"/>
        <v>626.22950819672133</v>
      </c>
      <c r="T506" s="2" t="str" cm="1">
        <f t="array" ref="T506">_xlfn.IFS(N506&lt;=2.5,"Low",N506&lt;=3,"Medium",N506&gt;3,"High")</f>
        <v>Medium</v>
      </c>
    </row>
    <row r="507" spans="1:20" x14ac:dyDescent="0.3">
      <c r="A507" s="2">
        <v>506</v>
      </c>
      <c r="B507" s="2" t="s">
        <v>27</v>
      </c>
      <c r="C507" s="2">
        <v>52</v>
      </c>
      <c r="D507" s="2" t="s">
        <v>15</v>
      </c>
      <c r="E507" s="2">
        <v>65.5</v>
      </c>
      <c r="F507" s="2">
        <v>1.74</v>
      </c>
      <c r="G507" s="2">
        <v>191</v>
      </c>
      <c r="H507" s="2">
        <v>138</v>
      </c>
      <c r="I507" s="2">
        <v>70</v>
      </c>
      <c r="J507" s="2">
        <v>1.48</v>
      </c>
      <c r="K507" s="2">
        <v>1011</v>
      </c>
      <c r="L507" s="2" t="s">
        <v>20</v>
      </c>
      <c r="M507" s="2">
        <v>26.2</v>
      </c>
      <c r="N507" s="2">
        <v>2.8</v>
      </c>
      <c r="O507" s="2">
        <v>4</v>
      </c>
      <c r="P507" s="2">
        <v>2</v>
      </c>
      <c r="Q507" s="2">
        <v>21.63</v>
      </c>
      <c r="R507" s="2" t="str" cm="1">
        <f t="array" ref="R507">_xlfn.IFS(Q507&lt;18.5,"Underweight",
AND(Q507&gt;=18.5,Q507&lt;25),"Normal Weight",
AND(Q507&gt;=25,Q507&lt;30),"Overweight",
Q507&gt;=30,"Obesity")</f>
        <v>Normal Weight</v>
      </c>
      <c r="S507" s="2">
        <f t="shared" si="7"/>
        <v>683.10810810810813</v>
      </c>
      <c r="T507" s="2" t="str" cm="1">
        <f t="array" ref="T507">_xlfn.IFS(N507&lt;=2.5,"Low",N507&lt;=3,"Medium",N507&gt;3,"High")</f>
        <v>Medium</v>
      </c>
    </row>
    <row r="508" spans="1:20" x14ac:dyDescent="0.3">
      <c r="A508" s="2">
        <v>507</v>
      </c>
      <c r="B508" s="2" t="s">
        <v>26</v>
      </c>
      <c r="C508" s="2">
        <v>58</v>
      </c>
      <c r="D508" s="2" t="s">
        <v>16</v>
      </c>
      <c r="E508" s="2">
        <v>44.2</v>
      </c>
      <c r="F508" s="2">
        <v>1.57</v>
      </c>
      <c r="G508" s="2">
        <v>183</v>
      </c>
      <c r="H508" s="2">
        <v>155</v>
      </c>
      <c r="I508" s="2">
        <v>59</v>
      </c>
      <c r="J508" s="2">
        <v>1.08</v>
      </c>
      <c r="K508" s="2">
        <v>753</v>
      </c>
      <c r="L508" s="2" t="s">
        <v>18</v>
      </c>
      <c r="M508" s="2">
        <v>31.9</v>
      </c>
      <c r="N508" s="2">
        <v>2.2999999999999998</v>
      </c>
      <c r="O508" s="2">
        <v>3</v>
      </c>
      <c r="P508" s="2">
        <v>1</v>
      </c>
      <c r="Q508" s="2">
        <v>17.93</v>
      </c>
      <c r="R508" s="2" t="str" cm="1">
        <f t="array" ref="R508">_xlfn.IFS(Q508&lt;18.5,"Underweight",
AND(Q508&gt;=18.5,Q508&lt;25),"Normal Weight",
AND(Q508&gt;=25,Q508&lt;30),"Overweight",
Q508&gt;=30,"Obesity")</f>
        <v>Underweight</v>
      </c>
      <c r="S508" s="2">
        <f t="shared" si="7"/>
        <v>697.22222222222217</v>
      </c>
      <c r="T508" s="2" t="str" cm="1">
        <f t="array" ref="T508">_xlfn.IFS(N508&lt;=2.5,"Low",N508&lt;=3,"Medium",N508&gt;3,"High")</f>
        <v>Low</v>
      </c>
    </row>
    <row r="509" spans="1:20" x14ac:dyDescent="0.3">
      <c r="A509" s="2">
        <v>508</v>
      </c>
      <c r="B509" s="2" t="s">
        <v>29</v>
      </c>
      <c r="C509" s="2">
        <v>47</v>
      </c>
      <c r="D509" s="2" t="s">
        <v>15</v>
      </c>
      <c r="E509" s="2">
        <v>89.1</v>
      </c>
      <c r="F509" s="2">
        <v>1.84</v>
      </c>
      <c r="G509" s="2">
        <v>168</v>
      </c>
      <c r="H509" s="2">
        <v>159</v>
      </c>
      <c r="I509" s="2">
        <v>65</v>
      </c>
      <c r="J509" s="2">
        <v>1.44</v>
      </c>
      <c r="K509" s="2">
        <v>1133</v>
      </c>
      <c r="L509" s="2" t="s">
        <v>17</v>
      </c>
      <c r="M509" s="2">
        <v>24</v>
      </c>
      <c r="N509" s="2">
        <v>3.6</v>
      </c>
      <c r="O509" s="2">
        <v>3</v>
      </c>
      <c r="P509" s="2">
        <v>2</v>
      </c>
      <c r="Q509" s="2">
        <v>26.32</v>
      </c>
      <c r="R509" s="2" t="str" cm="1">
        <f t="array" ref="R509">_xlfn.IFS(Q509&lt;18.5,"Underweight",
AND(Q509&gt;=18.5,Q509&lt;25),"Normal Weight",
AND(Q509&gt;=25,Q509&lt;30),"Overweight",
Q509&gt;=30,"Obesity")</f>
        <v>Overweight</v>
      </c>
      <c r="S509" s="2">
        <f t="shared" si="7"/>
        <v>786.80555555555554</v>
      </c>
      <c r="T509" s="2" t="str" cm="1">
        <f t="array" ref="T509">_xlfn.IFS(N509&lt;=2.5,"Low",N509&lt;=3,"Medium",N509&gt;3,"High")</f>
        <v>High</v>
      </c>
    </row>
    <row r="510" spans="1:20" x14ac:dyDescent="0.3">
      <c r="A510" s="2">
        <v>509</v>
      </c>
      <c r="B510" s="2" t="s">
        <v>22</v>
      </c>
      <c r="C510" s="2">
        <v>34</v>
      </c>
      <c r="D510" s="2" t="s">
        <v>15</v>
      </c>
      <c r="E510" s="2">
        <v>65.900000000000006</v>
      </c>
      <c r="F510" s="2">
        <v>1.62</v>
      </c>
      <c r="G510" s="2">
        <v>199</v>
      </c>
      <c r="H510" s="2">
        <v>164</v>
      </c>
      <c r="I510" s="2">
        <v>56</v>
      </c>
      <c r="J510" s="2">
        <v>0.81</v>
      </c>
      <c r="K510" s="2">
        <v>731</v>
      </c>
      <c r="L510" s="2" t="s">
        <v>17</v>
      </c>
      <c r="M510" s="2">
        <v>28.8</v>
      </c>
      <c r="N510" s="2">
        <v>2.2000000000000002</v>
      </c>
      <c r="O510" s="2">
        <v>2</v>
      </c>
      <c r="P510" s="2">
        <v>1</v>
      </c>
      <c r="Q510" s="2">
        <v>25.11</v>
      </c>
      <c r="R510" s="2" t="str" cm="1">
        <f t="array" ref="R510">_xlfn.IFS(Q510&lt;18.5,"Underweight",
AND(Q510&gt;=18.5,Q510&lt;25),"Normal Weight",
AND(Q510&gt;=25,Q510&lt;30),"Overweight",
Q510&gt;=30,"Obesity")</f>
        <v>Overweight</v>
      </c>
      <c r="S510" s="2">
        <f t="shared" si="7"/>
        <v>902.46913580246905</v>
      </c>
      <c r="T510" s="2" t="str" cm="1">
        <f t="array" ref="T510">_xlfn.IFS(N510&lt;=2.5,"Low",N510&lt;=3,"Medium",N510&gt;3,"High")</f>
        <v>Low</v>
      </c>
    </row>
    <row r="511" spans="1:20" x14ac:dyDescent="0.3">
      <c r="A511" s="2">
        <v>510</v>
      </c>
      <c r="B511" s="2" t="s">
        <v>30</v>
      </c>
      <c r="C511" s="2">
        <v>37</v>
      </c>
      <c r="D511" s="2" t="s">
        <v>16</v>
      </c>
      <c r="E511" s="2">
        <v>55.6</v>
      </c>
      <c r="F511" s="2">
        <v>1.57</v>
      </c>
      <c r="G511" s="2">
        <v>182</v>
      </c>
      <c r="H511" s="2">
        <v>123</v>
      </c>
      <c r="I511" s="2">
        <v>53</v>
      </c>
      <c r="J511" s="2">
        <v>0.97</v>
      </c>
      <c r="K511" s="2">
        <v>597</v>
      </c>
      <c r="L511" s="2" t="s">
        <v>19</v>
      </c>
      <c r="M511" s="2">
        <v>29.2</v>
      </c>
      <c r="N511" s="2">
        <v>2.4</v>
      </c>
      <c r="O511" s="2">
        <v>2</v>
      </c>
      <c r="P511" s="2">
        <v>1</v>
      </c>
      <c r="Q511" s="2">
        <v>22.56</v>
      </c>
      <c r="R511" s="2" t="str" cm="1">
        <f t="array" ref="R511">_xlfn.IFS(Q511&lt;18.5,"Underweight",
AND(Q511&gt;=18.5,Q511&lt;25),"Normal Weight",
AND(Q511&gt;=25,Q511&lt;30),"Overweight",
Q511&gt;=30,"Obesity")</f>
        <v>Normal Weight</v>
      </c>
      <c r="S511" s="2">
        <f t="shared" si="7"/>
        <v>615.46391752577324</v>
      </c>
      <c r="T511" s="2" t="str" cm="1">
        <f t="array" ref="T511">_xlfn.IFS(N511&lt;=2.5,"Low",N511&lt;=3,"Medium",N511&gt;3,"High")</f>
        <v>Low</v>
      </c>
    </row>
    <row r="512" spans="1:20" x14ac:dyDescent="0.3">
      <c r="A512" s="2">
        <v>511</v>
      </c>
      <c r="B512" s="2" t="s">
        <v>26</v>
      </c>
      <c r="C512" s="2">
        <v>42</v>
      </c>
      <c r="D512" s="2" t="s">
        <v>15</v>
      </c>
      <c r="E512" s="2">
        <v>63.7</v>
      </c>
      <c r="F512" s="2">
        <v>1.98</v>
      </c>
      <c r="G512" s="2">
        <v>172</v>
      </c>
      <c r="H512" s="2">
        <v>128</v>
      </c>
      <c r="I512" s="2">
        <v>69</v>
      </c>
      <c r="J512" s="2">
        <v>1.37</v>
      </c>
      <c r="K512" s="2">
        <v>868</v>
      </c>
      <c r="L512" s="2" t="s">
        <v>17</v>
      </c>
      <c r="M512" s="2">
        <v>24</v>
      </c>
      <c r="N512" s="2">
        <v>3</v>
      </c>
      <c r="O512" s="2">
        <v>2</v>
      </c>
      <c r="P512" s="2">
        <v>1</v>
      </c>
      <c r="Q512" s="2">
        <v>16.25</v>
      </c>
      <c r="R512" s="2" t="str" cm="1">
        <f t="array" ref="R512">_xlfn.IFS(Q512&lt;18.5,"Underweight",
AND(Q512&gt;=18.5,Q512&lt;25),"Normal Weight",
AND(Q512&gt;=25,Q512&lt;30),"Overweight",
Q512&gt;=30,"Obesity")</f>
        <v>Underweight</v>
      </c>
      <c r="S512" s="2">
        <f t="shared" si="7"/>
        <v>633.57664233576634</v>
      </c>
      <c r="T512" s="2" t="str" cm="1">
        <f t="array" ref="T512">_xlfn.IFS(N512&lt;=2.5,"Low",N512&lt;=3,"Medium",N512&gt;3,"High")</f>
        <v>Medium</v>
      </c>
    </row>
    <row r="513" spans="1:20" x14ac:dyDescent="0.3">
      <c r="A513" s="2">
        <v>512</v>
      </c>
      <c r="B513" s="2" t="s">
        <v>30</v>
      </c>
      <c r="C513" s="2">
        <v>39</v>
      </c>
      <c r="D513" s="2" t="s">
        <v>15</v>
      </c>
      <c r="E513" s="2">
        <v>86.2</v>
      </c>
      <c r="F513" s="2">
        <v>1.82</v>
      </c>
      <c r="G513" s="2">
        <v>191</v>
      </c>
      <c r="H513" s="2">
        <v>160</v>
      </c>
      <c r="I513" s="2">
        <v>72</v>
      </c>
      <c r="J513" s="2">
        <v>1.96</v>
      </c>
      <c r="K513" s="2">
        <v>1725</v>
      </c>
      <c r="L513" s="2" t="s">
        <v>20</v>
      </c>
      <c r="M513" s="2">
        <v>10.199999999999999</v>
      </c>
      <c r="N513" s="2">
        <v>3.5</v>
      </c>
      <c r="O513" s="2">
        <v>5</v>
      </c>
      <c r="P513" s="2">
        <v>3</v>
      </c>
      <c r="Q513" s="2">
        <v>26.02</v>
      </c>
      <c r="R513" s="2" t="str" cm="1">
        <f t="array" ref="R513">_xlfn.IFS(Q513&lt;18.5,"Underweight",
AND(Q513&gt;=18.5,Q513&lt;25),"Normal Weight",
AND(Q513&gt;=25,Q513&lt;30),"Overweight",
Q513&gt;=30,"Obesity")</f>
        <v>Overweight</v>
      </c>
      <c r="S513" s="2">
        <f t="shared" si="7"/>
        <v>880.10204081632651</v>
      </c>
      <c r="T513" s="2" t="str" cm="1">
        <f t="array" ref="T513">_xlfn.IFS(N513&lt;=2.5,"Low",N513&lt;=3,"Medium",N513&gt;3,"High")</f>
        <v>High</v>
      </c>
    </row>
    <row r="514" spans="1:20" x14ac:dyDescent="0.3">
      <c r="A514" s="2">
        <v>513</v>
      </c>
      <c r="B514" s="2" t="s">
        <v>21</v>
      </c>
      <c r="C514" s="2">
        <v>30</v>
      </c>
      <c r="D514" s="2" t="s">
        <v>16</v>
      </c>
      <c r="E514" s="2">
        <v>59.2</v>
      </c>
      <c r="F514" s="2">
        <v>1.63</v>
      </c>
      <c r="G514" s="2">
        <v>174</v>
      </c>
      <c r="H514" s="2">
        <v>141</v>
      </c>
      <c r="I514" s="2">
        <v>74</v>
      </c>
      <c r="J514" s="2">
        <v>1.85</v>
      </c>
      <c r="K514" s="2">
        <v>1304</v>
      </c>
      <c r="L514" s="2" t="s">
        <v>20</v>
      </c>
      <c r="M514" s="2">
        <v>17.8</v>
      </c>
      <c r="N514" s="2">
        <v>2.7</v>
      </c>
      <c r="O514" s="2">
        <v>4</v>
      </c>
      <c r="P514" s="2">
        <v>3</v>
      </c>
      <c r="Q514" s="2">
        <v>22.28</v>
      </c>
      <c r="R514" s="2" t="str" cm="1">
        <f t="array" ref="R514">_xlfn.IFS(Q514&lt;18.5,"Underweight",
AND(Q514&gt;=18.5,Q514&lt;25),"Normal Weight",
AND(Q514&gt;=25,Q514&lt;30),"Overweight",
Q514&gt;=30,"Obesity")</f>
        <v>Normal Weight</v>
      </c>
      <c r="S514" s="2">
        <f t="shared" si="7"/>
        <v>704.86486486486478</v>
      </c>
      <c r="T514" s="2" t="str" cm="1">
        <f t="array" ref="T514">_xlfn.IFS(N514&lt;=2.5,"Low",N514&lt;=3,"Medium",N514&gt;3,"High")</f>
        <v>Medium</v>
      </c>
    </row>
    <row r="515" spans="1:20" x14ac:dyDescent="0.3">
      <c r="A515" s="2">
        <v>514</v>
      </c>
      <c r="B515" s="2" t="s">
        <v>22</v>
      </c>
      <c r="C515" s="2">
        <v>36</v>
      </c>
      <c r="D515" s="2" t="s">
        <v>15</v>
      </c>
      <c r="E515" s="2">
        <v>85.4</v>
      </c>
      <c r="F515" s="2">
        <v>1.88</v>
      </c>
      <c r="G515" s="2">
        <v>195</v>
      </c>
      <c r="H515" s="2">
        <v>137</v>
      </c>
      <c r="I515" s="2">
        <v>60</v>
      </c>
      <c r="J515" s="2">
        <v>1.98</v>
      </c>
      <c r="K515" s="2">
        <v>1492</v>
      </c>
      <c r="L515" s="2" t="s">
        <v>17</v>
      </c>
      <c r="M515" s="2">
        <v>13.5</v>
      </c>
      <c r="N515" s="2">
        <v>3.5</v>
      </c>
      <c r="O515" s="2">
        <v>5</v>
      </c>
      <c r="P515" s="2">
        <v>3</v>
      </c>
      <c r="Q515" s="2">
        <v>24.16</v>
      </c>
      <c r="R515" s="2" t="str" cm="1">
        <f t="array" ref="R515">_xlfn.IFS(Q515&lt;18.5,"Underweight",
AND(Q515&gt;=18.5,Q515&lt;25),"Normal Weight",
AND(Q515&gt;=25,Q515&lt;30),"Overweight",
Q515&gt;=30,"Obesity")</f>
        <v>Normal Weight</v>
      </c>
      <c r="S515" s="2">
        <f t="shared" ref="S515:S578" si="8">K515/J515</f>
        <v>753.53535353535358</v>
      </c>
      <c r="T515" s="2" t="str" cm="1">
        <f t="array" ref="T515">_xlfn.IFS(N515&lt;=2.5,"Low",N515&lt;=3,"Medium",N515&gt;3,"High")</f>
        <v>High</v>
      </c>
    </row>
    <row r="516" spans="1:20" x14ac:dyDescent="0.3">
      <c r="A516" s="2">
        <v>515</v>
      </c>
      <c r="B516" s="2" t="s">
        <v>26</v>
      </c>
      <c r="C516" s="2">
        <v>53</v>
      </c>
      <c r="D516" s="2" t="s">
        <v>16</v>
      </c>
      <c r="E516" s="2">
        <v>68.099999999999994</v>
      </c>
      <c r="F516" s="2">
        <v>1.55</v>
      </c>
      <c r="G516" s="2">
        <v>164</v>
      </c>
      <c r="H516" s="2">
        <v>131</v>
      </c>
      <c r="I516" s="2">
        <v>65</v>
      </c>
      <c r="J516" s="2">
        <v>1.41</v>
      </c>
      <c r="K516" s="2">
        <v>831</v>
      </c>
      <c r="L516" s="2" t="s">
        <v>18</v>
      </c>
      <c r="M516" s="2">
        <v>26.1</v>
      </c>
      <c r="N516" s="2">
        <v>2.2000000000000002</v>
      </c>
      <c r="O516" s="2">
        <v>4</v>
      </c>
      <c r="P516" s="2">
        <v>2</v>
      </c>
      <c r="Q516" s="2">
        <v>28.35</v>
      </c>
      <c r="R516" s="2" t="str" cm="1">
        <f t="array" ref="R516">_xlfn.IFS(Q516&lt;18.5,"Underweight",
AND(Q516&gt;=18.5,Q516&lt;25),"Normal Weight",
AND(Q516&gt;=25,Q516&lt;30),"Overweight",
Q516&gt;=30,"Obesity")</f>
        <v>Overweight</v>
      </c>
      <c r="S516" s="2">
        <f t="shared" si="8"/>
        <v>589.36170212765956</v>
      </c>
      <c r="T516" s="2" t="str" cm="1">
        <f t="array" ref="T516">_xlfn.IFS(N516&lt;=2.5,"Low",N516&lt;=3,"Medium",N516&gt;3,"High")</f>
        <v>Low</v>
      </c>
    </row>
    <row r="517" spans="1:20" x14ac:dyDescent="0.3">
      <c r="A517" s="2">
        <v>516</v>
      </c>
      <c r="B517" s="2" t="s">
        <v>25</v>
      </c>
      <c r="C517" s="2">
        <v>29</v>
      </c>
      <c r="D517" s="2" t="s">
        <v>16</v>
      </c>
      <c r="E517" s="2">
        <v>60</v>
      </c>
      <c r="F517" s="2">
        <v>1.62</v>
      </c>
      <c r="G517" s="2">
        <v>181</v>
      </c>
      <c r="H517" s="2">
        <v>161</v>
      </c>
      <c r="I517" s="2">
        <v>69</v>
      </c>
      <c r="J517" s="2">
        <v>0.85</v>
      </c>
      <c r="K517" s="2">
        <v>684</v>
      </c>
      <c r="L517" s="2" t="s">
        <v>20</v>
      </c>
      <c r="M517" s="2">
        <v>28.1</v>
      </c>
      <c r="N517" s="2">
        <v>1.9</v>
      </c>
      <c r="O517" s="2">
        <v>2</v>
      </c>
      <c r="P517" s="2">
        <v>1</v>
      </c>
      <c r="Q517" s="2">
        <v>22.86</v>
      </c>
      <c r="R517" s="2" t="str" cm="1">
        <f t="array" ref="R517">_xlfn.IFS(Q517&lt;18.5,"Underweight",
AND(Q517&gt;=18.5,Q517&lt;25),"Normal Weight",
AND(Q517&gt;=25,Q517&lt;30),"Overweight",
Q517&gt;=30,"Obesity")</f>
        <v>Normal Weight</v>
      </c>
      <c r="S517" s="2">
        <f t="shared" si="8"/>
        <v>804.70588235294122</v>
      </c>
      <c r="T517" s="2" t="str" cm="1">
        <f t="array" ref="T517">_xlfn.IFS(N517&lt;=2.5,"Low",N517&lt;=3,"Medium",N517&gt;3,"High")</f>
        <v>Low</v>
      </c>
    </row>
    <row r="518" spans="1:20" x14ac:dyDescent="0.3">
      <c r="A518" s="2">
        <v>517</v>
      </c>
      <c r="B518" s="2" t="s">
        <v>24</v>
      </c>
      <c r="C518" s="2">
        <v>58</v>
      </c>
      <c r="D518" s="2" t="s">
        <v>16</v>
      </c>
      <c r="E518" s="2">
        <v>74.8</v>
      </c>
      <c r="F518" s="2">
        <v>1.69</v>
      </c>
      <c r="G518" s="2">
        <v>175</v>
      </c>
      <c r="H518" s="2">
        <v>162</v>
      </c>
      <c r="I518" s="2">
        <v>53</v>
      </c>
      <c r="J518" s="2">
        <v>1.28</v>
      </c>
      <c r="K518" s="2">
        <v>933</v>
      </c>
      <c r="L518" s="2" t="s">
        <v>20</v>
      </c>
      <c r="M518" s="2">
        <v>32.799999999999997</v>
      </c>
      <c r="N518" s="2">
        <v>2.2999999999999998</v>
      </c>
      <c r="O518" s="2">
        <v>4</v>
      </c>
      <c r="P518" s="2">
        <v>2</v>
      </c>
      <c r="Q518" s="2">
        <v>26.19</v>
      </c>
      <c r="R518" s="2" t="str" cm="1">
        <f t="array" ref="R518">_xlfn.IFS(Q518&lt;18.5,"Underweight",
AND(Q518&gt;=18.5,Q518&lt;25),"Normal Weight",
AND(Q518&gt;=25,Q518&lt;30),"Overweight",
Q518&gt;=30,"Obesity")</f>
        <v>Overweight</v>
      </c>
      <c r="S518" s="2">
        <f t="shared" si="8"/>
        <v>728.90625</v>
      </c>
      <c r="T518" s="2" t="str" cm="1">
        <f t="array" ref="T518">_xlfn.IFS(N518&lt;=2.5,"Low",N518&lt;=3,"Medium",N518&gt;3,"High")</f>
        <v>Low</v>
      </c>
    </row>
    <row r="519" spans="1:20" x14ac:dyDescent="0.3">
      <c r="A519" s="2">
        <v>518</v>
      </c>
      <c r="B519" s="2" t="s">
        <v>24</v>
      </c>
      <c r="C519" s="2">
        <v>36</v>
      </c>
      <c r="D519" s="2" t="s">
        <v>15</v>
      </c>
      <c r="E519" s="2">
        <v>90.3</v>
      </c>
      <c r="F519" s="2">
        <v>1.65</v>
      </c>
      <c r="G519" s="2">
        <v>169</v>
      </c>
      <c r="H519" s="2">
        <v>158</v>
      </c>
      <c r="I519" s="2">
        <v>71</v>
      </c>
      <c r="J519" s="2">
        <v>1.38</v>
      </c>
      <c r="K519" s="2">
        <v>1199</v>
      </c>
      <c r="L519" s="2" t="s">
        <v>19</v>
      </c>
      <c r="M519" s="2">
        <v>23.7</v>
      </c>
      <c r="N519" s="2">
        <v>3.4</v>
      </c>
      <c r="O519" s="2">
        <v>4</v>
      </c>
      <c r="P519" s="2">
        <v>2</v>
      </c>
      <c r="Q519" s="2">
        <v>33.17</v>
      </c>
      <c r="R519" s="2" t="str" cm="1">
        <f t="array" ref="R519">_xlfn.IFS(Q519&lt;18.5,"Underweight",
AND(Q519&gt;=18.5,Q519&lt;25),"Normal Weight",
AND(Q519&gt;=25,Q519&lt;30),"Overweight",
Q519&gt;=30,"Obesity")</f>
        <v>Obesity</v>
      </c>
      <c r="S519" s="2">
        <f t="shared" si="8"/>
        <v>868.84057971014499</v>
      </c>
      <c r="T519" s="2" t="str" cm="1">
        <f t="array" ref="T519">_xlfn.IFS(N519&lt;=2.5,"Low",N519&lt;=3,"Medium",N519&gt;3,"High")</f>
        <v>High</v>
      </c>
    </row>
    <row r="520" spans="1:20" x14ac:dyDescent="0.3">
      <c r="A520" s="2">
        <v>519</v>
      </c>
      <c r="B520" s="2" t="s">
        <v>26</v>
      </c>
      <c r="C520" s="2">
        <v>29</v>
      </c>
      <c r="D520" s="2" t="s">
        <v>15</v>
      </c>
      <c r="E520" s="2">
        <v>86.1</v>
      </c>
      <c r="F520" s="2">
        <v>1.65</v>
      </c>
      <c r="G520" s="2">
        <v>183</v>
      </c>
      <c r="H520" s="2">
        <v>128</v>
      </c>
      <c r="I520" s="2">
        <v>71</v>
      </c>
      <c r="J520" s="2">
        <v>1.66</v>
      </c>
      <c r="K520" s="2">
        <v>1169</v>
      </c>
      <c r="L520" s="2" t="s">
        <v>18</v>
      </c>
      <c r="M520" s="2">
        <v>11.2</v>
      </c>
      <c r="N520" s="2">
        <v>3.5</v>
      </c>
      <c r="O520" s="2">
        <v>4</v>
      </c>
      <c r="P520" s="2">
        <v>3</v>
      </c>
      <c r="Q520" s="2">
        <v>31.63</v>
      </c>
      <c r="R520" s="2" t="str" cm="1">
        <f t="array" ref="R520">_xlfn.IFS(Q520&lt;18.5,"Underweight",
AND(Q520&gt;=18.5,Q520&lt;25),"Normal Weight",
AND(Q520&gt;=25,Q520&lt;30),"Overweight",
Q520&gt;=30,"Obesity")</f>
        <v>Obesity</v>
      </c>
      <c r="S520" s="2">
        <f t="shared" si="8"/>
        <v>704.2168674698795</v>
      </c>
      <c r="T520" s="2" t="str" cm="1">
        <f t="array" ref="T520">_xlfn.IFS(N520&lt;=2.5,"Low",N520&lt;=3,"Medium",N520&gt;3,"High")</f>
        <v>High</v>
      </c>
    </row>
    <row r="521" spans="1:20" x14ac:dyDescent="0.3">
      <c r="A521" s="2">
        <v>520</v>
      </c>
      <c r="B521" s="2" t="s">
        <v>30</v>
      </c>
      <c r="C521" s="2">
        <v>26</v>
      </c>
      <c r="D521" s="2" t="s">
        <v>15</v>
      </c>
      <c r="E521" s="2">
        <v>73.7</v>
      </c>
      <c r="F521" s="2">
        <v>1.66</v>
      </c>
      <c r="G521" s="2">
        <v>177</v>
      </c>
      <c r="H521" s="2">
        <v>125</v>
      </c>
      <c r="I521" s="2">
        <v>72</v>
      </c>
      <c r="J521" s="2">
        <v>0.93</v>
      </c>
      <c r="K521" s="2">
        <v>639</v>
      </c>
      <c r="L521" s="2" t="s">
        <v>17</v>
      </c>
      <c r="M521" s="2">
        <v>26.7</v>
      </c>
      <c r="N521" s="2">
        <v>2.2000000000000002</v>
      </c>
      <c r="O521" s="2">
        <v>2</v>
      </c>
      <c r="P521" s="2">
        <v>1</v>
      </c>
      <c r="Q521" s="2">
        <v>26.75</v>
      </c>
      <c r="R521" s="2" t="str" cm="1">
        <f t="array" ref="R521">_xlfn.IFS(Q521&lt;18.5,"Underweight",
AND(Q521&gt;=18.5,Q521&lt;25),"Normal Weight",
AND(Q521&gt;=25,Q521&lt;30),"Overweight",
Q521&gt;=30,"Obesity")</f>
        <v>Overweight</v>
      </c>
      <c r="S521" s="2">
        <f t="shared" si="8"/>
        <v>687.0967741935483</v>
      </c>
      <c r="T521" s="2" t="str" cm="1">
        <f t="array" ref="T521">_xlfn.IFS(N521&lt;=2.5,"Low",N521&lt;=3,"Medium",N521&gt;3,"High")</f>
        <v>Low</v>
      </c>
    </row>
    <row r="522" spans="1:20" x14ac:dyDescent="0.3">
      <c r="A522" s="2">
        <v>521</v>
      </c>
      <c r="B522" s="2" t="s">
        <v>22</v>
      </c>
      <c r="C522" s="2">
        <v>24</v>
      </c>
      <c r="D522" s="2" t="s">
        <v>16</v>
      </c>
      <c r="E522" s="2">
        <v>67.7</v>
      </c>
      <c r="F522" s="2">
        <v>1.56</v>
      </c>
      <c r="G522" s="2">
        <v>177</v>
      </c>
      <c r="H522" s="2">
        <v>138</v>
      </c>
      <c r="I522" s="2">
        <v>66</v>
      </c>
      <c r="J522" s="2">
        <v>1.42</v>
      </c>
      <c r="K522" s="2">
        <v>980</v>
      </c>
      <c r="L522" s="2" t="s">
        <v>18</v>
      </c>
      <c r="M522" s="2">
        <v>27</v>
      </c>
      <c r="N522" s="2">
        <v>2.1</v>
      </c>
      <c r="O522" s="2">
        <v>3</v>
      </c>
      <c r="P522" s="2">
        <v>2</v>
      </c>
      <c r="Q522" s="2">
        <v>27.82</v>
      </c>
      <c r="R522" s="2" t="str" cm="1">
        <f t="array" ref="R522">_xlfn.IFS(Q522&lt;18.5,"Underweight",
AND(Q522&gt;=18.5,Q522&lt;25),"Normal Weight",
AND(Q522&gt;=25,Q522&lt;30),"Overweight",
Q522&gt;=30,"Obesity")</f>
        <v>Overweight</v>
      </c>
      <c r="S522" s="2">
        <f t="shared" si="8"/>
        <v>690.14084507042253</v>
      </c>
      <c r="T522" s="2" t="str" cm="1">
        <f t="array" ref="T522">_xlfn.IFS(N522&lt;=2.5,"Low",N522&lt;=3,"Medium",N522&gt;3,"High")</f>
        <v>Low</v>
      </c>
    </row>
    <row r="523" spans="1:20" x14ac:dyDescent="0.3">
      <c r="A523" s="2">
        <v>522</v>
      </c>
      <c r="B523" s="2" t="s">
        <v>24</v>
      </c>
      <c r="C523" s="2">
        <v>45</v>
      </c>
      <c r="D523" s="2" t="s">
        <v>15</v>
      </c>
      <c r="E523" s="2">
        <v>78.3</v>
      </c>
      <c r="F523" s="2">
        <v>1.96</v>
      </c>
      <c r="G523" s="2">
        <v>166</v>
      </c>
      <c r="H523" s="2">
        <v>167</v>
      </c>
      <c r="I523" s="2">
        <v>62</v>
      </c>
      <c r="J523" s="2">
        <v>1.29</v>
      </c>
      <c r="K523" s="2">
        <v>1066</v>
      </c>
      <c r="L523" s="2" t="s">
        <v>19</v>
      </c>
      <c r="M523" s="2">
        <v>29</v>
      </c>
      <c r="N523" s="2">
        <v>2.2000000000000002</v>
      </c>
      <c r="O523" s="2">
        <v>3</v>
      </c>
      <c r="P523" s="2">
        <v>1</v>
      </c>
      <c r="Q523" s="2">
        <v>20.38</v>
      </c>
      <c r="R523" s="2" t="str" cm="1">
        <f t="array" ref="R523">_xlfn.IFS(Q523&lt;18.5,"Underweight",
AND(Q523&gt;=18.5,Q523&lt;25),"Normal Weight",
AND(Q523&gt;=25,Q523&lt;30),"Overweight",
Q523&gt;=30,"Obesity")</f>
        <v>Normal Weight</v>
      </c>
      <c r="S523" s="2">
        <f t="shared" si="8"/>
        <v>826.35658914728685</v>
      </c>
      <c r="T523" s="2" t="str" cm="1">
        <f t="array" ref="T523">_xlfn.IFS(N523&lt;=2.5,"Low",N523&lt;=3,"Medium",N523&gt;3,"High")</f>
        <v>Low</v>
      </c>
    </row>
    <row r="524" spans="1:20" x14ac:dyDescent="0.3">
      <c r="A524" s="2">
        <v>523</v>
      </c>
      <c r="B524" s="2" t="s">
        <v>22</v>
      </c>
      <c r="C524" s="2">
        <v>31</v>
      </c>
      <c r="D524" s="2" t="s">
        <v>16</v>
      </c>
      <c r="E524" s="2">
        <v>48.2</v>
      </c>
      <c r="F524" s="2">
        <v>1.65</v>
      </c>
      <c r="G524" s="2">
        <v>163</v>
      </c>
      <c r="H524" s="2">
        <v>166</v>
      </c>
      <c r="I524" s="2">
        <v>60</v>
      </c>
      <c r="J524" s="2">
        <v>1.1000000000000001</v>
      </c>
      <c r="K524" s="2">
        <v>913</v>
      </c>
      <c r="L524" s="2" t="s">
        <v>19</v>
      </c>
      <c r="M524" s="2">
        <v>26.1</v>
      </c>
      <c r="N524" s="2">
        <v>2.5</v>
      </c>
      <c r="O524" s="2">
        <v>2</v>
      </c>
      <c r="P524" s="2">
        <v>1</v>
      </c>
      <c r="Q524" s="2">
        <v>17.7</v>
      </c>
      <c r="R524" s="2" t="str" cm="1">
        <f t="array" ref="R524">_xlfn.IFS(Q524&lt;18.5,"Underweight",
AND(Q524&gt;=18.5,Q524&lt;25),"Normal Weight",
AND(Q524&gt;=25,Q524&lt;30),"Overweight",
Q524&gt;=30,"Obesity")</f>
        <v>Underweight</v>
      </c>
      <c r="S524" s="2">
        <f t="shared" si="8"/>
        <v>829.99999999999989</v>
      </c>
      <c r="T524" s="2" t="str" cm="1">
        <f t="array" ref="T524">_xlfn.IFS(N524&lt;=2.5,"Low",N524&lt;=3,"Medium",N524&gt;3,"High")</f>
        <v>Low</v>
      </c>
    </row>
    <row r="525" spans="1:20" x14ac:dyDescent="0.3">
      <c r="A525" s="2">
        <v>524</v>
      </c>
      <c r="B525" s="2" t="s">
        <v>24</v>
      </c>
      <c r="C525" s="2">
        <v>48</v>
      </c>
      <c r="D525" s="2" t="s">
        <v>16</v>
      </c>
      <c r="E525" s="2">
        <v>56.8</v>
      </c>
      <c r="F525" s="2">
        <v>1.51</v>
      </c>
      <c r="G525" s="2">
        <v>185</v>
      </c>
      <c r="H525" s="2">
        <v>126</v>
      </c>
      <c r="I525" s="2">
        <v>52</v>
      </c>
      <c r="J525" s="2">
        <v>1.37</v>
      </c>
      <c r="K525" s="2">
        <v>777</v>
      </c>
      <c r="L525" s="2" t="s">
        <v>18</v>
      </c>
      <c r="M525" s="2">
        <v>32.1</v>
      </c>
      <c r="N525" s="2">
        <v>2.1</v>
      </c>
      <c r="O525" s="2">
        <v>4</v>
      </c>
      <c r="P525" s="2">
        <v>2</v>
      </c>
      <c r="Q525" s="2">
        <v>24.91</v>
      </c>
      <c r="R525" s="2" t="str" cm="1">
        <f t="array" ref="R525">_xlfn.IFS(Q525&lt;18.5,"Underweight",
AND(Q525&gt;=18.5,Q525&lt;25),"Normal Weight",
AND(Q525&gt;=25,Q525&lt;30),"Overweight",
Q525&gt;=30,"Obesity")</f>
        <v>Normal Weight</v>
      </c>
      <c r="S525" s="2">
        <f t="shared" si="8"/>
        <v>567.15328467153279</v>
      </c>
      <c r="T525" s="2" t="str" cm="1">
        <f t="array" ref="T525">_xlfn.IFS(N525&lt;=2.5,"Low",N525&lt;=3,"Medium",N525&gt;3,"High")</f>
        <v>Low</v>
      </c>
    </row>
    <row r="526" spans="1:20" x14ac:dyDescent="0.3">
      <c r="A526" s="2">
        <v>525</v>
      </c>
      <c r="B526" s="2" t="s">
        <v>21</v>
      </c>
      <c r="C526" s="2">
        <v>36</v>
      </c>
      <c r="D526" s="2" t="s">
        <v>15</v>
      </c>
      <c r="E526" s="2">
        <v>112.4</v>
      </c>
      <c r="F526" s="2">
        <v>1.63</v>
      </c>
      <c r="G526" s="2">
        <v>164</v>
      </c>
      <c r="H526" s="2">
        <v>135</v>
      </c>
      <c r="I526" s="2">
        <v>58</v>
      </c>
      <c r="J526" s="2">
        <v>1.02</v>
      </c>
      <c r="K526" s="2">
        <v>757</v>
      </c>
      <c r="L526" s="2" t="s">
        <v>19</v>
      </c>
      <c r="M526" s="2">
        <v>25</v>
      </c>
      <c r="N526" s="2">
        <v>3.4</v>
      </c>
      <c r="O526" s="2">
        <v>4</v>
      </c>
      <c r="P526" s="2">
        <v>2</v>
      </c>
      <c r="Q526" s="2">
        <v>42.3</v>
      </c>
      <c r="R526" s="2" t="str" cm="1">
        <f t="array" ref="R526">_xlfn.IFS(Q526&lt;18.5,"Underweight",
AND(Q526&gt;=18.5,Q526&lt;25),"Normal Weight",
AND(Q526&gt;=25,Q526&lt;30),"Overweight",
Q526&gt;=30,"Obesity")</f>
        <v>Obesity</v>
      </c>
      <c r="S526" s="2">
        <f t="shared" si="8"/>
        <v>742.15686274509801</v>
      </c>
      <c r="T526" s="2" t="str" cm="1">
        <f t="array" ref="T526">_xlfn.IFS(N526&lt;=2.5,"Low",N526&lt;=3,"Medium",N526&gt;3,"High")</f>
        <v>High</v>
      </c>
    </row>
    <row r="527" spans="1:20" x14ac:dyDescent="0.3">
      <c r="A527" s="2">
        <v>526</v>
      </c>
      <c r="B527" s="2" t="s">
        <v>30</v>
      </c>
      <c r="C527" s="2">
        <v>33</v>
      </c>
      <c r="D527" s="2" t="s">
        <v>16</v>
      </c>
      <c r="E527" s="2">
        <v>59</v>
      </c>
      <c r="F527" s="2">
        <v>1.67</v>
      </c>
      <c r="G527" s="2">
        <v>175</v>
      </c>
      <c r="H527" s="2">
        <v>124</v>
      </c>
      <c r="I527" s="2">
        <v>55</v>
      </c>
      <c r="J527" s="2">
        <v>0.9</v>
      </c>
      <c r="K527" s="2">
        <v>558</v>
      </c>
      <c r="L527" s="2" t="s">
        <v>19</v>
      </c>
      <c r="M527" s="2">
        <v>33.700000000000003</v>
      </c>
      <c r="N527" s="2">
        <v>1.9</v>
      </c>
      <c r="O527" s="2">
        <v>3</v>
      </c>
      <c r="P527" s="2">
        <v>1</v>
      </c>
      <c r="Q527" s="2">
        <v>21.16</v>
      </c>
      <c r="R527" s="2" t="str" cm="1">
        <f t="array" ref="R527">_xlfn.IFS(Q527&lt;18.5,"Underweight",
AND(Q527&gt;=18.5,Q527&lt;25),"Normal Weight",
AND(Q527&gt;=25,Q527&lt;30),"Overweight",
Q527&gt;=30,"Obesity")</f>
        <v>Normal Weight</v>
      </c>
      <c r="S527" s="2">
        <f t="shared" si="8"/>
        <v>620</v>
      </c>
      <c r="T527" s="2" t="str" cm="1">
        <f t="array" ref="T527">_xlfn.IFS(N527&lt;=2.5,"Low",N527&lt;=3,"Medium",N527&gt;3,"High")</f>
        <v>Low</v>
      </c>
    </row>
    <row r="528" spans="1:20" x14ac:dyDescent="0.3">
      <c r="A528" s="2">
        <v>527</v>
      </c>
      <c r="B528" s="2" t="s">
        <v>21</v>
      </c>
      <c r="C528" s="2">
        <v>22</v>
      </c>
      <c r="D528" s="2" t="s">
        <v>15</v>
      </c>
      <c r="E528" s="2">
        <v>98.4</v>
      </c>
      <c r="F528" s="2">
        <v>1.88</v>
      </c>
      <c r="G528" s="2">
        <v>194</v>
      </c>
      <c r="H528" s="2">
        <v>135</v>
      </c>
      <c r="I528" s="2">
        <v>71</v>
      </c>
      <c r="J528" s="2">
        <v>0.52</v>
      </c>
      <c r="K528" s="2">
        <v>386</v>
      </c>
      <c r="L528" s="2" t="s">
        <v>19</v>
      </c>
      <c r="M528" s="2">
        <v>21.3</v>
      </c>
      <c r="N528" s="2">
        <v>2.2000000000000002</v>
      </c>
      <c r="O528" s="2">
        <v>2</v>
      </c>
      <c r="P528" s="2">
        <v>1</v>
      </c>
      <c r="Q528" s="2">
        <v>27.84</v>
      </c>
      <c r="R528" s="2" t="str" cm="1">
        <f t="array" ref="R528">_xlfn.IFS(Q528&lt;18.5,"Underweight",
AND(Q528&gt;=18.5,Q528&lt;25),"Normal Weight",
AND(Q528&gt;=25,Q528&lt;30),"Overweight",
Q528&gt;=30,"Obesity")</f>
        <v>Overweight</v>
      </c>
      <c r="S528" s="2">
        <f t="shared" si="8"/>
        <v>742.30769230769226</v>
      </c>
      <c r="T528" s="2" t="str" cm="1">
        <f t="array" ref="T528">_xlfn.IFS(N528&lt;=2.5,"Low",N528&lt;=3,"Medium",N528&gt;3,"High")</f>
        <v>Low</v>
      </c>
    </row>
    <row r="529" spans="1:20" x14ac:dyDescent="0.3">
      <c r="A529" s="2">
        <v>528</v>
      </c>
      <c r="B529" s="2" t="s">
        <v>24</v>
      </c>
      <c r="C529" s="2">
        <v>52</v>
      </c>
      <c r="D529" s="2" t="s">
        <v>15</v>
      </c>
      <c r="E529" s="2">
        <v>66.5</v>
      </c>
      <c r="F529" s="2">
        <v>1.6</v>
      </c>
      <c r="G529" s="2">
        <v>185</v>
      </c>
      <c r="H529" s="2">
        <v>120</v>
      </c>
      <c r="I529" s="2">
        <v>70</v>
      </c>
      <c r="J529" s="2">
        <v>1.34</v>
      </c>
      <c r="K529" s="2">
        <v>796</v>
      </c>
      <c r="L529" s="2" t="s">
        <v>18</v>
      </c>
      <c r="M529" s="2">
        <v>26.8</v>
      </c>
      <c r="N529" s="2">
        <v>2.1</v>
      </c>
      <c r="O529" s="2">
        <v>4</v>
      </c>
      <c r="P529" s="2">
        <v>2</v>
      </c>
      <c r="Q529" s="2">
        <v>25.98</v>
      </c>
      <c r="R529" s="2" t="str" cm="1">
        <f t="array" ref="R529">_xlfn.IFS(Q529&lt;18.5,"Underweight",
AND(Q529&gt;=18.5,Q529&lt;25),"Normal Weight",
AND(Q529&gt;=25,Q529&lt;30),"Overweight",
Q529&gt;=30,"Obesity")</f>
        <v>Overweight</v>
      </c>
      <c r="S529" s="2">
        <f t="shared" si="8"/>
        <v>594.02985074626861</v>
      </c>
      <c r="T529" s="2" t="str" cm="1">
        <f t="array" ref="T529">_xlfn.IFS(N529&lt;=2.5,"Low",N529&lt;=3,"Medium",N529&gt;3,"High")</f>
        <v>Low</v>
      </c>
    </row>
    <row r="530" spans="1:20" x14ac:dyDescent="0.3">
      <c r="A530" s="2">
        <v>529</v>
      </c>
      <c r="B530" s="2" t="s">
        <v>25</v>
      </c>
      <c r="C530" s="2">
        <v>29</v>
      </c>
      <c r="D530" s="2" t="s">
        <v>15</v>
      </c>
      <c r="E530" s="2">
        <v>106.5</v>
      </c>
      <c r="F530" s="2">
        <v>1.81</v>
      </c>
      <c r="G530" s="2">
        <v>177</v>
      </c>
      <c r="H530" s="2">
        <v>156</v>
      </c>
      <c r="I530" s="2">
        <v>60</v>
      </c>
      <c r="J530" s="2">
        <v>1.29</v>
      </c>
      <c r="K530" s="2">
        <v>1107</v>
      </c>
      <c r="L530" s="2" t="s">
        <v>19</v>
      </c>
      <c r="M530" s="2">
        <v>25.7</v>
      </c>
      <c r="N530" s="2">
        <v>2.5</v>
      </c>
      <c r="O530" s="2">
        <v>4</v>
      </c>
      <c r="P530" s="2">
        <v>2</v>
      </c>
      <c r="Q530" s="2">
        <v>32.51</v>
      </c>
      <c r="R530" s="2" t="str" cm="1">
        <f t="array" ref="R530">_xlfn.IFS(Q530&lt;18.5,"Underweight",
AND(Q530&gt;=18.5,Q530&lt;25),"Normal Weight",
AND(Q530&gt;=25,Q530&lt;30),"Overweight",
Q530&gt;=30,"Obesity")</f>
        <v>Obesity</v>
      </c>
      <c r="S530" s="2">
        <f t="shared" si="8"/>
        <v>858.1395348837209</v>
      </c>
      <c r="T530" s="2" t="str" cm="1">
        <f t="array" ref="T530">_xlfn.IFS(N530&lt;=2.5,"Low",N530&lt;=3,"Medium",N530&gt;3,"High")</f>
        <v>Low</v>
      </c>
    </row>
    <row r="531" spans="1:20" x14ac:dyDescent="0.3">
      <c r="A531" s="2">
        <v>530</v>
      </c>
      <c r="B531" s="2" t="s">
        <v>25</v>
      </c>
      <c r="C531" s="2">
        <v>42</v>
      </c>
      <c r="D531" s="2" t="s">
        <v>15</v>
      </c>
      <c r="E531" s="2">
        <v>88.4</v>
      </c>
      <c r="F531" s="2">
        <v>1.93</v>
      </c>
      <c r="G531" s="2">
        <v>188</v>
      </c>
      <c r="H531" s="2">
        <v>158</v>
      </c>
      <c r="I531" s="2">
        <v>65</v>
      </c>
      <c r="J531" s="2">
        <v>1.68</v>
      </c>
      <c r="K531" s="2">
        <v>1314</v>
      </c>
      <c r="L531" s="2" t="s">
        <v>17</v>
      </c>
      <c r="M531" s="2">
        <v>12.4</v>
      </c>
      <c r="N531" s="2">
        <v>3.5</v>
      </c>
      <c r="O531" s="2">
        <v>4</v>
      </c>
      <c r="P531" s="2">
        <v>3</v>
      </c>
      <c r="Q531" s="2">
        <v>23.73</v>
      </c>
      <c r="R531" s="2" t="str" cm="1">
        <f t="array" ref="R531">_xlfn.IFS(Q531&lt;18.5,"Underweight",
AND(Q531&gt;=18.5,Q531&lt;25),"Normal Weight",
AND(Q531&gt;=25,Q531&lt;30),"Overweight",
Q531&gt;=30,"Obesity")</f>
        <v>Normal Weight</v>
      </c>
      <c r="S531" s="2">
        <f t="shared" si="8"/>
        <v>782.14285714285722</v>
      </c>
      <c r="T531" s="2" t="str" cm="1">
        <f t="array" ref="T531">_xlfn.IFS(N531&lt;=2.5,"Low",N531&lt;=3,"Medium",N531&gt;3,"High")</f>
        <v>High</v>
      </c>
    </row>
    <row r="532" spans="1:20" x14ac:dyDescent="0.3">
      <c r="A532" s="2">
        <v>531</v>
      </c>
      <c r="B532" s="2" t="s">
        <v>21</v>
      </c>
      <c r="C532" s="2">
        <v>38</v>
      </c>
      <c r="D532" s="2" t="s">
        <v>15</v>
      </c>
      <c r="E532" s="2">
        <v>88.4</v>
      </c>
      <c r="F532" s="2">
        <v>1.79</v>
      </c>
      <c r="G532" s="2">
        <v>182</v>
      </c>
      <c r="H532" s="2">
        <v>138</v>
      </c>
      <c r="I532" s="2">
        <v>68</v>
      </c>
      <c r="J532" s="2">
        <v>1.74</v>
      </c>
      <c r="K532" s="2">
        <v>1321</v>
      </c>
      <c r="L532" s="2" t="s">
        <v>17</v>
      </c>
      <c r="M532" s="2">
        <v>12.5</v>
      </c>
      <c r="N532" s="2">
        <v>3.5</v>
      </c>
      <c r="O532" s="2">
        <v>5</v>
      </c>
      <c r="P532" s="2">
        <v>3</v>
      </c>
      <c r="Q532" s="2">
        <v>27.59</v>
      </c>
      <c r="R532" s="2" t="str" cm="1">
        <f t="array" ref="R532">_xlfn.IFS(Q532&lt;18.5,"Underweight",
AND(Q532&gt;=18.5,Q532&lt;25),"Normal Weight",
AND(Q532&gt;=25,Q532&lt;30),"Overweight",
Q532&gt;=30,"Obesity")</f>
        <v>Overweight</v>
      </c>
      <c r="S532" s="2">
        <f t="shared" si="8"/>
        <v>759.19540229885058</v>
      </c>
      <c r="T532" s="2" t="str" cm="1">
        <f t="array" ref="T532">_xlfn.IFS(N532&lt;=2.5,"Low",N532&lt;=3,"Medium",N532&gt;3,"High")</f>
        <v>High</v>
      </c>
    </row>
    <row r="533" spans="1:20" x14ac:dyDescent="0.3">
      <c r="A533" s="2">
        <v>532</v>
      </c>
      <c r="B533" s="2" t="s">
        <v>25</v>
      </c>
      <c r="C533" s="2">
        <v>53</v>
      </c>
      <c r="D533" s="2" t="s">
        <v>16</v>
      </c>
      <c r="E533" s="2">
        <v>53.3</v>
      </c>
      <c r="F533" s="2">
        <v>1.74</v>
      </c>
      <c r="G533" s="2">
        <v>173</v>
      </c>
      <c r="H533" s="2">
        <v>156</v>
      </c>
      <c r="I533" s="2">
        <v>54</v>
      </c>
      <c r="J533" s="2">
        <v>1.37</v>
      </c>
      <c r="K533" s="2">
        <v>962</v>
      </c>
      <c r="L533" s="2" t="s">
        <v>20</v>
      </c>
      <c r="M533" s="2">
        <v>32.200000000000003</v>
      </c>
      <c r="N533" s="2">
        <v>1.8</v>
      </c>
      <c r="O533" s="2">
        <v>3</v>
      </c>
      <c r="P533" s="2">
        <v>2</v>
      </c>
      <c r="Q533" s="2">
        <v>17.600000000000001</v>
      </c>
      <c r="R533" s="2" t="str" cm="1">
        <f t="array" ref="R533">_xlfn.IFS(Q533&lt;18.5,"Underweight",
AND(Q533&gt;=18.5,Q533&lt;25),"Normal Weight",
AND(Q533&gt;=25,Q533&lt;30),"Overweight",
Q533&gt;=30,"Obesity")</f>
        <v>Underweight</v>
      </c>
      <c r="S533" s="2">
        <f t="shared" si="8"/>
        <v>702.18978102189772</v>
      </c>
      <c r="T533" s="2" t="str" cm="1">
        <f t="array" ref="T533">_xlfn.IFS(N533&lt;=2.5,"Low",N533&lt;=3,"Medium",N533&gt;3,"High")</f>
        <v>Low</v>
      </c>
    </row>
    <row r="534" spans="1:20" x14ac:dyDescent="0.3">
      <c r="A534" s="2">
        <v>533</v>
      </c>
      <c r="B534" s="2" t="s">
        <v>24</v>
      </c>
      <c r="C534" s="2">
        <v>40</v>
      </c>
      <c r="D534" s="2" t="s">
        <v>16</v>
      </c>
      <c r="E534" s="2">
        <v>58.1</v>
      </c>
      <c r="F534" s="2">
        <v>1.56</v>
      </c>
      <c r="G534" s="2">
        <v>174</v>
      </c>
      <c r="H534" s="2">
        <v>136</v>
      </c>
      <c r="I534" s="2">
        <v>63</v>
      </c>
      <c r="J534" s="2">
        <v>0.61</v>
      </c>
      <c r="K534" s="2">
        <v>415</v>
      </c>
      <c r="L534" s="2" t="s">
        <v>17</v>
      </c>
      <c r="M534" s="2">
        <v>34.4</v>
      </c>
      <c r="N534" s="2">
        <v>2.2000000000000002</v>
      </c>
      <c r="O534" s="2">
        <v>2</v>
      </c>
      <c r="P534" s="2">
        <v>1</v>
      </c>
      <c r="Q534" s="2">
        <v>23.87</v>
      </c>
      <c r="R534" s="2" t="str" cm="1">
        <f t="array" ref="R534">_xlfn.IFS(Q534&lt;18.5,"Underweight",
AND(Q534&gt;=18.5,Q534&lt;25),"Normal Weight",
AND(Q534&gt;=25,Q534&lt;30),"Overweight",
Q534&gt;=30,"Obesity")</f>
        <v>Normal Weight</v>
      </c>
      <c r="S534" s="2">
        <f t="shared" si="8"/>
        <v>680.32786885245901</v>
      </c>
      <c r="T534" s="2" t="str" cm="1">
        <f t="array" ref="T534">_xlfn.IFS(N534&lt;=2.5,"Low",N534&lt;=3,"Medium",N534&gt;3,"High")</f>
        <v>Low</v>
      </c>
    </row>
    <row r="535" spans="1:20" x14ac:dyDescent="0.3">
      <c r="A535" s="2">
        <v>534</v>
      </c>
      <c r="B535" s="2" t="s">
        <v>26</v>
      </c>
      <c r="C535" s="2">
        <v>33</v>
      </c>
      <c r="D535" s="2" t="s">
        <v>16</v>
      </c>
      <c r="E535" s="2">
        <v>74.2</v>
      </c>
      <c r="F535" s="2">
        <v>1.76</v>
      </c>
      <c r="G535" s="2">
        <v>192</v>
      </c>
      <c r="H535" s="2">
        <v>145</v>
      </c>
      <c r="I535" s="2">
        <v>66</v>
      </c>
      <c r="J535" s="2">
        <v>1.1499999999999999</v>
      </c>
      <c r="K535" s="2">
        <v>834</v>
      </c>
      <c r="L535" s="2" t="s">
        <v>20</v>
      </c>
      <c r="M535" s="2">
        <v>25.9</v>
      </c>
      <c r="N535" s="2">
        <v>1.5</v>
      </c>
      <c r="O535" s="2">
        <v>4</v>
      </c>
      <c r="P535" s="2">
        <v>2</v>
      </c>
      <c r="Q535" s="2">
        <v>23.95</v>
      </c>
      <c r="R535" s="2" t="str" cm="1">
        <f t="array" ref="R535">_xlfn.IFS(Q535&lt;18.5,"Underweight",
AND(Q535&gt;=18.5,Q535&lt;25),"Normal Weight",
AND(Q535&gt;=25,Q535&lt;30),"Overweight",
Q535&gt;=30,"Obesity")</f>
        <v>Normal Weight</v>
      </c>
      <c r="S535" s="2">
        <f t="shared" si="8"/>
        <v>725.21739130434787</v>
      </c>
      <c r="T535" s="2" t="str" cm="1">
        <f t="array" ref="T535">_xlfn.IFS(N535&lt;=2.5,"Low",N535&lt;=3,"Medium",N535&gt;3,"High")</f>
        <v>Low</v>
      </c>
    </row>
    <row r="536" spans="1:20" x14ac:dyDescent="0.3">
      <c r="A536" s="2">
        <v>535</v>
      </c>
      <c r="B536" s="2" t="s">
        <v>21</v>
      </c>
      <c r="C536" s="2">
        <v>56</v>
      </c>
      <c r="D536" s="2" t="s">
        <v>15</v>
      </c>
      <c r="E536" s="2">
        <v>84.6</v>
      </c>
      <c r="F536" s="2">
        <v>1.63</v>
      </c>
      <c r="G536" s="2">
        <v>184</v>
      </c>
      <c r="H536" s="2">
        <v>141</v>
      </c>
      <c r="I536" s="2">
        <v>52</v>
      </c>
      <c r="J536" s="2">
        <v>1.01</v>
      </c>
      <c r="K536" s="2">
        <v>705</v>
      </c>
      <c r="L536" s="2" t="s">
        <v>18</v>
      </c>
      <c r="M536" s="2">
        <v>20.2</v>
      </c>
      <c r="N536" s="2">
        <v>2.9</v>
      </c>
      <c r="O536" s="2">
        <v>4</v>
      </c>
      <c r="P536" s="2">
        <v>2</v>
      </c>
      <c r="Q536" s="2">
        <v>31.84</v>
      </c>
      <c r="R536" s="2" t="str" cm="1">
        <f t="array" ref="R536">_xlfn.IFS(Q536&lt;18.5,"Underweight",
AND(Q536&gt;=18.5,Q536&lt;25),"Normal Weight",
AND(Q536&gt;=25,Q536&lt;30),"Overweight",
Q536&gt;=30,"Obesity")</f>
        <v>Obesity</v>
      </c>
      <c r="S536" s="2">
        <f t="shared" si="8"/>
        <v>698.01980198019805</v>
      </c>
      <c r="T536" s="2" t="str" cm="1">
        <f t="array" ref="T536">_xlfn.IFS(N536&lt;=2.5,"Low",N536&lt;=3,"Medium",N536&gt;3,"High")</f>
        <v>Medium</v>
      </c>
    </row>
    <row r="537" spans="1:20" x14ac:dyDescent="0.3">
      <c r="A537" s="2">
        <v>536</v>
      </c>
      <c r="B537" s="2" t="s">
        <v>28</v>
      </c>
      <c r="C537" s="2">
        <v>59</v>
      </c>
      <c r="D537" s="2" t="s">
        <v>15</v>
      </c>
      <c r="E537" s="2">
        <v>78</v>
      </c>
      <c r="F537" s="2">
        <v>1.92</v>
      </c>
      <c r="G537" s="2">
        <v>180</v>
      </c>
      <c r="H537" s="2">
        <v>127</v>
      </c>
      <c r="I537" s="2">
        <v>53</v>
      </c>
      <c r="J537" s="2">
        <v>0.72</v>
      </c>
      <c r="K537" s="2">
        <v>453</v>
      </c>
      <c r="L537" s="2" t="s">
        <v>19</v>
      </c>
      <c r="M537" s="2">
        <v>28.1</v>
      </c>
      <c r="N537" s="2">
        <v>2.7</v>
      </c>
      <c r="O537" s="2">
        <v>3</v>
      </c>
      <c r="P537" s="2">
        <v>1</v>
      </c>
      <c r="Q537" s="2">
        <v>21.16</v>
      </c>
      <c r="R537" s="2" t="str" cm="1">
        <f t="array" ref="R537">_xlfn.IFS(Q537&lt;18.5,"Underweight",
AND(Q537&gt;=18.5,Q537&lt;25),"Normal Weight",
AND(Q537&gt;=25,Q537&lt;30),"Overweight",
Q537&gt;=30,"Obesity")</f>
        <v>Normal Weight</v>
      </c>
      <c r="S537" s="2">
        <f t="shared" si="8"/>
        <v>629.16666666666674</v>
      </c>
      <c r="T537" s="2" t="str" cm="1">
        <f t="array" ref="T537">_xlfn.IFS(N537&lt;=2.5,"Low",N537&lt;=3,"Medium",N537&gt;3,"High")</f>
        <v>Medium</v>
      </c>
    </row>
    <row r="538" spans="1:20" x14ac:dyDescent="0.3">
      <c r="A538" s="2">
        <v>537</v>
      </c>
      <c r="B538" s="2" t="s">
        <v>30</v>
      </c>
      <c r="C538" s="2">
        <v>56</v>
      </c>
      <c r="D538" s="2" t="s">
        <v>15</v>
      </c>
      <c r="E538" s="2">
        <v>89</v>
      </c>
      <c r="F538" s="2">
        <v>1.68</v>
      </c>
      <c r="G538" s="2">
        <v>176</v>
      </c>
      <c r="H538" s="2">
        <v>152</v>
      </c>
      <c r="I538" s="2">
        <v>65</v>
      </c>
      <c r="J538" s="2">
        <v>1.77</v>
      </c>
      <c r="K538" s="2">
        <v>1332</v>
      </c>
      <c r="L538" s="2" t="s">
        <v>17</v>
      </c>
      <c r="M538" s="2">
        <v>10.5</v>
      </c>
      <c r="N538" s="2">
        <v>3.5</v>
      </c>
      <c r="O538" s="2">
        <v>5</v>
      </c>
      <c r="P538" s="2">
        <v>3</v>
      </c>
      <c r="Q538" s="2">
        <v>31.53</v>
      </c>
      <c r="R538" s="2" t="str" cm="1">
        <f t="array" ref="R538">_xlfn.IFS(Q538&lt;18.5,"Underweight",
AND(Q538&gt;=18.5,Q538&lt;25),"Normal Weight",
AND(Q538&gt;=25,Q538&lt;30),"Overweight",
Q538&gt;=30,"Obesity")</f>
        <v>Obesity</v>
      </c>
      <c r="S538" s="2">
        <f t="shared" si="8"/>
        <v>752.54237288135596</v>
      </c>
      <c r="T538" s="2" t="str" cm="1">
        <f t="array" ref="T538">_xlfn.IFS(N538&lt;=2.5,"Low",N538&lt;=3,"Medium",N538&gt;3,"High")</f>
        <v>High</v>
      </c>
    </row>
    <row r="539" spans="1:20" x14ac:dyDescent="0.3">
      <c r="A539" s="2">
        <v>538</v>
      </c>
      <c r="B539" s="2" t="s">
        <v>25</v>
      </c>
      <c r="C539" s="2">
        <v>31</v>
      </c>
      <c r="D539" s="2" t="s">
        <v>16</v>
      </c>
      <c r="E539" s="2">
        <v>42.7</v>
      </c>
      <c r="F539" s="2">
        <v>1.76</v>
      </c>
      <c r="G539" s="2">
        <v>182</v>
      </c>
      <c r="H539" s="2">
        <v>121</v>
      </c>
      <c r="I539" s="2">
        <v>65</v>
      </c>
      <c r="J539" s="2">
        <v>1.46</v>
      </c>
      <c r="K539" s="2">
        <v>883</v>
      </c>
      <c r="L539" s="2" t="s">
        <v>20</v>
      </c>
      <c r="M539" s="2">
        <v>34.9</v>
      </c>
      <c r="N539" s="2">
        <v>2.2000000000000002</v>
      </c>
      <c r="O539" s="2">
        <v>3</v>
      </c>
      <c r="P539" s="2">
        <v>1</v>
      </c>
      <c r="Q539" s="2">
        <v>13.78</v>
      </c>
      <c r="R539" s="2" t="str" cm="1">
        <f t="array" ref="R539">_xlfn.IFS(Q539&lt;18.5,"Underweight",
AND(Q539&gt;=18.5,Q539&lt;25),"Normal Weight",
AND(Q539&gt;=25,Q539&lt;30),"Overweight",
Q539&gt;=30,"Obesity")</f>
        <v>Underweight</v>
      </c>
      <c r="S539" s="2">
        <f t="shared" si="8"/>
        <v>604.79452054794524</v>
      </c>
      <c r="T539" s="2" t="str" cm="1">
        <f t="array" ref="T539">_xlfn.IFS(N539&lt;=2.5,"Low",N539&lt;=3,"Medium",N539&gt;3,"High")</f>
        <v>Low</v>
      </c>
    </row>
    <row r="540" spans="1:20" x14ac:dyDescent="0.3">
      <c r="A540" s="2">
        <v>539</v>
      </c>
      <c r="B540" s="2" t="s">
        <v>25</v>
      </c>
      <c r="C540" s="2">
        <v>48</v>
      </c>
      <c r="D540" s="2" t="s">
        <v>15</v>
      </c>
      <c r="E540" s="2">
        <v>83.9</v>
      </c>
      <c r="F540" s="2">
        <v>1.82</v>
      </c>
      <c r="G540" s="2">
        <v>176</v>
      </c>
      <c r="H540" s="2">
        <v>149</v>
      </c>
      <c r="I540" s="2">
        <v>70</v>
      </c>
      <c r="J540" s="2">
        <v>1.9</v>
      </c>
      <c r="K540" s="2">
        <v>1401</v>
      </c>
      <c r="L540" s="2" t="s">
        <v>18</v>
      </c>
      <c r="M540" s="2">
        <v>13.1</v>
      </c>
      <c r="N540" s="2">
        <v>3.5</v>
      </c>
      <c r="O540" s="2">
        <v>5</v>
      </c>
      <c r="P540" s="2">
        <v>3</v>
      </c>
      <c r="Q540" s="2">
        <v>25.33</v>
      </c>
      <c r="R540" s="2" t="str" cm="1">
        <f t="array" ref="R540">_xlfn.IFS(Q540&lt;18.5,"Underweight",
AND(Q540&gt;=18.5,Q540&lt;25),"Normal Weight",
AND(Q540&gt;=25,Q540&lt;30),"Overweight",
Q540&gt;=30,"Obesity")</f>
        <v>Overweight</v>
      </c>
      <c r="S540" s="2">
        <f t="shared" si="8"/>
        <v>737.36842105263156</v>
      </c>
      <c r="T540" s="2" t="str" cm="1">
        <f t="array" ref="T540">_xlfn.IFS(N540&lt;=2.5,"Low",N540&lt;=3,"Medium",N540&gt;3,"High")</f>
        <v>High</v>
      </c>
    </row>
    <row r="541" spans="1:20" x14ac:dyDescent="0.3">
      <c r="A541" s="2">
        <v>540</v>
      </c>
      <c r="B541" s="2" t="s">
        <v>29</v>
      </c>
      <c r="C541" s="2">
        <v>22</v>
      </c>
      <c r="D541" s="2" t="s">
        <v>16</v>
      </c>
      <c r="E541" s="2">
        <v>78.7</v>
      </c>
      <c r="F541" s="2">
        <v>1.52</v>
      </c>
      <c r="G541" s="2">
        <v>173</v>
      </c>
      <c r="H541" s="2">
        <v>166</v>
      </c>
      <c r="I541" s="2">
        <v>74</v>
      </c>
      <c r="J541" s="2">
        <v>1.45</v>
      </c>
      <c r="K541" s="2">
        <v>1204</v>
      </c>
      <c r="L541" s="2" t="s">
        <v>20</v>
      </c>
      <c r="M541" s="2">
        <v>31.5</v>
      </c>
      <c r="N541" s="2">
        <v>2.2999999999999998</v>
      </c>
      <c r="O541" s="2">
        <v>3</v>
      </c>
      <c r="P541" s="2">
        <v>2</v>
      </c>
      <c r="Q541" s="2">
        <v>34.06</v>
      </c>
      <c r="R541" s="2" t="str" cm="1">
        <f t="array" ref="R541">_xlfn.IFS(Q541&lt;18.5,"Underweight",
AND(Q541&gt;=18.5,Q541&lt;25),"Normal Weight",
AND(Q541&gt;=25,Q541&lt;30),"Overweight",
Q541&gt;=30,"Obesity")</f>
        <v>Obesity</v>
      </c>
      <c r="S541" s="2">
        <f t="shared" si="8"/>
        <v>830.34482758620697</v>
      </c>
      <c r="T541" s="2" t="str" cm="1">
        <f t="array" ref="T541">_xlfn.IFS(N541&lt;=2.5,"Low",N541&lt;=3,"Medium",N541&gt;3,"High")</f>
        <v>Low</v>
      </c>
    </row>
    <row r="542" spans="1:20" x14ac:dyDescent="0.3">
      <c r="A542" s="2">
        <v>541</v>
      </c>
      <c r="B542" s="2" t="s">
        <v>27</v>
      </c>
      <c r="C542" s="2">
        <v>52</v>
      </c>
      <c r="D542" s="2" t="s">
        <v>16</v>
      </c>
      <c r="E542" s="2">
        <v>65.900000000000006</v>
      </c>
      <c r="F542" s="2">
        <v>1.52</v>
      </c>
      <c r="G542" s="2">
        <v>188</v>
      </c>
      <c r="H542" s="2">
        <v>139</v>
      </c>
      <c r="I542" s="2">
        <v>53</v>
      </c>
      <c r="J542" s="2">
        <v>1.27</v>
      </c>
      <c r="K542" s="2">
        <v>794</v>
      </c>
      <c r="L542" s="2" t="s">
        <v>19</v>
      </c>
      <c r="M542" s="2">
        <v>27</v>
      </c>
      <c r="N542" s="2">
        <v>2.2999999999999998</v>
      </c>
      <c r="O542" s="2">
        <v>4</v>
      </c>
      <c r="P542" s="2">
        <v>2</v>
      </c>
      <c r="Q542" s="2">
        <v>28.52</v>
      </c>
      <c r="R542" s="2" t="str" cm="1">
        <f t="array" ref="R542">_xlfn.IFS(Q542&lt;18.5,"Underweight",
AND(Q542&gt;=18.5,Q542&lt;25),"Normal Weight",
AND(Q542&gt;=25,Q542&lt;30),"Overweight",
Q542&gt;=30,"Obesity")</f>
        <v>Overweight</v>
      </c>
      <c r="S542" s="2">
        <f t="shared" si="8"/>
        <v>625.19685039370074</v>
      </c>
      <c r="T542" s="2" t="str" cm="1">
        <f t="array" ref="T542">_xlfn.IFS(N542&lt;=2.5,"Low",N542&lt;=3,"Medium",N542&gt;3,"High")</f>
        <v>Low</v>
      </c>
    </row>
    <row r="543" spans="1:20" x14ac:dyDescent="0.3">
      <c r="A543" s="2">
        <v>542</v>
      </c>
      <c r="B543" s="2" t="s">
        <v>21</v>
      </c>
      <c r="C543" s="2">
        <v>40</v>
      </c>
      <c r="D543" s="2" t="s">
        <v>15</v>
      </c>
      <c r="E543" s="2">
        <v>76.900000000000006</v>
      </c>
      <c r="F543" s="2">
        <v>1.92</v>
      </c>
      <c r="G543" s="2">
        <v>179</v>
      </c>
      <c r="H543" s="2">
        <v>137</v>
      </c>
      <c r="I543" s="2">
        <v>68</v>
      </c>
      <c r="J543" s="2">
        <v>1.1299999999999999</v>
      </c>
      <c r="K543" s="2">
        <v>851</v>
      </c>
      <c r="L543" s="2" t="s">
        <v>17</v>
      </c>
      <c r="M543" s="2">
        <v>22.4</v>
      </c>
      <c r="N543" s="2">
        <v>3.7</v>
      </c>
      <c r="O543" s="2">
        <v>4</v>
      </c>
      <c r="P543" s="2">
        <v>2</v>
      </c>
      <c r="Q543" s="2">
        <v>20.86</v>
      </c>
      <c r="R543" s="2" t="str" cm="1">
        <f t="array" ref="R543">_xlfn.IFS(Q543&lt;18.5,"Underweight",
AND(Q543&gt;=18.5,Q543&lt;25),"Normal Weight",
AND(Q543&gt;=25,Q543&lt;30),"Overweight",
Q543&gt;=30,"Obesity")</f>
        <v>Normal Weight</v>
      </c>
      <c r="S543" s="2">
        <f t="shared" si="8"/>
        <v>753.09734513274338</v>
      </c>
      <c r="T543" s="2" t="str" cm="1">
        <f t="array" ref="T543">_xlfn.IFS(N543&lt;=2.5,"Low",N543&lt;=3,"Medium",N543&gt;3,"High")</f>
        <v>High</v>
      </c>
    </row>
    <row r="544" spans="1:20" x14ac:dyDescent="0.3">
      <c r="A544" s="2">
        <v>543</v>
      </c>
      <c r="B544" s="2" t="s">
        <v>23</v>
      </c>
      <c r="C544" s="2">
        <v>46</v>
      </c>
      <c r="D544" s="2" t="s">
        <v>15</v>
      </c>
      <c r="E544" s="2">
        <v>84.3</v>
      </c>
      <c r="F544" s="2">
        <v>2</v>
      </c>
      <c r="G544" s="2">
        <v>189</v>
      </c>
      <c r="H544" s="2">
        <v>162</v>
      </c>
      <c r="I544" s="2">
        <v>66</v>
      </c>
      <c r="J544" s="2">
        <v>1.83</v>
      </c>
      <c r="K544" s="2">
        <v>1467</v>
      </c>
      <c r="L544" s="2" t="s">
        <v>18</v>
      </c>
      <c r="M544" s="2">
        <v>13.3</v>
      </c>
      <c r="N544" s="2">
        <v>3.5</v>
      </c>
      <c r="O544" s="2">
        <v>5</v>
      </c>
      <c r="P544" s="2">
        <v>3</v>
      </c>
      <c r="Q544" s="2">
        <v>21.07</v>
      </c>
      <c r="R544" s="2" t="str" cm="1">
        <f t="array" ref="R544">_xlfn.IFS(Q544&lt;18.5,"Underweight",
AND(Q544&gt;=18.5,Q544&lt;25),"Normal Weight",
AND(Q544&gt;=25,Q544&lt;30),"Overweight",
Q544&gt;=30,"Obesity")</f>
        <v>Normal Weight</v>
      </c>
      <c r="S544" s="2">
        <f t="shared" si="8"/>
        <v>801.63934426229503</v>
      </c>
      <c r="T544" s="2" t="str" cm="1">
        <f t="array" ref="T544">_xlfn.IFS(N544&lt;=2.5,"Low",N544&lt;=3,"Medium",N544&gt;3,"High")</f>
        <v>High</v>
      </c>
    </row>
    <row r="545" spans="1:20" x14ac:dyDescent="0.3">
      <c r="A545" s="2">
        <v>544</v>
      </c>
      <c r="B545" s="2" t="s">
        <v>25</v>
      </c>
      <c r="C545" s="2">
        <v>28</v>
      </c>
      <c r="D545" s="2" t="s">
        <v>16</v>
      </c>
      <c r="E545" s="2">
        <v>62.4</v>
      </c>
      <c r="F545" s="2">
        <v>1.6</v>
      </c>
      <c r="G545" s="2">
        <v>178</v>
      </c>
      <c r="H545" s="2">
        <v>129</v>
      </c>
      <c r="I545" s="2">
        <v>62</v>
      </c>
      <c r="J545" s="2">
        <v>1.1000000000000001</v>
      </c>
      <c r="K545" s="2">
        <v>710</v>
      </c>
      <c r="L545" s="2" t="s">
        <v>20</v>
      </c>
      <c r="M545" s="2">
        <v>34.1</v>
      </c>
      <c r="N545" s="2">
        <v>1.7</v>
      </c>
      <c r="O545" s="2">
        <v>3</v>
      </c>
      <c r="P545" s="2">
        <v>2</v>
      </c>
      <c r="Q545" s="2">
        <v>24.37</v>
      </c>
      <c r="R545" s="2" t="str" cm="1">
        <f t="array" ref="R545">_xlfn.IFS(Q545&lt;18.5,"Underweight",
AND(Q545&gt;=18.5,Q545&lt;25),"Normal Weight",
AND(Q545&gt;=25,Q545&lt;30),"Overweight",
Q545&gt;=30,"Obesity")</f>
        <v>Normal Weight</v>
      </c>
      <c r="S545" s="2">
        <f t="shared" si="8"/>
        <v>645.45454545454538</v>
      </c>
      <c r="T545" s="2" t="str" cm="1">
        <f t="array" ref="T545">_xlfn.IFS(N545&lt;=2.5,"Low",N545&lt;=3,"Medium",N545&gt;3,"High")</f>
        <v>Low</v>
      </c>
    </row>
    <row r="546" spans="1:20" x14ac:dyDescent="0.3">
      <c r="A546" s="2">
        <v>545</v>
      </c>
      <c r="B546" s="2" t="s">
        <v>30</v>
      </c>
      <c r="C546" s="2">
        <v>35</v>
      </c>
      <c r="D546" s="2" t="s">
        <v>15</v>
      </c>
      <c r="E546" s="2">
        <v>63.7</v>
      </c>
      <c r="F546" s="2">
        <v>1.74</v>
      </c>
      <c r="G546" s="2">
        <v>198</v>
      </c>
      <c r="H546" s="2">
        <v>143</v>
      </c>
      <c r="I546" s="2">
        <v>71</v>
      </c>
      <c r="J546" s="2">
        <v>1.03</v>
      </c>
      <c r="K546" s="2">
        <v>810</v>
      </c>
      <c r="L546" s="2" t="s">
        <v>18</v>
      </c>
      <c r="M546" s="2">
        <v>29.8</v>
      </c>
      <c r="N546" s="2">
        <v>2.7</v>
      </c>
      <c r="O546" s="2">
        <v>4</v>
      </c>
      <c r="P546" s="2">
        <v>2</v>
      </c>
      <c r="Q546" s="2">
        <v>21.04</v>
      </c>
      <c r="R546" s="2" t="str" cm="1">
        <f t="array" ref="R546">_xlfn.IFS(Q546&lt;18.5,"Underweight",
AND(Q546&gt;=18.5,Q546&lt;25),"Normal Weight",
AND(Q546&gt;=25,Q546&lt;30),"Overweight",
Q546&gt;=30,"Obesity")</f>
        <v>Normal Weight</v>
      </c>
      <c r="S546" s="2">
        <f t="shared" si="8"/>
        <v>786.40776699029129</v>
      </c>
      <c r="T546" s="2" t="str" cm="1">
        <f t="array" ref="T546">_xlfn.IFS(N546&lt;=2.5,"Low",N546&lt;=3,"Medium",N546&gt;3,"High")</f>
        <v>Medium</v>
      </c>
    </row>
    <row r="547" spans="1:20" x14ac:dyDescent="0.3">
      <c r="A547" s="2">
        <v>546</v>
      </c>
      <c r="B547" s="2" t="s">
        <v>28</v>
      </c>
      <c r="C547" s="2">
        <v>29</v>
      </c>
      <c r="D547" s="2" t="s">
        <v>16</v>
      </c>
      <c r="E547" s="2">
        <v>54.9</v>
      </c>
      <c r="F547" s="2">
        <v>1.52</v>
      </c>
      <c r="G547" s="2">
        <v>172</v>
      </c>
      <c r="H547" s="2">
        <v>123</v>
      </c>
      <c r="I547" s="2">
        <v>72</v>
      </c>
      <c r="J547" s="2">
        <v>1.48</v>
      </c>
      <c r="K547" s="2">
        <v>910</v>
      </c>
      <c r="L547" s="2" t="s">
        <v>20</v>
      </c>
      <c r="M547" s="2">
        <v>27</v>
      </c>
      <c r="N547" s="2">
        <v>2</v>
      </c>
      <c r="O547" s="2">
        <v>3</v>
      </c>
      <c r="P547" s="2">
        <v>1</v>
      </c>
      <c r="Q547" s="2">
        <v>23.76</v>
      </c>
      <c r="R547" s="2" t="str" cm="1">
        <f t="array" ref="R547">_xlfn.IFS(Q547&lt;18.5,"Underweight",
AND(Q547&gt;=18.5,Q547&lt;25),"Normal Weight",
AND(Q547&gt;=25,Q547&lt;30),"Overweight",
Q547&gt;=30,"Obesity")</f>
        <v>Normal Weight</v>
      </c>
      <c r="S547" s="2">
        <f t="shared" si="8"/>
        <v>614.8648648648649</v>
      </c>
      <c r="T547" s="2" t="str" cm="1">
        <f t="array" ref="T547">_xlfn.IFS(N547&lt;=2.5,"Low",N547&lt;=3,"Medium",N547&gt;3,"High")</f>
        <v>Low</v>
      </c>
    </row>
    <row r="548" spans="1:20" x14ac:dyDescent="0.3">
      <c r="A548" s="2">
        <v>547</v>
      </c>
      <c r="B548" s="2" t="s">
        <v>25</v>
      </c>
      <c r="C548" s="2">
        <v>26</v>
      </c>
      <c r="D548" s="2" t="s">
        <v>15</v>
      </c>
      <c r="E548" s="2">
        <v>76.400000000000006</v>
      </c>
      <c r="F548" s="2">
        <v>1.79</v>
      </c>
      <c r="G548" s="2">
        <v>177</v>
      </c>
      <c r="H548" s="2">
        <v>156</v>
      </c>
      <c r="I548" s="2">
        <v>73</v>
      </c>
      <c r="J548" s="2">
        <v>1.17</v>
      </c>
      <c r="K548" s="2">
        <v>1004</v>
      </c>
      <c r="L548" s="2" t="s">
        <v>20</v>
      </c>
      <c r="M548" s="2">
        <v>21.3</v>
      </c>
      <c r="N548" s="2">
        <v>2.7</v>
      </c>
      <c r="O548" s="2">
        <v>3</v>
      </c>
      <c r="P548" s="2">
        <v>2</v>
      </c>
      <c r="Q548" s="2">
        <v>23.84</v>
      </c>
      <c r="R548" s="2" t="str" cm="1">
        <f t="array" ref="R548">_xlfn.IFS(Q548&lt;18.5,"Underweight",
AND(Q548&gt;=18.5,Q548&lt;25),"Normal Weight",
AND(Q548&gt;=25,Q548&lt;30),"Overweight",
Q548&gt;=30,"Obesity")</f>
        <v>Normal Weight</v>
      </c>
      <c r="S548" s="2">
        <f t="shared" si="8"/>
        <v>858.1196581196582</v>
      </c>
      <c r="T548" s="2" t="str" cm="1">
        <f t="array" ref="T548">_xlfn.IFS(N548&lt;=2.5,"Low",N548&lt;=3,"Medium",N548&gt;3,"High")</f>
        <v>Medium</v>
      </c>
    </row>
    <row r="549" spans="1:20" x14ac:dyDescent="0.3">
      <c r="A549" s="2">
        <v>548</v>
      </c>
      <c r="B549" s="2" t="s">
        <v>28</v>
      </c>
      <c r="C549" s="2">
        <v>27</v>
      </c>
      <c r="D549" s="2" t="s">
        <v>15</v>
      </c>
      <c r="E549" s="2">
        <v>106.4</v>
      </c>
      <c r="F549" s="2">
        <v>1.86</v>
      </c>
      <c r="G549" s="2">
        <v>182</v>
      </c>
      <c r="H549" s="2">
        <v>123</v>
      </c>
      <c r="I549" s="2">
        <v>50</v>
      </c>
      <c r="J549" s="2">
        <v>1.34</v>
      </c>
      <c r="K549" s="2">
        <v>907</v>
      </c>
      <c r="L549" s="2" t="s">
        <v>19</v>
      </c>
      <c r="M549" s="2">
        <v>20.6</v>
      </c>
      <c r="N549" s="2">
        <v>3.1</v>
      </c>
      <c r="O549" s="2">
        <v>2</v>
      </c>
      <c r="P549" s="2">
        <v>1</v>
      </c>
      <c r="Q549" s="2">
        <v>30.76</v>
      </c>
      <c r="R549" s="2" t="str" cm="1">
        <f t="array" ref="R549">_xlfn.IFS(Q549&lt;18.5,"Underweight",
AND(Q549&gt;=18.5,Q549&lt;25),"Normal Weight",
AND(Q549&gt;=25,Q549&lt;30),"Overweight",
Q549&gt;=30,"Obesity")</f>
        <v>Obesity</v>
      </c>
      <c r="S549" s="2">
        <f t="shared" si="8"/>
        <v>676.86567164179098</v>
      </c>
      <c r="T549" s="2" t="str" cm="1">
        <f t="array" ref="T549">_xlfn.IFS(N549&lt;=2.5,"Low",N549&lt;=3,"Medium",N549&gt;3,"High")</f>
        <v>High</v>
      </c>
    </row>
    <row r="550" spans="1:20" x14ac:dyDescent="0.3">
      <c r="A550" s="2">
        <v>549</v>
      </c>
      <c r="B550" s="2" t="s">
        <v>24</v>
      </c>
      <c r="C550" s="2">
        <v>34</v>
      </c>
      <c r="D550" s="2" t="s">
        <v>16</v>
      </c>
      <c r="E550" s="2">
        <v>68.400000000000006</v>
      </c>
      <c r="F550" s="2">
        <v>1.5</v>
      </c>
      <c r="G550" s="2">
        <v>192</v>
      </c>
      <c r="H550" s="2">
        <v>132</v>
      </c>
      <c r="I550" s="2">
        <v>61</v>
      </c>
      <c r="J550" s="2">
        <v>1.37</v>
      </c>
      <c r="K550" s="2">
        <v>904</v>
      </c>
      <c r="L550" s="2" t="s">
        <v>19</v>
      </c>
      <c r="M550" s="2">
        <v>33.700000000000003</v>
      </c>
      <c r="N550" s="2">
        <v>2.1</v>
      </c>
      <c r="O550" s="2">
        <v>4</v>
      </c>
      <c r="P550" s="2">
        <v>2</v>
      </c>
      <c r="Q550" s="2">
        <v>30.4</v>
      </c>
      <c r="R550" s="2" t="str" cm="1">
        <f t="array" ref="R550">_xlfn.IFS(Q550&lt;18.5,"Underweight",
AND(Q550&gt;=18.5,Q550&lt;25),"Normal Weight",
AND(Q550&gt;=25,Q550&lt;30),"Overweight",
Q550&gt;=30,"Obesity")</f>
        <v>Obesity</v>
      </c>
      <c r="S550" s="2">
        <f t="shared" si="8"/>
        <v>659.85401459854006</v>
      </c>
      <c r="T550" s="2" t="str" cm="1">
        <f t="array" ref="T550">_xlfn.IFS(N550&lt;=2.5,"Low",N550&lt;=3,"Medium",N550&gt;3,"High")</f>
        <v>Low</v>
      </c>
    </row>
    <row r="551" spans="1:20" x14ac:dyDescent="0.3">
      <c r="A551" s="2">
        <v>550</v>
      </c>
      <c r="B551" s="2" t="s">
        <v>24</v>
      </c>
      <c r="C551" s="2">
        <v>55</v>
      </c>
      <c r="D551" s="2" t="s">
        <v>15</v>
      </c>
      <c r="E551" s="2">
        <v>63.5</v>
      </c>
      <c r="F551" s="2">
        <v>1.86</v>
      </c>
      <c r="G551" s="2">
        <v>198</v>
      </c>
      <c r="H551" s="2">
        <v>144</v>
      </c>
      <c r="I551" s="2">
        <v>53</v>
      </c>
      <c r="J551" s="2">
        <v>1.36</v>
      </c>
      <c r="K551" s="2">
        <v>969</v>
      </c>
      <c r="L551" s="2" t="s">
        <v>20</v>
      </c>
      <c r="M551" s="2">
        <v>22.9</v>
      </c>
      <c r="N551" s="2">
        <v>2.9</v>
      </c>
      <c r="O551" s="2">
        <v>4</v>
      </c>
      <c r="P551" s="2">
        <v>2</v>
      </c>
      <c r="Q551" s="2">
        <v>18.350000000000001</v>
      </c>
      <c r="R551" s="2" t="str" cm="1">
        <f t="array" ref="R551">_xlfn.IFS(Q551&lt;18.5,"Underweight",
AND(Q551&gt;=18.5,Q551&lt;25),"Normal Weight",
AND(Q551&gt;=25,Q551&lt;30),"Overweight",
Q551&gt;=30,"Obesity")</f>
        <v>Underweight</v>
      </c>
      <c r="S551" s="2">
        <f t="shared" si="8"/>
        <v>712.5</v>
      </c>
      <c r="T551" s="2" t="str" cm="1">
        <f t="array" ref="T551">_xlfn.IFS(N551&lt;=2.5,"Low",N551&lt;=3,"Medium",N551&gt;3,"High")</f>
        <v>Medium</v>
      </c>
    </row>
    <row r="552" spans="1:20" x14ac:dyDescent="0.3">
      <c r="A552" s="2">
        <v>551</v>
      </c>
      <c r="B552" s="2" t="s">
        <v>27</v>
      </c>
      <c r="C552" s="2">
        <v>24</v>
      </c>
      <c r="D552" s="2" t="s">
        <v>16</v>
      </c>
      <c r="E552" s="2">
        <v>59.4</v>
      </c>
      <c r="F552" s="2">
        <v>1.5</v>
      </c>
      <c r="G552" s="2">
        <v>199</v>
      </c>
      <c r="H552" s="2">
        <v>132</v>
      </c>
      <c r="I552" s="2">
        <v>60</v>
      </c>
      <c r="J552" s="2">
        <v>1.25</v>
      </c>
      <c r="K552" s="2">
        <v>825</v>
      </c>
      <c r="L552" s="2" t="s">
        <v>17</v>
      </c>
      <c r="M552" s="2">
        <v>25</v>
      </c>
      <c r="N552" s="2">
        <v>2</v>
      </c>
      <c r="O552" s="2">
        <v>3</v>
      </c>
      <c r="P552" s="2">
        <v>2</v>
      </c>
      <c r="Q552" s="2">
        <v>26.4</v>
      </c>
      <c r="R552" s="2" t="str" cm="1">
        <f t="array" ref="R552">_xlfn.IFS(Q552&lt;18.5,"Underweight",
AND(Q552&gt;=18.5,Q552&lt;25),"Normal Weight",
AND(Q552&gt;=25,Q552&lt;30),"Overweight",
Q552&gt;=30,"Obesity")</f>
        <v>Overweight</v>
      </c>
      <c r="S552" s="2">
        <f t="shared" si="8"/>
        <v>660</v>
      </c>
      <c r="T552" s="2" t="str" cm="1">
        <f t="array" ref="T552">_xlfn.IFS(N552&lt;=2.5,"Low",N552&lt;=3,"Medium",N552&gt;3,"High")</f>
        <v>Low</v>
      </c>
    </row>
    <row r="553" spans="1:20" x14ac:dyDescent="0.3">
      <c r="A553" s="2">
        <v>552</v>
      </c>
      <c r="B553" s="2" t="s">
        <v>26</v>
      </c>
      <c r="C553" s="2">
        <v>30</v>
      </c>
      <c r="D553" s="2" t="s">
        <v>15</v>
      </c>
      <c r="E553" s="2">
        <v>113.4</v>
      </c>
      <c r="F553" s="2">
        <v>1.91</v>
      </c>
      <c r="G553" s="2">
        <v>177</v>
      </c>
      <c r="H553" s="2">
        <v>137</v>
      </c>
      <c r="I553" s="2">
        <v>54</v>
      </c>
      <c r="J553" s="2">
        <v>1.27</v>
      </c>
      <c r="K553" s="2">
        <v>957</v>
      </c>
      <c r="L553" s="2" t="s">
        <v>18</v>
      </c>
      <c r="M553" s="2">
        <v>22.2</v>
      </c>
      <c r="N553" s="2">
        <v>3.7</v>
      </c>
      <c r="O553" s="2">
        <v>3</v>
      </c>
      <c r="P553" s="2">
        <v>1</v>
      </c>
      <c r="Q553" s="2">
        <v>31.08</v>
      </c>
      <c r="R553" s="2" t="str" cm="1">
        <f t="array" ref="R553">_xlfn.IFS(Q553&lt;18.5,"Underweight",
AND(Q553&gt;=18.5,Q553&lt;25),"Normal Weight",
AND(Q553&gt;=25,Q553&lt;30),"Overweight",
Q553&gt;=30,"Obesity")</f>
        <v>Obesity</v>
      </c>
      <c r="S553" s="2">
        <f t="shared" si="8"/>
        <v>753.54330708661416</v>
      </c>
      <c r="T553" s="2" t="str" cm="1">
        <f t="array" ref="T553">_xlfn.IFS(N553&lt;=2.5,"Low",N553&lt;=3,"Medium",N553&gt;3,"High")</f>
        <v>High</v>
      </c>
    </row>
    <row r="554" spans="1:20" x14ac:dyDescent="0.3">
      <c r="A554" s="2">
        <v>553</v>
      </c>
      <c r="B554" s="2" t="s">
        <v>23</v>
      </c>
      <c r="C554" s="2">
        <v>57</v>
      </c>
      <c r="D554" s="2" t="s">
        <v>16</v>
      </c>
      <c r="E554" s="2">
        <v>61.9</v>
      </c>
      <c r="F554" s="2">
        <v>1.52</v>
      </c>
      <c r="G554" s="2">
        <v>168</v>
      </c>
      <c r="H554" s="2">
        <v>143</v>
      </c>
      <c r="I554" s="2">
        <v>51</v>
      </c>
      <c r="J554" s="2">
        <v>0.92</v>
      </c>
      <c r="K554" s="2">
        <v>592</v>
      </c>
      <c r="L554" s="2" t="s">
        <v>18</v>
      </c>
      <c r="M554" s="2">
        <v>28.4</v>
      </c>
      <c r="N554" s="2">
        <v>2.6</v>
      </c>
      <c r="O554" s="2">
        <v>3</v>
      </c>
      <c r="P554" s="2">
        <v>1</v>
      </c>
      <c r="Q554" s="2">
        <v>26.79</v>
      </c>
      <c r="R554" s="2" t="str" cm="1">
        <f t="array" ref="R554">_xlfn.IFS(Q554&lt;18.5,"Underweight",
AND(Q554&gt;=18.5,Q554&lt;25),"Normal Weight",
AND(Q554&gt;=25,Q554&lt;30),"Overweight",
Q554&gt;=30,"Obesity")</f>
        <v>Overweight</v>
      </c>
      <c r="S554" s="2">
        <f t="shared" si="8"/>
        <v>643.47826086956513</v>
      </c>
      <c r="T554" s="2" t="str" cm="1">
        <f t="array" ref="T554">_xlfn.IFS(N554&lt;=2.5,"Low",N554&lt;=3,"Medium",N554&gt;3,"High")</f>
        <v>Medium</v>
      </c>
    </row>
    <row r="555" spans="1:20" x14ac:dyDescent="0.3">
      <c r="A555" s="2">
        <v>554</v>
      </c>
      <c r="B555" s="2" t="s">
        <v>29</v>
      </c>
      <c r="C555" s="2">
        <v>59</v>
      </c>
      <c r="D555" s="2" t="s">
        <v>16</v>
      </c>
      <c r="E555" s="2">
        <v>70.7</v>
      </c>
      <c r="F555" s="2">
        <v>1.68</v>
      </c>
      <c r="G555" s="2">
        <v>192</v>
      </c>
      <c r="H555" s="2">
        <v>121</v>
      </c>
      <c r="I555" s="2">
        <v>66</v>
      </c>
      <c r="J555" s="2">
        <v>1.17</v>
      </c>
      <c r="K555" s="2">
        <v>637</v>
      </c>
      <c r="L555" s="2" t="s">
        <v>19</v>
      </c>
      <c r="M555" s="2">
        <v>34.9</v>
      </c>
      <c r="N555" s="2">
        <v>1.9</v>
      </c>
      <c r="O555" s="2">
        <v>3</v>
      </c>
      <c r="P555" s="2">
        <v>2</v>
      </c>
      <c r="Q555" s="2">
        <v>25.05</v>
      </c>
      <c r="R555" s="2" t="str" cm="1">
        <f t="array" ref="R555">_xlfn.IFS(Q555&lt;18.5,"Underweight",
AND(Q555&gt;=18.5,Q555&lt;25),"Normal Weight",
AND(Q555&gt;=25,Q555&lt;30),"Overweight",
Q555&gt;=30,"Obesity")</f>
        <v>Overweight</v>
      </c>
      <c r="S555" s="2">
        <f t="shared" si="8"/>
        <v>544.44444444444446</v>
      </c>
      <c r="T555" s="2" t="str" cm="1">
        <f t="array" ref="T555">_xlfn.IFS(N555&lt;=2.5,"Low",N555&lt;=3,"Medium",N555&gt;3,"High")</f>
        <v>Low</v>
      </c>
    </row>
    <row r="556" spans="1:20" x14ac:dyDescent="0.3">
      <c r="A556" s="2">
        <v>555</v>
      </c>
      <c r="B556" s="2" t="s">
        <v>27</v>
      </c>
      <c r="C556" s="2">
        <v>26</v>
      </c>
      <c r="D556" s="2" t="s">
        <v>15</v>
      </c>
      <c r="E556" s="2">
        <v>111.5</v>
      </c>
      <c r="F556" s="2">
        <v>1.9</v>
      </c>
      <c r="G556" s="2">
        <v>191</v>
      </c>
      <c r="H556" s="2">
        <v>167</v>
      </c>
      <c r="I556" s="2">
        <v>57</v>
      </c>
      <c r="J556" s="2">
        <v>1.02</v>
      </c>
      <c r="K556" s="2">
        <v>937</v>
      </c>
      <c r="L556" s="2" t="s">
        <v>17</v>
      </c>
      <c r="M556" s="2">
        <v>25.2</v>
      </c>
      <c r="N556" s="2">
        <v>2.2000000000000002</v>
      </c>
      <c r="O556" s="2">
        <v>2</v>
      </c>
      <c r="P556" s="2">
        <v>1</v>
      </c>
      <c r="Q556" s="2">
        <v>30.89</v>
      </c>
      <c r="R556" s="2" t="str" cm="1">
        <f t="array" ref="R556">_xlfn.IFS(Q556&lt;18.5,"Underweight",
AND(Q556&gt;=18.5,Q556&lt;25),"Normal Weight",
AND(Q556&gt;=25,Q556&lt;30),"Overweight",
Q556&gt;=30,"Obesity")</f>
        <v>Obesity</v>
      </c>
      <c r="S556" s="2">
        <f t="shared" si="8"/>
        <v>918.62745098039215</v>
      </c>
      <c r="T556" s="2" t="str" cm="1">
        <f t="array" ref="T556">_xlfn.IFS(N556&lt;=2.5,"Low",N556&lt;=3,"Medium",N556&gt;3,"High")</f>
        <v>Low</v>
      </c>
    </row>
    <row r="557" spans="1:20" x14ac:dyDescent="0.3">
      <c r="A557" s="2">
        <v>556</v>
      </c>
      <c r="B557" s="2" t="s">
        <v>22</v>
      </c>
      <c r="C557" s="2">
        <v>44</v>
      </c>
      <c r="D557" s="2" t="s">
        <v>16</v>
      </c>
      <c r="E557" s="2">
        <v>72.099999999999994</v>
      </c>
      <c r="F557" s="2">
        <v>1.66</v>
      </c>
      <c r="G557" s="2">
        <v>176</v>
      </c>
      <c r="H557" s="2">
        <v>152</v>
      </c>
      <c r="I557" s="2">
        <v>55</v>
      </c>
      <c r="J557" s="2">
        <v>1.4</v>
      </c>
      <c r="K557" s="2">
        <v>958</v>
      </c>
      <c r="L557" s="2" t="s">
        <v>20</v>
      </c>
      <c r="M557" s="2">
        <v>27</v>
      </c>
      <c r="N557" s="2">
        <v>2.5</v>
      </c>
      <c r="O557" s="2">
        <v>2</v>
      </c>
      <c r="P557" s="2">
        <v>1</v>
      </c>
      <c r="Q557" s="2">
        <v>26.16</v>
      </c>
      <c r="R557" s="2" t="str" cm="1">
        <f t="array" ref="R557">_xlfn.IFS(Q557&lt;18.5,"Underweight",
AND(Q557&gt;=18.5,Q557&lt;25),"Normal Weight",
AND(Q557&gt;=25,Q557&lt;30),"Overweight",
Q557&gt;=30,"Obesity")</f>
        <v>Overweight</v>
      </c>
      <c r="S557" s="2">
        <f t="shared" si="8"/>
        <v>684.28571428571433</v>
      </c>
      <c r="T557" s="2" t="str" cm="1">
        <f t="array" ref="T557">_xlfn.IFS(N557&lt;=2.5,"Low",N557&lt;=3,"Medium",N557&gt;3,"High")</f>
        <v>Low</v>
      </c>
    </row>
    <row r="558" spans="1:20" x14ac:dyDescent="0.3">
      <c r="A558" s="2">
        <v>557</v>
      </c>
      <c r="B558" s="2" t="s">
        <v>29</v>
      </c>
      <c r="C558" s="2">
        <v>19</v>
      </c>
      <c r="D558" s="2" t="s">
        <v>15</v>
      </c>
      <c r="E558" s="2">
        <v>56.9</v>
      </c>
      <c r="F558" s="2">
        <v>1.87</v>
      </c>
      <c r="G558" s="2">
        <v>178</v>
      </c>
      <c r="H558" s="2">
        <v>138</v>
      </c>
      <c r="I558" s="2">
        <v>70</v>
      </c>
      <c r="J558" s="2">
        <v>0.61</v>
      </c>
      <c r="K558" s="2">
        <v>463</v>
      </c>
      <c r="L558" s="2" t="s">
        <v>19</v>
      </c>
      <c r="M558" s="2">
        <v>23.3</v>
      </c>
      <c r="N558" s="2">
        <v>3.7</v>
      </c>
      <c r="O558" s="2">
        <v>3</v>
      </c>
      <c r="P558" s="2">
        <v>1</v>
      </c>
      <c r="Q558" s="2">
        <v>16.27</v>
      </c>
      <c r="R558" s="2" t="str" cm="1">
        <f t="array" ref="R558">_xlfn.IFS(Q558&lt;18.5,"Underweight",
AND(Q558&gt;=18.5,Q558&lt;25),"Normal Weight",
AND(Q558&gt;=25,Q558&lt;30),"Overweight",
Q558&gt;=30,"Obesity")</f>
        <v>Underweight</v>
      </c>
      <c r="S558" s="2">
        <f t="shared" si="8"/>
        <v>759.01639344262298</v>
      </c>
      <c r="T558" s="2" t="str" cm="1">
        <f t="array" ref="T558">_xlfn.IFS(N558&lt;=2.5,"Low",N558&lt;=3,"Medium",N558&gt;3,"High")</f>
        <v>High</v>
      </c>
    </row>
    <row r="559" spans="1:20" x14ac:dyDescent="0.3">
      <c r="A559" s="2">
        <v>558</v>
      </c>
      <c r="B559" s="2" t="s">
        <v>21</v>
      </c>
      <c r="C559" s="2">
        <v>22</v>
      </c>
      <c r="D559" s="2" t="s">
        <v>15</v>
      </c>
      <c r="E559" s="2">
        <v>86.2</v>
      </c>
      <c r="F559" s="2">
        <v>1.9</v>
      </c>
      <c r="G559" s="2">
        <v>186</v>
      </c>
      <c r="H559" s="2">
        <v>128</v>
      </c>
      <c r="I559" s="2">
        <v>58</v>
      </c>
      <c r="J559" s="2">
        <v>1.91</v>
      </c>
      <c r="K559" s="2">
        <v>1345</v>
      </c>
      <c r="L559" s="2" t="s">
        <v>20</v>
      </c>
      <c r="M559" s="2">
        <v>11.7</v>
      </c>
      <c r="N559" s="2">
        <v>3.5</v>
      </c>
      <c r="O559" s="2">
        <v>5</v>
      </c>
      <c r="P559" s="2">
        <v>3</v>
      </c>
      <c r="Q559" s="2">
        <v>23.88</v>
      </c>
      <c r="R559" s="2" t="str" cm="1">
        <f t="array" ref="R559">_xlfn.IFS(Q559&lt;18.5,"Underweight",
AND(Q559&gt;=18.5,Q559&lt;25),"Normal Weight",
AND(Q559&gt;=25,Q559&lt;30),"Overweight",
Q559&gt;=30,"Obesity")</f>
        <v>Normal Weight</v>
      </c>
      <c r="S559" s="2">
        <f t="shared" si="8"/>
        <v>704.18848167539272</v>
      </c>
      <c r="T559" s="2" t="str" cm="1">
        <f t="array" ref="T559">_xlfn.IFS(N559&lt;=2.5,"Low",N559&lt;=3,"Medium",N559&gt;3,"High")</f>
        <v>High</v>
      </c>
    </row>
    <row r="560" spans="1:20" x14ac:dyDescent="0.3">
      <c r="A560" s="2">
        <v>559</v>
      </c>
      <c r="B560" s="2" t="s">
        <v>30</v>
      </c>
      <c r="C560" s="2">
        <v>46</v>
      </c>
      <c r="D560" s="2" t="s">
        <v>15</v>
      </c>
      <c r="E560" s="2">
        <v>59.4</v>
      </c>
      <c r="F560" s="2">
        <v>1.68</v>
      </c>
      <c r="G560" s="2">
        <v>165</v>
      </c>
      <c r="H560" s="2">
        <v>147</v>
      </c>
      <c r="I560" s="2">
        <v>62</v>
      </c>
      <c r="J560" s="2">
        <v>1.1599999999999999</v>
      </c>
      <c r="K560" s="2">
        <v>844</v>
      </c>
      <c r="L560" s="2" t="s">
        <v>20</v>
      </c>
      <c r="M560" s="2">
        <v>20.2</v>
      </c>
      <c r="N560" s="2">
        <v>2.5</v>
      </c>
      <c r="O560" s="2">
        <v>4</v>
      </c>
      <c r="P560" s="2">
        <v>2</v>
      </c>
      <c r="Q560" s="2">
        <v>21.05</v>
      </c>
      <c r="R560" s="2" t="str" cm="1">
        <f t="array" ref="R560">_xlfn.IFS(Q560&lt;18.5,"Underweight",
AND(Q560&gt;=18.5,Q560&lt;25),"Normal Weight",
AND(Q560&gt;=25,Q560&lt;30),"Overweight",
Q560&gt;=30,"Obesity")</f>
        <v>Normal Weight</v>
      </c>
      <c r="S560" s="2">
        <f t="shared" si="8"/>
        <v>727.58620689655174</v>
      </c>
      <c r="T560" s="2" t="str" cm="1">
        <f t="array" ref="T560">_xlfn.IFS(N560&lt;=2.5,"Low",N560&lt;=3,"Medium",N560&gt;3,"High")</f>
        <v>Low</v>
      </c>
    </row>
    <row r="561" spans="1:20" x14ac:dyDescent="0.3">
      <c r="A561" s="2">
        <v>560</v>
      </c>
      <c r="B561" s="2" t="s">
        <v>22</v>
      </c>
      <c r="C561" s="2">
        <v>54</v>
      </c>
      <c r="D561" s="2" t="s">
        <v>16</v>
      </c>
      <c r="E561" s="2">
        <v>75.599999999999994</v>
      </c>
      <c r="F561" s="2">
        <v>1.72</v>
      </c>
      <c r="G561" s="2">
        <v>194</v>
      </c>
      <c r="H561" s="2">
        <v>154</v>
      </c>
      <c r="I561" s="2">
        <v>60</v>
      </c>
      <c r="J561" s="2">
        <v>0.97</v>
      </c>
      <c r="K561" s="2">
        <v>672</v>
      </c>
      <c r="L561" s="2" t="s">
        <v>19</v>
      </c>
      <c r="M561" s="2">
        <v>26.4</v>
      </c>
      <c r="N561" s="2">
        <v>1.9</v>
      </c>
      <c r="O561" s="2">
        <v>3</v>
      </c>
      <c r="P561" s="2">
        <v>1</v>
      </c>
      <c r="Q561" s="2">
        <v>25.55</v>
      </c>
      <c r="R561" s="2" t="str" cm="1">
        <f t="array" ref="R561">_xlfn.IFS(Q561&lt;18.5,"Underweight",
AND(Q561&gt;=18.5,Q561&lt;25),"Normal Weight",
AND(Q561&gt;=25,Q561&lt;30),"Overweight",
Q561&gt;=30,"Obesity")</f>
        <v>Overweight</v>
      </c>
      <c r="S561" s="2">
        <f t="shared" si="8"/>
        <v>692.78350515463922</v>
      </c>
      <c r="T561" s="2" t="str" cm="1">
        <f t="array" ref="T561">_xlfn.IFS(N561&lt;=2.5,"Low",N561&lt;=3,"Medium",N561&gt;3,"High")</f>
        <v>Low</v>
      </c>
    </row>
    <row r="562" spans="1:20" x14ac:dyDescent="0.3">
      <c r="A562" s="2">
        <v>561</v>
      </c>
      <c r="B562" s="2" t="s">
        <v>22</v>
      </c>
      <c r="C562" s="2">
        <v>55</v>
      </c>
      <c r="D562" s="2" t="s">
        <v>16</v>
      </c>
      <c r="E562" s="2">
        <v>76.3</v>
      </c>
      <c r="F562" s="2">
        <v>1.73</v>
      </c>
      <c r="G562" s="2">
        <v>196</v>
      </c>
      <c r="H562" s="2">
        <v>158</v>
      </c>
      <c r="I562" s="2">
        <v>65</v>
      </c>
      <c r="J562" s="2">
        <v>1.08</v>
      </c>
      <c r="K562" s="2">
        <v>768</v>
      </c>
      <c r="L562" s="2" t="s">
        <v>17</v>
      </c>
      <c r="M562" s="2">
        <v>32</v>
      </c>
      <c r="N562" s="2">
        <v>2.6</v>
      </c>
      <c r="O562" s="2">
        <v>3</v>
      </c>
      <c r="P562" s="2">
        <v>1</v>
      </c>
      <c r="Q562" s="2">
        <v>25.49</v>
      </c>
      <c r="R562" s="2" t="str" cm="1">
        <f t="array" ref="R562">_xlfn.IFS(Q562&lt;18.5,"Underweight",
AND(Q562&gt;=18.5,Q562&lt;25),"Normal Weight",
AND(Q562&gt;=25,Q562&lt;30),"Overweight",
Q562&gt;=30,"Obesity")</f>
        <v>Overweight</v>
      </c>
      <c r="S562" s="2">
        <f t="shared" si="8"/>
        <v>711.11111111111109</v>
      </c>
      <c r="T562" s="2" t="str" cm="1">
        <f t="array" ref="T562">_xlfn.IFS(N562&lt;=2.5,"Low",N562&lt;=3,"Medium",N562&gt;3,"High")</f>
        <v>Medium</v>
      </c>
    </row>
    <row r="563" spans="1:20" x14ac:dyDescent="0.3">
      <c r="A563" s="2">
        <v>562</v>
      </c>
      <c r="B563" s="2" t="s">
        <v>27</v>
      </c>
      <c r="C563" s="2">
        <v>36</v>
      </c>
      <c r="D563" s="2" t="s">
        <v>15</v>
      </c>
      <c r="E563" s="2">
        <v>95.8</v>
      </c>
      <c r="F563" s="2">
        <v>1.86</v>
      </c>
      <c r="G563" s="2">
        <v>193</v>
      </c>
      <c r="H563" s="2">
        <v>129</v>
      </c>
      <c r="I563" s="2">
        <v>65</v>
      </c>
      <c r="J563" s="2">
        <v>1.37</v>
      </c>
      <c r="K563" s="2">
        <v>972</v>
      </c>
      <c r="L563" s="2" t="s">
        <v>18</v>
      </c>
      <c r="M563" s="2">
        <v>21.2</v>
      </c>
      <c r="N563" s="2">
        <v>3.2</v>
      </c>
      <c r="O563" s="2">
        <v>3</v>
      </c>
      <c r="P563" s="2">
        <v>1</v>
      </c>
      <c r="Q563" s="2">
        <v>27.69</v>
      </c>
      <c r="R563" s="2" t="str" cm="1">
        <f t="array" ref="R563">_xlfn.IFS(Q563&lt;18.5,"Underweight",
AND(Q563&gt;=18.5,Q563&lt;25),"Normal Weight",
AND(Q563&gt;=25,Q563&lt;30),"Overweight",
Q563&gt;=30,"Obesity")</f>
        <v>Overweight</v>
      </c>
      <c r="S563" s="2">
        <f t="shared" si="8"/>
        <v>709.48905109489044</v>
      </c>
      <c r="T563" s="2" t="str" cm="1">
        <f t="array" ref="T563">_xlfn.IFS(N563&lt;=2.5,"Low",N563&lt;=3,"Medium",N563&gt;3,"High")</f>
        <v>High</v>
      </c>
    </row>
    <row r="564" spans="1:20" x14ac:dyDescent="0.3">
      <c r="A564" s="2">
        <v>563</v>
      </c>
      <c r="B564" s="2" t="s">
        <v>26</v>
      </c>
      <c r="C564" s="2">
        <v>25</v>
      </c>
      <c r="D564" s="2" t="s">
        <v>15</v>
      </c>
      <c r="E564" s="2">
        <v>120.6</v>
      </c>
      <c r="F564" s="2">
        <v>1.83</v>
      </c>
      <c r="G564" s="2">
        <v>179</v>
      </c>
      <c r="H564" s="2">
        <v>120</v>
      </c>
      <c r="I564" s="2">
        <v>51</v>
      </c>
      <c r="J564" s="2">
        <v>1.04</v>
      </c>
      <c r="K564" s="2">
        <v>686</v>
      </c>
      <c r="L564" s="2" t="s">
        <v>19</v>
      </c>
      <c r="M564" s="2">
        <v>22.3</v>
      </c>
      <c r="N564" s="2">
        <v>2.5</v>
      </c>
      <c r="O564" s="2">
        <v>3</v>
      </c>
      <c r="P564" s="2">
        <v>2</v>
      </c>
      <c r="Q564" s="2">
        <v>36.01</v>
      </c>
      <c r="R564" s="2" t="str" cm="1">
        <f t="array" ref="R564">_xlfn.IFS(Q564&lt;18.5,"Underweight",
AND(Q564&gt;=18.5,Q564&lt;25),"Normal Weight",
AND(Q564&gt;=25,Q564&lt;30),"Overweight",
Q564&gt;=30,"Obesity")</f>
        <v>Obesity</v>
      </c>
      <c r="S564" s="2">
        <f t="shared" si="8"/>
        <v>659.61538461538464</v>
      </c>
      <c r="T564" s="2" t="str" cm="1">
        <f t="array" ref="T564">_xlfn.IFS(N564&lt;=2.5,"Low",N564&lt;=3,"Medium",N564&gt;3,"High")</f>
        <v>Low</v>
      </c>
    </row>
    <row r="565" spans="1:20" x14ac:dyDescent="0.3">
      <c r="A565" s="2">
        <v>564</v>
      </c>
      <c r="B565" s="2" t="s">
        <v>27</v>
      </c>
      <c r="C565" s="2">
        <v>18</v>
      </c>
      <c r="D565" s="2" t="s">
        <v>16</v>
      </c>
      <c r="E565" s="2">
        <v>65.3</v>
      </c>
      <c r="F565" s="2">
        <v>1.55</v>
      </c>
      <c r="G565" s="2">
        <v>184</v>
      </c>
      <c r="H565" s="2">
        <v>161</v>
      </c>
      <c r="I565" s="2">
        <v>59</v>
      </c>
      <c r="J565" s="2">
        <v>1.42</v>
      </c>
      <c r="K565" s="2">
        <v>1143</v>
      </c>
      <c r="L565" s="2" t="s">
        <v>17</v>
      </c>
      <c r="M565" s="2">
        <v>28.5</v>
      </c>
      <c r="N565" s="2">
        <v>2.2000000000000002</v>
      </c>
      <c r="O565" s="2">
        <v>3</v>
      </c>
      <c r="P565" s="2">
        <v>2</v>
      </c>
      <c r="Q565" s="2">
        <v>27.18</v>
      </c>
      <c r="R565" s="2" t="str" cm="1">
        <f t="array" ref="R565">_xlfn.IFS(Q565&lt;18.5,"Underweight",
AND(Q565&gt;=18.5,Q565&lt;25),"Normal Weight",
AND(Q565&gt;=25,Q565&lt;30),"Overweight",
Q565&gt;=30,"Obesity")</f>
        <v>Overweight</v>
      </c>
      <c r="S565" s="2">
        <f t="shared" si="8"/>
        <v>804.92957746478874</v>
      </c>
      <c r="T565" s="2" t="str" cm="1">
        <f t="array" ref="T565">_xlfn.IFS(N565&lt;=2.5,"Low",N565&lt;=3,"Medium",N565&gt;3,"High")</f>
        <v>Low</v>
      </c>
    </row>
    <row r="566" spans="1:20" x14ac:dyDescent="0.3">
      <c r="A566" s="2">
        <v>565</v>
      </c>
      <c r="B566" s="2" t="s">
        <v>21</v>
      </c>
      <c r="C566" s="2">
        <v>39</v>
      </c>
      <c r="D566" s="2" t="s">
        <v>15</v>
      </c>
      <c r="E566" s="2">
        <v>85.3</v>
      </c>
      <c r="F566" s="2">
        <v>1.89</v>
      </c>
      <c r="G566" s="2">
        <v>163</v>
      </c>
      <c r="H566" s="2">
        <v>140</v>
      </c>
      <c r="I566" s="2">
        <v>61</v>
      </c>
      <c r="J566" s="2">
        <v>0.77</v>
      </c>
      <c r="K566" s="2">
        <v>593</v>
      </c>
      <c r="L566" s="2" t="s">
        <v>20</v>
      </c>
      <c r="M566" s="2">
        <v>27.6</v>
      </c>
      <c r="N566" s="2">
        <v>3.6</v>
      </c>
      <c r="O566" s="2">
        <v>2</v>
      </c>
      <c r="P566" s="2">
        <v>1</v>
      </c>
      <c r="Q566" s="2">
        <v>23.88</v>
      </c>
      <c r="R566" s="2" t="str" cm="1">
        <f t="array" ref="R566">_xlfn.IFS(Q566&lt;18.5,"Underweight",
AND(Q566&gt;=18.5,Q566&lt;25),"Normal Weight",
AND(Q566&gt;=25,Q566&lt;30),"Overweight",
Q566&gt;=30,"Obesity")</f>
        <v>Normal Weight</v>
      </c>
      <c r="S566" s="2">
        <f t="shared" si="8"/>
        <v>770.12987012987014</v>
      </c>
      <c r="T566" s="2" t="str" cm="1">
        <f t="array" ref="T566">_xlfn.IFS(N566&lt;=2.5,"Low",N566&lt;=3,"Medium",N566&gt;3,"High")</f>
        <v>High</v>
      </c>
    </row>
    <row r="567" spans="1:20" x14ac:dyDescent="0.3">
      <c r="A567" s="2">
        <v>566</v>
      </c>
      <c r="B567" s="2" t="s">
        <v>25</v>
      </c>
      <c r="C567" s="2">
        <v>34</v>
      </c>
      <c r="D567" s="2" t="s">
        <v>15</v>
      </c>
      <c r="E567" s="2">
        <v>68</v>
      </c>
      <c r="F567" s="2">
        <v>1.68</v>
      </c>
      <c r="G567" s="2">
        <v>169</v>
      </c>
      <c r="H567" s="2">
        <v>128</v>
      </c>
      <c r="I567" s="2">
        <v>57</v>
      </c>
      <c r="J567" s="2">
        <v>0.67</v>
      </c>
      <c r="K567" s="2">
        <v>472</v>
      </c>
      <c r="L567" s="2" t="s">
        <v>19</v>
      </c>
      <c r="M567" s="2">
        <v>25.8</v>
      </c>
      <c r="N567" s="2">
        <v>3.4</v>
      </c>
      <c r="O567" s="2">
        <v>2</v>
      </c>
      <c r="P567" s="2">
        <v>1</v>
      </c>
      <c r="Q567" s="2">
        <v>24.09</v>
      </c>
      <c r="R567" s="2" t="str" cm="1">
        <f t="array" ref="R567">_xlfn.IFS(Q567&lt;18.5,"Underweight",
AND(Q567&gt;=18.5,Q567&lt;25),"Normal Weight",
AND(Q567&gt;=25,Q567&lt;30),"Overweight",
Q567&gt;=30,"Obesity")</f>
        <v>Normal Weight</v>
      </c>
      <c r="S567" s="2">
        <f t="shared" si="8"/>
        <v>704.47761194029852</v>
      </c>
      <c r="T567" s="2" t="str" cm="1">
        <f t="array" ref="T567">_xlfn.IFS(N567&lt;=2.5,"Low",N567&lt;=3,"Medium",N567&gt;3,"High")</f>
        <v>High</v>
      </c>
    </row>
    <row r="568" spans="1:20" x14ac:dyDescent="0.3">
      <c r="A568" s="2">
        <v>567</v>
      </c>
      <c r="B568" s="2" t="s">
        <v>25</v>
      </c>
      <c r="C568" s="2">
        <v>24</v>
      </c>
      <c r="D568" s="2" t="s">
        <v>16</v>
      </c>
      <c r="E568" s="2">
        <v>52.6</v>
      </c>
      <c r="F568" s="2">
        <v>1.57</v>
      </c>
      <c r="G568" s="2">
        <v>169</v>
      </c>
      <c r="H568" s="2">
        <v>166</v>
      </c>
      <c r="I568" s="2">
        <v>60</v>
      </c>
      <c r="J568" s="2">
        <v>1.29</v>
      </c>
      <c r="K568" s="2">
        <v>1071</v>
      </c>
      <c r="L568" s="2" t="s">
        <v>18</v>
      </c>
      <c r="M568" s="2">
        <v>31.9</v>
      </c>
      <c r="N568" s="2">
        <v>2.4</v>
      </c>
      <c r="O568" s="2">
        <v>2</v>
      </c>
      <c r="P568" s="2">
        <v>1</v>
      </c>
      <c r="Q568" s="2">
        <v>21.34</v>
      </c>
      <c r="R568" s="2" t="str" cm="1">
        <f t="array" ref="R568">_xlfn.IFS(Q568&lt;18.5,"Underweight",
AND(Q568&gt;=18.5,Q568&lt;25),"Normal Weight",
AND(Q568&gt;=25,Q568&lt;30),"Overweight",
Q568&gt;=30,"Obesity")</f>
        <v>Normal Weight</v>
      </c>
      <c r="S568" s="2">
        <f t="shared" si="8"/>
        <v>830.23255813953483</v>
      </c>
      <c r="T568" s="2" t="str" cm="1">
        <f t="array" ref="T568">_xlfn.IFS(N568&lt;=2.5,"Low",N568&lt;=3,"Medium",N568&gt;3,"High")</f>
        <v>Low</v>
      </c>
    </row>
    <row r="569" spans="1:20" x14ac:dyDescent="0.3">
      <c r="A569" s="2">
        <v>568</v>
      </c>
      <c r="B569" s="2" t="s">
        <v>26</v>
      </c>
      <c r="C569" s="2">
        <v>42</v>
      </c>
      <c r="D569" s="2" t="s">
        <v>15</v>
      </c>
      <c r="E569" s="2">
        <v>63.3</v>
      </c>
      <c r="F569" s="2">
        <v>1.77</v>
      </c>
      <c r="G569" s="2">
        <v>183</v>
      </c>
      <c r="H569" s="2">
        <v>134</v>
      </c>
      <c r="I569" s="2">
        <v>59</v>
      </c>
      <c r="J569" s="2">
        <v>1.32</v>
      </c>
      <c r="K569" s="2">
        <v>876</v>
      </c>
      <c r="L569" s="2" t="s">
        <v>18</v>
      </c>
      <c r="M569" s="2">
        <v>25.7</v>
      </c>
      <c r="N569" s="2">
        <v>3.3</v>
      </c>
      <c r="O569" s="2">
        <v>3</v>
      </c>
      <c r="P569" s="2">
        <v>2</v>
      </c>
      <c r="Q569" s="2">
        <v>20.2</v>
      </c>
      <c r="R569" s="2" t="str" cm="1">
        <f t="array" ref="R569">_xlfn.IFS(Q569&lt;18.5,"Underweight",
AND(Q569&gt;=18.5,Q569&lt;25),"Normal Weight",
AND(Q569&gt;=25,Q569&lt;30),"Overweight",
Q569&gt;=30,"Obesity")</f>
        <v>Normal Weight</v>
      </c>
      <c r="S569" s="2">
        <f t="shared" si="8"/>
        <v>663.63636363636363</v>
      </c>
      <c r="T569" s="2" t="str" cm="1">
        <f t="array" ref="T569">_xlfn.IFS(N569&lt;=2.5,"Low",N569&lt;=3,"Medium",N569&gt;3,"High")</f>
        <v>High</v>
      </c>
    </row>
    <row r="570" spans="1:20" x14ac:dyDescent="0.3">
      <c r="A570" s="2">
        <v>569</v>
      </c>
      <c r="B570" s="2" t="s">
        <v>21</v>
      </c>
      <c r="C570" s="2">
        <v>21</v>
      </c>
      <c r="D570" s="2" t="s">
        <v>16</v>
      </c>
      <c r="E570" s="2">
        <v>76.3</v>
      </c>
      <c r="F570" s="2">
        <v>1.65</v>
      </c>
      <c r="G570" s="2">
        <v>180</v>
      </c>
      <c r="H570" s="2">
        <v>154</v>
      </c>
      <c r="I570" s="2">
        <v>62</v>
      </c>
      <c r="J570" s="2">
        <v>1.1399999999999999</v>
      </c>
      <c r="K570" s="2">
        <v>878</v>
      </c>
      <c r="L570" s="2" t="s">
        <v>20</v>
      </c>
      <c r="M570" s="2">
        <v>31.8</v>
      </c>
      <c r="N570" s="2">
        <v>1.7</v>
      </c>
      <c r="O570" s="2">
        <v>3</v>
      </c>
      <c r="P570" s="2">
        <v>2</v>
      </c>
      <c r="Q570" s="2">
        <v>28.03</v>
      </c>
      <c r="R570" s="2" t="str" cm="1">
        <f t="array" ref="R570">_xlfn.IFS(Q570&lt;18.5,"Underweight",
AND(Q570&gt;=18.5,Q570&lt;25),"Normal Weight",
AND(Q570&gt;=25,Q570&lt;30),"Overweight",
Q570&gt;=30,"Obesity")</f>
        <v>Overweight</v>
      </c>
      <c r="S570" s="2">
        <f t="shared" si="8"/>
        <v>770.17543859649129</v>
      </c>
      <c r="T570" s="2" t="str" cm="1">
        <f t="array" ref="T570">_xlfn.IFS(N570&lt;=2.5,"Low",N570&lt;=3,"Medium",N570&gt;3,"High")</f>
        <v>Low</v>
      </c>
    </row>
    <row r="571" spans="1:20" x14ac:dyDescent="0.3">
      <c r="A571" s="2">
        <v>570</v>
      </c>
      <c r="B571" s="2" t="s">
        <v>26</v>
      </c>
      <c r="C571" s="2">
        <v>53</v>
      </c>
      <c r="D571" s="2" t="s">
        <v>15</v>
      </c>
      <c r="E571" s="2">
        <v>61</v>
      </c>
      <c r="F571" s="2">
        <v>1.63</v>
      </c>
      <c r="G571" s="2">
        <v>170</v>
      </c>
      <c r="H571" s="2">
        <v>124</v>
      </c>
      <c r="I571" s="2">
        <v>74</v>
      </c>
      <c r="J571" s="2">
        <v>0.54</v>
      </c>
      <c r="K571" s="2">
        <v>331</v>
      </c>
      <c r="L571" s="2" t="s">
        <v>19</v>
      </c>
      <c r="M571" s="2">
        <v>20</v>
      </c>
      <c r="N571" s="2">
        <v>3.4</v>
      </c>
      <c r="O571" s="2">
        <v>3</v>
      </c>
      <c r="P571" s="2">
        <v>1</v>
      </c>
      <c r="Q571" s="2">
        <v>22.96</v>
      </c>
      <c r="R571" s="2" t="str" cm="1">
        <f t="array" ref="R571">_xlfn.IFS(Q571&lt;18.5,"Underweight",
AND(Q571&gt;=18.5,Q571&lt;25),"Normal Weight",
AND(Q571&gt;=25,Q571&lt;30),"Overweight",
Q571&gt;=30,"Obesity")</f>
        <v>Normal Weight</v>
      </c>
      <c r="S571" s="2">
        <f t="shared" si="8"/>
        <v>612.96296296296293</v>
      </c>
      <c r="T571" s="2" t="str" cm="1">
        <f t="array" ref="T571">_xlfn.IFS(N571&lt;=2.5,"Low",N571&lt;=3,"Medium",N571&gt;3,"High")</f>
        <v>High</v>
      </c>
    </row>
    <row r="572" spans="1:20" x14ac:dyDescent="0.3">
      <c r="A572" s="2">
        <v>571</v>
      </c>
      <c r="B572" s="2" t="s">
        <v>28</v>
      </c>
      <c r="C572" s="2">
        <v>23</v>
      </c>
      <c r="D572" s="2" t="s">
        <v>16</v>
      </c>
      <c r="E572" s="2">
        <v>67.8</v>
      </c>
      <c r="F572" s="2">
        <v>1.61</v>
      </c>
      <c r="G572" s="2">
        <v>186</v>
      </c>
      <c r="H572" s="2">
        <v>160</v>
      </c>
      <c r="I572" s="2">
        <v>66</v>
      </c>
      <c r="J572" s="2">
        <v>1.34</v>
      </c>
      <c r="K572" s="2">
        <v>1072</v>
      </c>
      <c r="L572" s="2" t="s">
        <v>18</v>
      </c>
      <c r="M572" s="2">
        <v>34.299999999999997</v>
      </c>
      <c r="N572" s="2">
        <v>1.8</v>
      </c>
      <c r="O572" s="2">
        <v>2</v>
      </c>
      <c r="P572" s="2">
        <v>1</v>
      </c>
      <c r="Q572" s="2">
        <v>26.16</v>
      </c>
      <c r="R572" s="2" t="str" cm="1">
        <f t="array" ref="R572">_xlfn.IFS(Q572&lt;18.5,"Underweight",
AND(Q572&gt;=18.5,Q572&lt;25),"Normal Weight",
AND(Q572&gt;=25,Q572&lt;30),"Overweight",
Q572&gt;=30,"Obesity")</f>
        <v>Overweight</v>
      </c>
      <c r="S572" s="2">
        <f t="shared" si="8"/>
        <v>800</v>
      </c>
      <c r="T572" s="2" t="str" cm="1">
        <f t="array" ref="T572">_xlfn.IFS(N572&lt;=2.5,"Low",N572&lt;=3,"Medium",N572&gt;3,"High")</f>
        <v>Low</v>
      </c>
    </row>
    <row r="573" spans="1:20" x14ac:dyDescent="0.3">
      <c r="A573" s="2">
        <v>572</v>
      </c>
      <c r="B573" s="2" t="s">
        <v>25</v>
      </c>
      <c r="C573" s="2">
        <v>48</v>
      </c>
      <c r="D573" s="2" t="s">
        <v>15</v>
      </c>
      <c r="E573" s="2">
        <v>114.9</v>
      </c>
      <c r="F573" s="2">
        <v>1.86</v>
      </c>
      <c r="G573" s="2">
        <v>175</v>
      </c>
      <c r="H573" s="2">
        <v>141</v>
      </c>
      <c r="I573" s="2">
        <v>56</v>
      </c>
      <c r="J573" s="2">
        <v>1.36</v>
      </c>
      <c r="K573" s="2">
        <v>949</v>
      </c>
      <c r="L573" s="2" t="s">
        <v>19</v>
      </c>
      <c r="M573" s="2">
        <v>21.1</v>
      </c>
      <c r="N573" s="2">
        <v>3.6</v>
      </c>
      <c r="O573" s="2">
        <v>3</v>
      </c>
      <c r="P573" s="2">
        <v>1</v>
      </c>
      <c r="Q573" s="2">
        <v>33.21</v>
      </c>
      <c r="R573" s="2" t="str" cm="1">
        <f t="array" ref="R573">_xlfn.IFS(Q573&lt;18.5,"Underweight",
AND(Q573&gt;=18.5,Q573&lt;25),"Normal Weight",
AND(Q573&gt;=25,Q573&lt;30),"Overweight",
Q573&gt;=30,"Obesity")</f>
        <v>Obesity</v>
      </c>
      <c r="S573" s="2">
        <f t="shared" si="8"/>
        <v>697.79411764705878</v>
      </c>
      <c r="T573" s="2" t="str" cm="1">
        <f t="array" ref="T573">_xlfn.IFS(N573&lt;=2.5,"Low",N573&lt;=3,"Medium",N573&gt;3,"High")</f>
        <v>High</v>
      </c>
    </row>
    <row r="574" spans="1:20" x14ac:dyDescent="0.3">
      <c r="A574" s="2">
        <v>573</v>
      </c>
      <c r="B574" s="2" t="s">
        <v>22</v>
      </c>
      <c r="C574" s="2">
        <v>36</v>
      </c>
      <c r="D574" s="2" t="s">
        <v>15</v>
      </c>
      <c r="E574" s="2">
        <v>88</v>
      </c>
      <c r="F574" s="2">
        <v>1.71</v>
      </c>
      <c r="G574" s="2">
        <v>185</v>
      </c>
      <c r="H574" s="2">
        <v>160</v>
      </c>
      <c r="I574" s="2">
        <v>73</v>
      </c>
      <c r="J574" s="2">
        <v>1.87</v>
      </c>
      <c r="K574" s="2">
        <v>1646</v>
      </c>
      <c r="L574" s="2" t="s">
        <v>18</v>
      </c>
      <c r="M574" s="2">
        <v>12</v>
      </c>
      <c r="N574" s="2">
        <v>3.5</v>
      </c>
      <c r="O574" s="2">
        <v>5</v>
      </c>
      <c r="P574" s="2">
        <v>3</v>
      </c>
      <c r="Q574" s="2">
        <v>30.09</v>
      </c>
      <c r="R574" s="2" t="str" cm="1">
        <f t="array" ref="R574">_xlfn.IFS(Q574&lt;18.5,"Underweight",
AND(Q574&gt;=18.5,Q574&lt;25),"Normal Weight",
AND(Q574&gt;=25,Q574&lt;30),"Overweight",
Q574&gt;=30,"Obesity")</f>
        <v>Obesity</v>
      </c>
      <c r="S574" s="2">
        <f t="shared" si="8"/>
        <v>880.21390374331543</v>
      </c>
      <c r="T574" s="2" t="str" cm="1">
        <f t="array" ref="T574">_xlfn.IFS(N574&lt;=2.5,"Low",N574&lt;=3,"Medium",N574&gt;3,"High")</f>
        <v>High</v>
      </c>
    </row>
    <row r="575" spans="1:20" x14ac:dyDescent="0.3">
      <c r="A575" s="2">
        <v>574</v>
      </c>
      <c r="B575" s="2" t="s">
        <v>23</v>
      </c>
      <c r="C575" s="2">
        <v>56</v>
      </c>
      <c r="D575" s="2" t="s">
        <v>16</v>
      </c>
      <c r="E575" s="2">
        <v>67.7</v>
      </c>
      <c r="F575" s="2">
        <v>1.58</v>
      </c>
      <c r="G575" s="2">
        <v>189</v>
      </c>
      <c r="H575" s="2">
        <v>142</v>
      </c>
      <c r="I575" s="2">
        <v>52</v>
      </c>
      <c r="J575" s="2">
        <v>1.45</v>
      </c>
      <c r="K575" s="2">
        <v>927</v>
      </c>
      <c r="L575" s="2" t="s">
        <v>20</v>
      </c>
      <c r="M575" s="2">
        <v>32.700000000000003</v>
      </c>
      <c r="N575" s="2">
        <v>1.9</v>
      </c>
      <c r="O575" s="2">
        <v>2</v>
      </c>
      <c r="P575" s="2">
        <v>1</v>
      </c>
      <c r="Q575" s="2">
        <v>27.12</v>
      </c>
      <c r="R575" s="2" t="str" cm="1">
        <f t="array" ref="R575">_xlfn.IFS(Q575&lt;18.5,"Underweight",
AND(Q575&gt;=18.5,Q575&lt;25),"Normal Weight",
AND(Q575&gt;=25,Q575&lt;30),"Overweight",
Q575&gt;=30,"Obesity")</f>
        <v>Overweight</v>
      </c>
      <c r="S575" s="2">
        <f t="shared" si="8"/>
        <v>639.31034482758628</v>
      </c>
      <c r="T575" s="2" t="str" cm="1">
        <f t="array" ref="T575">_xlfn.IFS(N575&lt;=2.5,"Low",N575&lt;=3,"Medium",N575&gt;3,"High")</f>
        <v>Low</v>
      </c>
    </row>
    <row r="576" spans="1:20" x14ac:dyDescent="0.3">
      <c r="A576" s="2">
        <v>575</v>
      </c>
      <c r="B576" s="2" t="s">
        <v>30</v>
      </c>
      <c r="C576" s="2">
        <v>44</v>
      </c>
      <c r="D576" s="2" t="s">
        <v>15</v>
      </c>
      <c r="E576" s="2">
        <v>124.8</v>
      </c>
      <c r="F576" s="2">
        <v>1.85</v>
      </c>
      <c r="G576" s="2">
        <v>175</v>
      </c>
      <c r="H576" s="2">
        <v>126</v>
      </c>
      <c r="I576" s="2">
        <v>69</v>
      </c>
      <c r="J576" s="2">
        <v>1.35</v>
      </c>
      <c r="K576" s="2">
        <v>842</v>
      </c>
      <c r="L576" s="2" t="s">
        <v>20</v>
      </c>
      <c r="M576" s="2">
        <v>24.4</v>
      </c>
      <c r="N576" s="2">
        <v>3.5</v>
      </c>
      <c r="O576" s="2">
        <v>4</v>
      </c>
      <c r="P576" s="2">
        <v>2</v>
      </c>
      <c r="Q576" s="2">
        <v>36.46</v>
      </c>
      <c r="R576" s="2" t="str" cm="1">
        <f t="array" ref="R576">_xlfn.IFS(Q576&lt;18.5,"Underweight",
AND(Q576&gt;=18.5,Q576&lt;25),"Normal Weight",
AND(Q576&gt;=25,Q576&lt;30),"Overweight",
Q576&gt;=30,"Obesity")</f>
        <v>Obesity</v>
      </c>
      <c r="S576" s="2">
        <f t="shared" si="8"/>
        <v>623.7037037037037</v>
      </c>
      <c r="T576" s="2" t="str" cm="1">
        <f t="array" ref="T576">_xlfn.IFS(N576&lt;=2.5,"Low",N576&lt;=3,"Medium",N576&gt;3,"High")</f>
        <v>High</v>
      </c>
    </row>
    <row r="577" spans="1:20" x14ac:dyDescent="0.3">
      <c r="A577" s="2">
        <v>576</v>
      </c>
      <c r="B577" s="2" t="s">
        <v>21</v>
      </c>
      <c r="C577" s="2">
        <v>27</v>
      </c>
      <c r="D577" s="2" t="s">
        <v>16</v>
      </c>
      <c r="E577" s="2">
        <v>53</v>
      </c>
      <c r="F577" s="2">
        <v>1.58</v>
      </c>
      <c r="G577" s="2">
        <v>166</v>
      </c>
      <c r="H577" s="2">
        <v>142</v>
      </c>
      <c r="I577" s="2">
        <v>62</v>
      </c>
      <c r="J577" s="2">
        <v>1.26</v>
      </c>
      <c r="K577" s="2">
        <v>895</v>
      </c>
      <c r="L577" s="2" t="s">
        <v>19</v>
      </c>
      <c r="M577" s="2">
        <v>34.5</v>
      </c>
      <c r="N577" s="2">
        <v>1.8</v>
      </c>
      <c r="O577" s="2">
        <v>4</v>
      </c>
      <c r="P577" s="2">
        <v>2</v>
      </c>
      <c r="Q577" s="2">
        <v>21.23</v>
      </c>
      <c r="R577" s="2" t="str" cm="1">
        <f t="array" ref="R577">_xlfn.IFS(Q577&lt;18.5,"Underweight",
AND(Q577&gt;=18.5,Q577&lt;25),"Normal Weight",
AND(Q577&gt;=25,Q577&lt;30),"Overweight",
Q577&gt;=30,"Obesity")</f>
        <v>Normal Weight</v>
      </c>
      <c r="S577" s="2">
        <f t="shared" si="8"/>
        <v>710.31746031746036</v>
      </c>
      <c r="T577" s="2" t="str" cm="1">
        <f t="array" ref="T577">_xlfn.IFS(N577&lt;=2.5,"Low",N577&lt;=3,"Medium",N577&gt;3,"High")</f>
        <v>Low</v>
      </c>
    </row>
    <row r="578" spans="1:20" x14ac:dyDescent="0.3">
      <c r="A578" s="2">
        <v>577</v>
      </c>
      <c r="B578" s="2" t="s">
        <v>29</v>
      </c>
      <c r="C578" s="2">
        <v>43</v>
      </c>
      <c r="D578" s="2" t="s">
        <v>15</v>
      </c>
      <c r="E578" s="2">
        <v>61.2</v>
      </c>
      <c r="F578" s="2">
        <v>1.88</v>
      </c>
      <c r="G578" s="2">
        <v>175</v>
      </c>
      <c r="H578" s="2">
        <v>163</v>
      </c>
      <c r="I578" s="2">
        <v>68</v>
      </c>
      <c r="J578" s="2">
        <v>1.03</v>
      </c>
      <c r="K578" s="2">
        <v>831</v>
      </c>
      <c r="L578" s="2" t="s">
        <v>17</v>
      </c>
      <c r="M578" s="2">
        <v>24.7</v>
      </c>
      <c r="N578" s="2">
        <v>2.9</v>
      </c>
      <c r="O578" s="2">
        <v>3</v>
      </c>
      <c r="P578" s="2">
        <v>1</v>
      </c>
      <c r="Q578" s="2">
        <v>17.32</v>
      </c>
      <c r="R578" s="2" t="str" cm="1">
        <f t="array" ref="R578">_xlfn.IFS(Q578&lt;18.5,"Underweight",
AND(Q578&gt;=18.5,Q578&lt;25),"Normal Weight",
AND(Q578&gt;=25,Q578&lt;30),"Overweight",
Q578&gt;=30,"Obesity")</f>
        <v>Underweight</v>
      </c>
      <c r="S578" s="2">
        <f t="shared" si="8"/>
        <v>806.79611650485435</v>
      </c>
      <c r="T578" s="2" t="str" cm="1">
        <f t="array" ref="T578">_xlfn.IFS(N578&lt;=2.5,"Low",N578&lt;=3,"Medium",N578&gt;3,"High")</f>
        <v>Medium</v>
      </c>
    </row>
    <row r="579" spans="1:20" x14ac:dyDescent="0.3">
      <c r="A579" s="2">
        <v>578</v>
      </c>
      <c r="B579" s="2" t="s">
        <v>26</v>
      </c>
      <c r="C579" s="2">
        <v>36</v>
      </c>
      <c r="D579" s="2" t="s">
        <v>16</v>
      </c>
      <c r="E579" s="2">
        <v>48.7</v>
      </c>
      <c r="F579" s="2">
        <v>1.68</v>
      </c>
      <c r="G579" s="2">
        <v>194</v>
      </c>
      <c r="H579" s="2">
        <v>144</v>
      </c>
      <c r="I579" s="2">
        <v>56</v>
      </c>
      <c r="J579" s="2">
        <v>1.23</v>
      </c>
      <c r="K579" s="2">
        <v>886</v>
      </c>
      <c r="L579" s="2" t="s">
        <v>17</v>
      </c>
      <c r="M579" s="2">
        <v>33.700000000000003</v>
      </c>
      <c r="N579" s="2">
        <v>1.6</v>
      </c>
      <c r="O579" s="2">
        <v>3</v>
      </c>
      <c r="P579" s="2">
        <v>1</v>
      </c>
      <c r="Q579" s="2">
        <v>17.25</v>
      </c>
      <c r="R579" s="2" t="str" cm="1">
        <f t="array" ref="R579">_xlfn.IFS(Q579&lt;18.5,"Underweight",
AND(Q579&gt;=18.5,Q579&lt;25),"Normal Weight",
AND(Q579&gt;=25,Q579&lt;30),"Overweight",
Q579&gt;=30,"Obesity")</f>
        <v>Underweight</v>
      </c>
      <c r="S579" s="2">
        <f t="shared" ref="S579:S642" si="9">K579/J579</f>
        <v>720.32520325203257</v>
      </c>
      <c r="T579" s="2" t="str" cm="1">
        <f t="array" ref="T579">_xlfn.IFS(N579&lt;=2.5,"Low",N579&lt;=3,"Medium",N579&gt;3,"High")</f>
        <v>Low</v>
      </c>
    </row>
    <row r="580" spans="1:20" x14ac:dyDescent="0.3">
      <c r="A580" s="2">
        <v>579</v>
      </c>
      <c r="B580" s="2" t="s">
        <v>30</v>
      </c>
      <c r="C580" s="2">
        <v>56</v>
      </c>
      <c r="D580" s="2" t="s">
        <v>16</v>
      </c>
      <c r="E580" s="2">
        <v>50.6</v>
      </c>
      <c r="F580" s="2">
        <v>1.7</v>
      </c>
      <c r="G580" s="2">
        <v>175</v>
      </c>
      <c r="H580" s="2">
        <v>146</v>
      </c>
      <c r="I580" s="2">
        <v>58</v>
      </c>
      <c r="J580" s="2">
        <v>1.29</v>
      </c>
      <c r="K580" s="2">
        <v>848</v>
      </c>
      <c r="L580" s="2" t="s">
        <v>20</v>
      </c>
      <c r="M580" s="2">
        <v>33.1</v>
      </c>
      <c r="N580" s="2">
        <v>2.2999999999999998</v>
      </c>
      <c r="O580" s="2">
        <v>2</v>
      </c>
      <c r="P580" s="2">
        <v>1</v>
      </c>
      <c r="Q580" s="2">
        <v>17.510000000000002</v>
      </c>
      <c r="R580" s="2" t="str" cm="1">
        <f t="array" ref="R580">_xlfn.IFS(Q580&lt;18.5,"Underweight",
AND(Q580&gt;=18.5,Q580&lt;25),"Normal Weight",
AND(Q580&gt;=25,Q580&lt;30),"Overweight",
Q580&gt;=30,"Obesity")</f>
        <v>Underweight</v>
      </c>
      <c r="S580" s="2">
        <f t="shared" si="9"/>
        <v>657.36434108527135</v>
      </c>
      <c r="T580" s="2" t="str" cm="1">
        <f t="array" ref="T580">_xlfn.IFS(N580&lt;=2.5,"Low",N580&lt;=3,"Medium",N580&gt;3,"High")</f>
        <v>Low</v>
      </c>
    </row>
    <row r="581" spans="1:20" x14ac:dyDescent="0.3">
      <c r="A581" s="2">
        <v>580</v>
      </c>
      <c r="B581" s="2" t="s">
        <v>29</v>
      </c>
      <c r="C581" s="2">
        <v>20</v>
      </c>
      <c r="D581" s="2" t="s">
        <v>16</v>
      </c>
      <c r="E581" s="2">
        <v>72.599999999999994</v>
      </c>
      <c r="F581" s="2">
        <v>1.73</v>
      </c>
      <c r="G581" s="2">
        <v>199</v>
      </c>
      <c r="H581" s="2">
        <v>160</v>
      </c>
      <c r="I581" s="2">
        <v>68</v>
      </c>
      <c r="J581" s="2">
        <v>1.27</v>
      </c>
      <c r="K581" s="2">
        <v>1016</v>
      </c>
      <c r="L581" s="2" t="s">
        <v>18</v>
      </c>
      <c r="M581" s="2">
        <v>34.799999999999997</v>
      </c>
      <c r="N581" s="2">
        <v>2.5</v>
      </c>
      <c r="O581" s="2">
        <v>3</v>
      </c>
      <c r="P581" s="2">
        <v>2</v>
      </c>
      <c r="Q581" s="2">
        <v>24.26</v>
      </c>
      <c r="R581" s="2" t="str" cm="1">
        <f t="array" ref="R581">_xlfn.IFS(Q581&lt;18.5,"Underweight",
AND(Q581&gt;=18.5,Q581&lt;25),"Normal Weight",
AND(Q581&gt;=25,Q581&lt;30),"Overweight",
Q581&gt;=30,"Obesity")</f>
        <v>Normal Weight</v>
      </c>
      <c r="S581" s="2">
        <f t="shared" si="9"/>
        <v>800</v>
      </c>
      <c r="T581" s="2" t="str" cm="1">
        <f t="array" ref="T581">_xlfn.IFS(N581&lt;=2.5,"Low",N581&lt;=3,"Medium",N581&gt;3,"High")</f>
        <v>Low</v>
      </c>
    </row>
    <row r="582" spans="1:20" x14ac:dyDescent="0.3">
      <c r="A582" s="2">
        <v>581</v>
      </c>
      <c r="B582" s="2" t="s">
        <v>30</v>
      </c>
      <c r="C582" s="2">
        <v>30</v>
      </c>
      <c r="D582" s="2" t="s">
        <v>16</v>
      </c>
      <c r="E582" s="2">
        <v>70.400000000000006</v>
      </c>
      <c r="F582" s="2">
        <v>1.56</v>
      </c>
      <c r="G582" s="2">
        <v>171</v>
      </c>
      <c r="H582" s="2">
        <v>125</v>
      </c>
      <c r="I582" s="2">
        <v>62</v>
      </c>
      <c r="J582" s="2">
        <v>1.03</v>
      </c>
      <c r="K582" s="2">
        <v>644</v>
      </c>
      <c r="L582" s="2" t="s">
        <v>17</v>
      </c>
      <c r="M582" s="2">
        <v>34.299999999999997</v>
      </c>
      <c r="N582" s="2">
        <v>2.4</v>
      </c>
      <c r="O582" s="2">
        <v>4</v>
      </c>
      <c r="P582" s="2">
        <v>2</v>
      </c>
      <c r="Q582" s="2">
        <v>28.93</v>
      </c>
      <c r="R582" s="2" t="str" cm="1">
        <f t="array" ref="R582">_xlfn.IFS(Q582&lt;18.5,"Underweight",
AND(Q582&gt;=18.5,Q582&lt;25),"Normal Weight",
AND(Q582&gt;=25,Q582&lt;30),"Overweight",
Q582&gt;=30,"Obesity")</f>
        <v>Overweight</v>
      </c>
      <c r="S582" s="2">
        <f t="shared" si="9"/>
        <v>625.24271844660188</v>
      </c>
      <c r="T582" s="2" t="str" cm="1">
        <f t="array" ref="T582">_xlfn.IFS(N582&lt;=2.5,"Low",N582&lt;=3,"Medium",N582&gt;3,"High")</f>
        <v>Low</v>
      </c>
    </row>
    <row r="583" spans="1:20" x14ac:dyDescent="0.3">
      <c r="A583" s="2">
        <v>582</v>
      </c>
      <c r="B583" s="2" t="s">
        <v>23</v>
      </c>
      <c r="C583" s="2">
        <v>45</v>
      </c>
      <c r="D583" s="2" t="s">
        <v>15</v>
      </c>
      <c r="E583" s="2">
        <v>52.5</v>
      </c>
      <c r="F583" s="2">
        <v>1.88</v>
      </c>
      <c r="G583" s="2">
        <v>194</v>
      </c>
      <c r="H583" s="2">
        <v>153</v>
      </c>
      <c r="I583" s="2">
        <v>71</v>
      </c>
      <c r="J583" s="2">
        <v>1.08</v>
      </c>
      <c r="K583" s="2">
        <v>818</v>
      </c>
      <c r="L583" s="2" t="s">
        <v>20</v>
      </c>
      <c r="M583" s="2">
        <v>29</v>
      </c>
      <c r="N583" s="2">
        <v>2.9</v>
      </c>
      <c r="O583" s="2">
        <v>4</v>
      </c>
      <c r="P583" s="2">
        <v>2</v>
      </c>
      <c r="Q583" s="2">
        <v>14.85</v>
      </c>
      <c r="R583" s="2" t="str" cm="1">
        <f t="array" ref="R583">_xlfn.IFS(Q583&lt;18.5,"Underweight",
AND(Q583&gt;=18.5,Q583&lt;25),"Normal Weight",
AND(Q583&gt;=25,Q583&lt;30),"Overweight",
Q583&gt;=30,"Obesity")</f>
        <v>Underweight</v>
      </c>
      <c r="S583" s="2">
        <f t="shared" si="9"/>
        <v>757.40740740740739</v>
      </c>
      <c r="T583" s="2" t="str" cm="1">
        <f t="array" ref="T583">_xlfn.IFS(N583&lt;=2.5,"Low",N583&lt;=3,"Medium",N583&gt;3,"High")</f>
        <v>Medium</v>
      </c>
    </row>
    <row r="584" spans="1:20" x14ac:dyDescent="0.3">
      <c r="A584" s="2">
        <v>583</v>
      </c>
      <c r="B584" s="2" t="s">
        <v>29</v>
      </c>
      <c r="C584" s="2">
        <v>37</v>
      </c>
      <c r="D584" s="2" t="s">
        <v>15</v>
      </c>
      <c r="E584" s="2">
        <v>76.3</v>
      </c>
      <c r="F584" s="2">
        <v>1.77</v>
      </c>
      <c r="G584" s="2">
        <v>180</v>
      </c>
      <c r="H584" s="2">
        <v>128</v>
      </c>
      <c r="I584" s="2">
        <v>57</v>
      </c>
      <c r="J584" s="2">
        <v>1.36</v>
      </c>
      <c r="K584" s="2">
        <v>957</v>
      </c>
      <c r="L584" s="2" t="s">
        <v>18</v>
      </c>
      <c r="M584" s="2">
        <v>27.3</v>
      </c>
      <c r="N584" s="2">
        <v>2.1</v>
      </c>
      <c r="O584" s="2">
        <v>4</v>
      </c>
      <c r="P584" s="2">
        <v>2</v>
      </c>
      <c r="Q584" s="2">
        <v>24.35</v>
      </c>
      <c r="R584" s="2" t="str" cm="1">
        <f t="array" ref="R584">_xlfn.IFS(Q584&lt;18.5,"Underweight",
AND(Q584&gt;=18.5,Q584&lt;25),"Normal Weight",
AND(Q584&gt;=25,Q584&lt;30),"Overweight",
Q584&gt;=30,"Obesity")</f>
        <v>Normal Weight</v>
      </c>
      <c r="S584" s="2">
        <f t="shared" si="9"/>
        <v>703.67647058823525</v>
      </c>
      <c r="T584" s="2" t="str" cm="1">
        <f t="array" ref="T584">_xlfn.IFS(N584&lt;=2.5,"Low",N584&lt;=3,"Medium",N584&gt;3,"High")</f>
        <v>Low</v>
      </c>
    </row>
    <row r="585" spans="1:20" x14ac:dyDescent="0.3">
      <c r="A585" s="2">
        <v>584</v>
      </c>
      <c r="B585" s="2" t="s">
        <v>27</v>
      </c>
      <c r="C585" s="2">
        <v>45</v>
      </c>
      <c r="D585" s="2" t="s">
        <v>16</v>
      </c>
      <c r="E585" s="2">
        <v>41.2</v>
      </c>
      <c r="F585" s="2">
        <v>1.58</v>
      </c>
      <c r="G585" s="2">
        <v>195</v>
      </c>
      <c r="H585" s="2">
        <v>168</v>
      </c>
      <c r="I585" s="2">
        <v>71</v>
      </c>
      <c r="J585" s="2">
        <v>1.47</v>
      </c>
      <c r="K585" s="2">
        <v>1111</v>
      </c>
      <c r="L585" s="2" t="s">
        <v>18</v>
      </c>
      <c r="M585" s="2">
        <v>28.7</v>
      </c>
      <c r="N585" s="2">
        <v>2.6</v>
      </c>
      <c r="O585" s="2">
        <v>2</v>
      </c>
      <c r="P585" s="2">
        <v>1</v>
      </c>
      <c r="Q585" s="2">
        <v>16.5</v>
      </c>
      <c r="R585" s="2" t="str" cm="1">
        <f t="array" ref="R585">_xlfn.IFS(Q585&lt;18.5,"Underweight",
AND(Q585&gt;=18.5,Q585&lt;25),"Normal Weight",
AND(Q585&gt;=25,Q585&lt;30),"Overweight",
Q585&gt;=30,"Obesity")</f>
        <v>Underweight</v>
      </c>
      <c r="S585" s="2">
        <f t="shared" si="9"/>
        <v>755.78231292517012</v>
      </c>
      <c r="T585" s="2" t="str" cm="1">
        <f t="array" ref="T585">_xlfn.IFS(N585&lt;=2.5,"Low",N585&lt;=3,"Medium",N585&gt;3,"High")</f>
        <v>Medium</v>
      </c>
    </row>
    <row r="586" spans="1:20" x14ac:dyDescent="0.3">
      <c r="A586" s="2">
        <v>585</v>
      </c>
      <c r="B586" s="2" t="s">
        <v>24</v>
      </c>
      <c r="C586" s="2">
        <v>25</v>
      </c>
      <c r="D586" s="2" t="s">
        <v>16</v>
      </c>
      <c r="E586" s="2">
        <v>55.3</v>
      </c>
      <c r="F586" s="2">
        <v>1.76</v>
      </c>
      <c r="G586" s="2">
        <v>176</v>
      </c>
      <c r="H586" s="2">
        <v>152</v>
      </c>
      <c r="I586" s="2">
        <v>67</v>
      </c>
      <c r="J586" s="2">
        <v>1.56</v>
      </c>
      <c r="K586" s="2">
        <v>1186</v>
      </c>
      <c r="L586" s="2" t="s">
        <v>17</v>
      </c>
      <c r="M586" s="2">
        <v>15.5</v>
      </c>
      <c r="N586" s="2">
        <v>2.7</v>
      </c>
      <c r="O586" s="2">
        <v>4</v>
      </c>
      <c r="P586" s="2">
        <v>3</v>
      </c>
      <c r="Q586" s="2">
        <v>17.850000000000001</v>
      </c>
      <c r="R586" s="2" t="str" cm="1">
        <f t="array" ref="R586">_xlfn.IFS(Q586&lt;18.5,"Underweight",
AND(Q586&gt;=18.5,Q586&lt;25),"Normal Weight",
AND(Q586&gt;=25,Q586&lt;30),"Overweight",
Q586&gt;=30,"Obesity")</f>
        <v>Underweight</v>
      </c>
      <c r="S586" s="2">
        <f t="shared" si="9"/>
        <v>760.25641025641028</v>
      </c>
      <c r="T586" s="2" t="str" cm="1">
        <f t="array" ref="T586">_xlfn.IFS(N586&lt;=2.5,"Low",N586&lt;=3,"Medium",N586&gt;3,"High")</f>
        <v>Medium</v>
      </c>
    </row>
    <row r="587" spans="1:20" x14ac:dyDescent="0.3">
      <c r="A587" s="2">
        <v>586</v>
      </c>
      <c r="B587" s="2" t="s">
        <v>27</v>
      </c>
      <c r="C587" s="2">
        <v>58</v>
      </c>
      <c r="D587" s="2" t="s">
        <v>16</v>
      </c>
      <c r="E587" s="2">
        <v>49.7</v>
      </c>
      <c r="F587" s="2">
        <v>1.67</v>
      </c>
      <c r="G587" s="2">
        <v>191</v>
      </c>
      <c r="H587" s="2">
        <v>125</v>
      </c>
      <c r="I587" s="2">
        <v>72</v>
      </c>
      <c r="J587" s="2">
        <v>1.38</v>
      </c>
      <c r="K587" s="2">
        <v>776</v>
      </c>
      <c r="L587" s="2" t="s">
        <v>20</v>
      </c>
      <c r="M587" s="2">
        <v>31.9</v>
      </c>
      <c r="N587" s="2">
        <v>2.2999999999999998</v>
      </c>
      <c r="O587" s="2">
        <v>4</v>
      </c>
      <c r="P587" s="2">
        <v>2</v>
      </c>
      <c r="Q587" s="2">
        <v>17.82</v>
      </c>
      <c r="R587" s="2" t="str" cm="1">
        <f t="array" ref="R587">_xlfn.IFS(Q587&lt;18.5,"Underweight",
AND(Q587&gt;=18.5,Q587&lt;25),"Normal Weight",
AND(Q587&gt;=25,Q587&lt;30),"Overweight",
Q587&gt;=30,"Obesity")</f>
        <v>Underweight</v>
      </c>
      <c r="S587" s="2">
        <f t="shared" si="9"/>
        <v>562.31884057971024</v>
      </c>
      <c r="T587" s="2" t="str" cm="1">
        <f t="array" ref="T587">_xlfn.IFS(N587&lt;=2.5,"Low",N587&lt;=3,"Medium",N587&gt;3,"High")</f>
        <v>Low</v>
      </c>
    </row>
    <row r="588" spans="1:20" x14ac:dyDescent="0.3">
      <c r="A588" s="2">
        <v>587</v>
      </c>
      <c r="B588" s="2" t="s">
        <v>25</v>
      </c>
      <c r="C588" s="2">
        <v>56</v>
      </c>
      <c r="D588" s="2" t="s">
        <v>15</v>
      </c>
      <c r="E588" s="2">
        <v>48.3</v>
      </c>
      <c r="F588" s="2">
        <v>1.87</v>
      </c>
      <c r="G588" s="2">
        <v>165</v>
      </c>
      <c r="H588" s="2">
        <v>156</v>
      </c>
      <c r="I588" s="2">
        <v>51</v>
      </c>
      <c r="J588" s="2">
        <v>0.68</v>
      </c>
      <c r="K588" s="2">
        <v>525</v>
      </c>
      <c r="L588" s="2" t="s">
        <v>18</v>
      </c>
      <c r="M588" s="2">
        <v>29.8</v>
      </c>
      <c r="N588" s="2">
        <v>3.3</v>
      </c>
      <c r="O588" s="2">
        <v>3</v>
      </c>
      <c r="P588" s="2">
        <v>1</v>
      </c>
      <c r="Q588" s="2">
        <v>13.81</v>
      </c>
      <c r="R588" s="2" t="str" cm="1">
        <f t="array" ref="R588">_xlfn.IFS(Q588&lt;18.5,"Underweight",
AND(Q588&gt;=18.5,Q588&lt;25),"Normal Weight",
AND(Q588&gt;=25,Q588&lt;30),"Overweight",
Q588&gt;=30,"Obesity")</f>
        <v>Underweight</v>
      </c>
      <c r="S588" s="2">
        <f t="shared" si="9"/>
        <v>772.05882352941171</v>
      </c>
      <c r="T588" s="2" t="str" cm="1">
        <f t="array" ref="T588">_xlfn.IFS(N588&lt;=2.5,"Low",N588&lt;=3,"Medium",N588&gt;3,"High")</f>
        <v>High</v>
      </c>
    </row>
    <row r="589" spans="1:20" x14ac:dyDescent="0.3">
      <c r="A589" s="2">
        <v>588</v>
      </c>
      <c r="B589" s="2" t="s">
        <v>24</v>
      </c>
      <c r="C589" s="2">
        <v>18</v>
      </c>
      <c r="D589" s="2" t="s">
        <v>15</v>
      </c>
      <c r="E589" s="2">
        <v>83.2</v>
      </c>
      <c r="F589" s="2">
        <v>1.96</v>
      </c>
      <c r="G589" s="2">
        <v>183</v>
      </c>
      <c r="H589" s="2">
        <v>150</v>
      </c>
      <c r="I589" s="2">
        <v>67</v>
      </c>
      <c r="J589" s="2">
        <v>1.83</v>
      </c>
      <c r="K589" s="2">
        <v>1510</v>
      </c>
      <c r="L589" s="2" t="s">
        <v>18</v>
      </c>
      <c r="M589" s="2">
        <v>13.6</v>
      </c>
      <c r="N589" s="2">
        <v>3.5</v>
      </c>
      <c r="O589" s="2">
        <v>4</v>
      </c>
      <c r="P589" s="2">
        <v>3</v>
      </c>
      <c r="Q589" s="2">
        <v>21.66</v>
      </c>
      <c r="R589" s="2" t="str" cm="1">
        <f t="array" ref="R589">_xlfn.IFS(Q589&lt;18.5,"Underweight",
AND(Q589&gt;=18.5,Q589&lt;25),"Normal Weight",
AND(Q589&gt;=25,Q589&lt;30),"Overweight",
Q589&gt;=30,"Obesity")</f>
        <v>Normal Weight</v>
      </c>
      <c r="S589" s="2">
        <f t="shared" si="9"/>
        <v>825.1366120218579</v>
      </c>
      <c r="T589" s="2" t="str" cm="1">
        <f t="array" ref="T589">_xlfn.IFS(N589&lt;=2.5,"Low",N589&lt;=3,"Medium",N589&gt;3,"High")</f>
        <v>High</v>
      </c>
    </row>
    <row r="590" spans="1:20" x14ac:dyDescent="0.3">
      <c r="A590" s="2">
        <v>589</v>
      </c>
      <c r="B590" s="2" t="s">
        <v>27</v>
      </c>
      <c r="C590" s="2">
        <v>20</v>
      </c>
      <c r="D590" s="2" t="s">
        <v>15</v>
      </c>
      <c r="E590" s="2">
        <v>120.5</v>
      </c>
      <c r="F590" s="2">
        <v>1.73</v>
      </c>
      <c r="G590" s="2">
        <v>186</v>
      </c>
      <c r="H590" s="2">
        <v>153</v>
      </c>
      <c r="I590" s="2">
        <v>67</v>
      </c>
      <c r="J590" s="2">
        <v>1.01</v>
      </c>
      <c r="K590" s="2">
        <v>850</v>
      </c>
      <c r="L590" s="2" t="s">
        <v>19</v>
      </c>
      <c r="M590" s="2">
        <v>29.3</v>
      </c>
      <c r="N590" s="2">
        <v>3.4</v>
      </c>
      <c r="O590" s="2">
        <v>3</v>
      </c>
      <c r="P590" s="2">
        <v>2</v>
      </c>
      <c r="Q590" s="2">
        <v>40.26</v>
      </c>
      <c r="R590" s="2" t="str" cm="1">
        <f t="array" ref="R590">_xlfn.IFS(Q590&lt;18.5,"Underweight",
AND(Q590&gt;=18.5,Q590&lt;25),"Normal Weight",
AND(Q590&gt;=25,Q590&lt;30),"Overweight",
Q590&gt;=30,"Obesity")</f>
        <v>Obesity</v>
      </c>
      <c r="S590" s="2">
        <f t="shared" si="9"/>
        <v>841.58415841584156</v>
      </c>
      <c r="T590" s="2" t="str" cm="1">
        <f t="array" ref="T590">_xlfn.IFS(N590&lt;=2.5,"Low",N590&lt;=3,"Medium",N590&gt;3,"High")</f>
        <v>High</v>
      </c>
    </row>
    <row r="591" spans="1:20" x14ac:dyDescent="0.3">
      <c r="A591" s="2">
        <v>590</v>
      </c>
      <c r="B591" s="2" t="s">
        <v>24</v>
      </c>
      <c r="C591" s="2">
        <v>30</v>
      </c>
      <c r="D591" s="2" t="s">
        <v>15</v>
      </c>
      <c r="E591" s="2">
        <v>121.6</v>
      </c>
      <c r="F591" s="2">
        <v>2</v>
      </c>
      <c r="G591" s="2">
        <v>179</v>
      </c>
      <c r="H591" s="2">
        <v>160</v>
      </c>
      <c r="I591" s="2">
        <v>60</v>
      </c>
      <c r="J591" s="2">
        <v>1.24</v>
      </c>
      <c r="K591" s="2">
        <v>1091</v>
      </c>
      <c r="L591" s="2" t="s">
        <v>19</v>
      </c>
      <c r="M591" s="2">
        <v>28</v>
      </c>
      <c r="N591" s="2">
        <v>3.3</v>
      </c>
      <c r="O591" s="2">
        <v>4</v>
      </c>
      <c r="P591" s="2">
        <v>2</v>
      </c>
      <c r="Q591" s="2">
        <v>30.4</v>
      </c>
      <c r="R591" s="2" t="str" cm="1">
        <f t="array" ref="R591">_xlfn.IFS(Q591&lt;18.5,"Underweight",
AND(Q591&gt;=18.5,Q591&lt;25),"Normal Weight",
AND(Q591&gt;=25,Q591&lt;30),"Overweight",
Q591&gt;=30,"Obesity")</f>
        <v>Obesity</v>
      </c>
      <c r="S591" s="2">
        <f t="shared" si="9"/>
        <v>879.83870967741939</v>
      </c>
      <c r="T591" s="2" t="str" cm="1">
        <f t="array" ref="T591">_xlfn.IFS(N591&lt;=2.5,"Low",N591&lt;=3,"Medium",N591&gt;3,"High")</f>
        <v>High</v>
      </c>
    </row>
    <row r="592" spans="1:20" x14ac:dyDescent="0.3">
      <c r="A592" s="2">
        <v>591</v>
      </c>
      <c r="B592" s="2" t="s">
        <v>24</v>
      </c>
      <c r="C592" s="2">
        <v>45</v>
      </c>
      <c r="D592" s="2" t="s">
        <v>16</v>
      </c>
      <c r="E592" s="2">
        <v>73</v>
      </c>
      <c r="F592" s="2">
        <v>1.75</v>
      </c>
      <c r="G592" s="2">
        <v>184</v>
      </c>
      <c r="H592" s="2">
        <v>148</v>
      </c>
      <c r="I592" s="2">
        <v>50</v>
      </c>
      <c r="J592" s="2">
        <v>1.1399999999999999</v>
      </c>
      <c r="K592" s="2">
        <v>759</v>
      </c>
      <c r="L592" s="2" t="s">
        <v>17</v>
      </c>
      <c r="M592" s="2">
        <v>26.6</v>
      </c>
      <c r="N592" s="2">
        <v>2</v>
      </c>
      <c r="O592" s="2">
        <v>4</v>
      </c>
      <c r="P592" s="2">
        <v>2</v>
      </c>
      <c r="Q592" s="2">
        <v>23.84</v>
      </c>
      <c r="R592" s="2" t="str" cm="1">
        <f t="array" ref="R592">_xlfn.IFS(Q592&lt;18.5,"Underweight",
AND(Q592&gt;=18.5,Q592&lt;25),"Normal Weight",
AND(Q592&gt;=25,Q592&lt;30),"Overweight",
Q592&gt;=30,"Obesity")</f>
        <v>Normal Weight</v>
      </c>
      <c r="S592" s="2">
        <f t="shared" si="9"/>
        <v>665.78947368421063</v>
      </c>
      <c r="T592" s="2" t="str" cm="1">
        <f t="array" ref="T592">_xlfn.IFS(N592&lt;=2.5,"Low",N592&lt;=3,"Medium",N592&gt;3,"High")</f>
        <v>Low</v>
      </c>
    </row>
    <row r="593" spans="1:20" x14ac:dyDescent="0.3">
      <c r="A593" s="2">
        <v>592</v>
      </c>
      <c r="B593" s="2" t="s">
        <v>22</v>
      </c>
      <c r="C593" s="2">
        <v>42</v>
      </c>
      <c r="D593" s="2" t="s">
        <v>16</v>
      </c>
      <c r="E593" s="2">
        <v>57.5</v>
      </c>
      <c r="F593" s="2">
        <v>1.67</v>
      </c>
      <c r="G593" s="2">
        <v>161</v>
      </c>
      <c r="H593" s="2">
        <v>133</v>
      </c>
      <c r="I593" s="2">
        <v>63</v>
      </c>
      <c r="J593" s="2">
        <v>1.76</v>
      </c>
      <c r="K593" s="2">
        <v>1053</v>
      </c>
      <c r="L593" s="2" t="s">
        <v>19</v>
      </c>
      <c r="M593" s="2">
        <v>16.2</v>
      </c>
      <c r="N593" s="2">
        <v>2.7</v>
      </c>
      <c r="O593" s="2">
        <v>5</v>
      </c>
      <c r="P593" s="2">
        <v>3</v>
      </c>
      <c r="Q593" s="2">
        <v>20.62</v>
      </c>
      <c r="R593" s="2" t="str" cm="1">
        <f t="array" ref="R593">_xlfn.IFS(Q593&lt;18.5,"Underweight",
AND(Q593&gt;=18.5,Q593&lt;25),"Normal Weight",
AND(Q593&gt;=25,Q593&lt;30),"Overweight",
Q593&gt;=30,"Obesity")</f>
        <v>Normal Weight</v>
      </c>
      <c r="S593" s="2">
        <f t="shared" si="9"/>
        <v>598.2954545454545</v>
      </c>
      <c r="T593" s="2" t="str" cm="1">
        <f t="array" ref="T593">_xlfn.IFS(N593&lt;=2.5,"Low",N593&lt;=3,"Medium",N593&gt;3,"High")</f>
        <v>Medium</v>
      </c>
    </row>
    <row r="594" spans="1:20" x14ac:dyDescent="0.3">
      <c r="A594" s="2">
        <v>593</v>
      </c>
      <c r="B594" s="2" t="s">
        <v>26</v>
      </c>
      <c r="C594" s="2">
        <v>50</v>
      </c>
      <c r="D594" s="2" t="s">
        <v>16</v>
      </c>
      <c r="E594" s="2">
        <v>42.7</v>
      </c>
      <c r="F594" s="2">
        <v>1.53</v>
      </c>
      <c r="G594" s="2">
        <v>168</v>
      </c>
      <c r="H594" s="2">
        <v>155</v>
      </c>
      <c r="I594" s="2">
        <v>65</v>
      </c>
      <c r="J594" s="2">
        <v>1.41</v>
      </c>
      <c r="K594" s="2">
        <v>983</v>
      </c>
      <c r="L594" s="2" t="s">
        <v>20</v>
      </c>
      <c r="M594" s="2">
        <v>28.4</v>
      </c>
      <c r="N594" s="2">
        <v>2.4</v>
      </c>
      <c r="O594" s="2">
        <v>4</v>
      </c>
      <c r="P594" s="2">
        <v>2</v>
      </c>
      <c r="Q594" s="2">
        <v>18.239999999999998</v>
      </c>
      <c r="R594" s="2" t="str" cm="1">
        <f t="array" ref="R594">_xlfn.IFS(Q594&lt;18.5,"Underweight",
AND(Q594&gt;=18.5,Q594&lt;25),"Normal Weight",
AND(Q594&gt;=25,Q594&lt;30),"Overweight",
Q594&gt;=30,"Obesity")</f>
        <v>Underweight</v>
      </c>
      <c r="S594" s="2">
        <f t="shared" si="9"/>
        <v>697.16312056737593</v>
      </c>
      <c r="T594" s="2" t="str" cm="1">
        <f t="array" ref="T594">_xlfn.IFS(N594&lt;=2.5,"Low",N594&lt;=3,"Medium",N594&gt;3,"High")</f>
        <v>Low</v>
      </c>
    </row>
    <row r="595" spans="1:20" x14ac:dyDescent="0.3">
      <c r="A595" s="2">
        <v>594</v>
      </c>
      <c r="B595" s="2" t="s">
        <v>26</v>
      </c>
      <c r="C595" s="2">
        <v>55</v>
      </c>
      <c r="D595" s="2" t="s">
        <v>15</v>
      </c>
      <c r="E595" s="2">
        <v>129.9</v>
      </c>
      <c r="F595" s="2">
        <v>1.73</v>
      </c>
      <c r="G595" s="2">
        <v>187</v>
      </c>
      <c r="H595" s="2">
        <v>155</v>
      </c>
      <c r="I595" s="2">
        <v>60</v>
      </c>
      <c r="J595" s="2">
        <v>0.69</v>
      </c>
      <c r="K595" s="2">
        <v>529</v>
      </c>
      <c r="L595" s="2" t="s">
        <v>17</v>
      </c>
      <c r="M595" s="2">
        <v>21.7</v>
      </c>
      <c r="N595" s="2">
        <v>3.1</v>
      </c>
      <c r="O595" s="2">
        <v>3</v>
      </c>
      <c r="P595" s="2">
        <v>1</v>
      </c>
      <c r="Q595" s="2">
        <v>43.4</v>
      </c>
      <c r="R595" s="2" t="str" cm="1">
        <f t="array" ref="R595">_xlfn.IFS(Q595&lt;18.5,"Underweight",
AND(Q595&gt;=18.5,Q595&lt;25),"Normal Weight",
AND(Q595&gt;=25,Q595&lt;30),"Overweight",
Q595&gt;=30,"Obesity")</f>
        <v>Obesity</v>
      </c>
      <c r="S595" s="2">
        <f t="shared" si="9"/>
        <v>766.66666666666674</v>
      </c>
      <c r="T595" s="2" t="str" cm="1">
        <f t="array" ref="T595">_xlfn.IFS(N595&lt;=2.5,"Low",N595&lt;=3,"Medium",N595&gt;3,"High")</f>
        <v>High</v>
      </c>
    </row>
    <row r="596" spans="1:20" x14ac:dyDescent="0.3">
      <c r="A596" s="2">
        <v>595</v>
      </c>
      <c r="B596" s="2" t="s">
        <v>22</v>
      </c>
      <c r="C596" s="2">
        <v>23</v>
      </c>
      <c r="D596" s="2" t="s">
        <v>15</v>
      </c>
      <c r="E596" s="2">
        <v>108.6</v>
      </c>
      <c r="F596" s="2">
        <v>1.92</v>
      </c>
      <c r="G596" s="2">
        <v>197</v>
      </c>
      <c r="H596" s="2">
        <v>134</v>
      </c>
      <c r="I596" s="2">
        <v>50</v>
      </c>
      <c r="J596" s="2">
        <v>0.89</v>
      </c>
      <c r="K596" s="2">
        <v>656</v>
      </c>
      <c r="L596" s="2" t="s">
        <v>17</v>
      </c>
      <c r="M596" s="2">
        <v>25.8</v>
      </c>
      <c r="N596" s="2">
        <v>3.5</v>
      </c>
      <c r="O596" s="2">
        <v>2</v>
      </c>
      <c r="P596" s="2">
        <v>1</v>
      </c>
      <c r="Q596" s="2">
        <v>29.46</v>
      </c>
      <c r="R596" s="2" t="str" cm="1">
        <f t="array" ref="R596">_xlfn.IFS(Q596&lt;18.5,"Underweight",
AND(Q596&gt;=18.5,Q596&lt;25),"Normal Weight",
AND(Q596&gt;=25,Q596&lt;30),"Overweight",
Q596&gt;=30,"Obesity")</f>
        <v>Overweight</v>
      </c>
      <c r="S596" s="2">
        <f t="shared" si="9"/>
        <v>737.0786516853932</v>
      </c>
      <c r="T596" s="2" t="str" cm="1">
        <f t="array" ref="T596">_xlfn.IFS(N596&lt;=2.5,"Low",N596&lt;=3,"Medium",N596&gt;3,"High")</f>
        <v>High</v>
      </c>
    </row>
    <row r="597" spans="1:20" x14ac:dyDescent="0.3">
      <c r="A597" s="2">
        <v>596</v>
      </c>
      <c r="B597" s="2" t="s">
        <v>30</v>
      </c>
      <c r="C597" s="2">
        <v>49</v>
      </c>
      <c r="D597" s="2" t="s">
        <v>15</v>
      </c>
      <c r="E597" s="2">
        <v>88.6</v>
      </c>
      <c r="F597" s="2">
        <v>2</v>
      </c>
      <c r="G597" s="2">
        <v>162</v>
      </c>
      <c r="H597" s="2">
        <v>127</v>
      </c>
      <c r="I597" s="2">
        <v>56</v>
      </c>
      <c r="J597" s="2">
        <v>1.83</v>
      </c>
      <c r="K597" s="2">
        <v>1150</v>
      </c>
      <c r="L597" s="2" t="s">
        <v>19</v>
      </c>
      <c r="M597" s="2">
        <v>14.9</v>
      </c>
      <c r="N597" s="2">
        <v>3.5</v>
      </c>
      <c r="O597" s="2">
        <v>4</v>
      </c>
      <c r="P597" s="2">
        <v>3</v>
      </c>
      <c r="Q597" s="2">
        <v>22.15</v>
      </c>
      <c r="R597" s="2" t="str" cm="1">
        <f t="array" ref="R597">_xlfn.IFS(Q597&lt;18.5,"Underweight",
AND(Q597&gt;=18.5,Q597&lt;25),"Normal Weight",
AND(Q597&gt;=25,Q597&lt;30),"Overweight",
Q597&gt;=30,"Obesity")</f>
        <v>Normal Weight</v>
      </c>
      <c r="S597" s="2">
        <f t="shared" si="9"/>
        <v>628.41530054644807</v>
      </c>
      <c r="T597" s="2" t="str" cm="1">
        <f t="array" ref="T597">_xlfn.IFS(N597&lt;=2.5,"Low",N597&lt;=3,"Medium",N597&gt;3,"High")</f>
        <v>High</v>
      </c>
    </row>
    <row r="598" spans="1:20" x14ac:dyDescent="0.3">
      <c r="A598" s="2">
        <v>597</v>
      </c>
      <c r="B598" s="2" t="s">
        <v>28</v>
      </c>
      <c r="C598" s="2">
        <v>38</v>
      </c>
      <c r="D598" s="2" t="s">
        <v>16</v>
      </c>
      <c r="E598" s="2">
        <v>49.7</v>
      </c>
      <c r="F598" s="2">
        <v>1.51</v>
      </c>
      <c r="G598" s="2">
        <v>179</v>
      </c>
      <c r="H598" s="2">
        <v>145</v>
      </c>
      <c r="I598" s="2">
        <v>65</v>
      </c>
      <c r="J598" s="2">
        <v>1.25</v>
      </c>
      <c r="K598" s="2">
        <v>906</v>
      </c>
      <c r="L598" s="2" t="s">
        <v>18</v>
      </c>
      <c r="M598" s="2">
        <v>32.6</v>
      </c>
      <c r="N598" s="2">
        <v>2.5</v>
      </c>
      <c r="O598" s="2">
        <v>3</v>
      </c>
      <c r="P598" s="2">
        <v>1</v>
      </c>
      <c r="Q598" s="2">
        <v>21.8</v>
      </c>
      <c r="R598" s="2" t="str" cm="1">
        <f t="array" ref="R598">_xlfn.IFS(Q598&lt;18.5,"Underweight",
AND(Q598&gt;=18.5,Q598&lt;25),"Normal Weight",
AND(Q598&gt;=25,Q598&lt;30),"Overweight",
Q598&gt;=30,"Obesity")</f>
        <v>Normal Weight</v>
      </c>
      <c r="S598" s="2">
        <f t="shared" si="9"/>
        <v>724.8</v>
      </c>
      <c r="T598" s="2" t="str" cm="1">
        <f t="array" ref="T598">_xlfn.IFS(N598&lt;=2.5,"Low",N598&lt;=3,"Medium",N598&gt;3,"High")</f>
        <v>Low</v>
      </c>
    </row>
    <row r="599" spans="1:20" x14ac:dyDescent="0.3">
      <c r="A599" s="2">
        <v>598</v>
      </c>
      <c r="B599" s="2" t="s">
        <v>30</v>
      </c>
      <c r="C599" s="2">
        <v>33</v>
      </c>
      <c r="D599" s="2" t="s">
        <v>16</v>
      </c>
      <c r="E599" s="2">
        <v>56.4</v>
      </c>
      <c r="F599" s="2">
        <v>1.54</v>
      </c>
      <c r="G599" s="2">
        <v>165</v>
      </c>
      <c r="H599" s="2">
        <v>155</v>
      </c>
      <c r="I599" s="2">
        <v>63</v>
      </c>
      <c r="J599" s="2">
        <v>1.06</v>
      </c>
      <c r="K599" s="2">
        <v>822</v>
      </c>
      <c r="L599" s="2" t="s">
        <v>20</v>
      </c>
      <c r="M599" s="2">
        <v>29.2</v>
      </c>
      <c r="N599" s="2">
        <v>1.5</v>
      </c>
      <c r="O599" s="2">
        <v>3</v>
      </c>
      <c r="P599" s="2">
        <v>1</v>
      </c>
      <c r="Q599" s="2">
        <v>23.78</v>
      </c>
      <c r="R599" s="2" t="str" cm="1">
        <f t="array" ref="R599">_xlfn.IFS(Q599&lt;18.5,"Underweight",
AND(Q599&gt;=18.5,Q599&lt;25),"Normal Weight",
AND(Q599&gt;=25,Q599&lt;30),"Overweight",
Q599&gt;=30,"Obesity")</f>
        <v>Normal Weight</v>
      </c>
      <c r="S599" s="2">
        <f t="shared" si="9"/>
        <v>775.47169811320748</v>
      </c>
      <c r="T599" s="2" t="str" cm="1">
        <f t="array" ref="T599">_xlfn.IFS(N599&lt;=2.5,"Low",N599&lt;=3,"Medium",N599&gt;3,"High")</f>
        <v>Low</v>
      </c>
    </row>
    <row r="600" spans="1:20" x14ac:dyDescent="0.3">
      <c r="A600" s="2">
        <v>599</v>
      </c>
      <c r="B600" s="2" t="s">
        <v>29</v>
      </c>
      <c r="C600" s="2">
        <v>38</v>
      </c>
      <c r="D600" s="2" t="s">
        <v>15</v>
      </c>
      <c r="E600" s="2">
        <v>46.9</v>
      </c>
      <c r="F600" s="2">
        <v>1.74</v>
      </c>
      <c r="G600" s="2">
        <v>198</v>
      </c>
      <c r="H600" s="2">
        <v>167</v>
      </c>
      <c r="I600" s="2">
        <v>64</v>
      </c>
      <c r="J600" s="2">
        <v>1.03</v>
      </c>
      <c r="K600" s="2">
        <v>946</v>
      </c>
      <c r="L600" s="2" t="s">
        <v>20</v>
      </c>
      <c r="M600" s="2">
        <v>20</v>
      </c>
      <c r="N600" s="2">
        <v>2.6</v>
      </c>
      <c r="O600" s="2">
        <v>4</v>
      </c>
      <c r="P600" s="2">
        <v>2</v>
      </c>
      <c r="Q600" s="2">
        <v>15.49</v>
      </c>
      <c r="R600" s="2" t="str" cm="1">
        <f t="array" ref="R600">_xlfn.IFS(Q600&lt;18.5,"Underweight",
AND(Q600&gt;=18.5,Q600&lt;25),"Normal Weight",
AND(Q600&gt;=25,Q600&lt;30),"Overweight",
Q600&gt;=30,"Obesity")</f>
        <v>Underweight</v>
      </c>
      <c r="S600" s="2">
        <f t="shared" si="9"/>
        <v>918.44660194174753</v>
      </c>
      <c r="T600" s="2" t="str" cm="1">
        <f t="array" ref="T600">_xlfn.IFS(N600&lt;=2.5,"Low",N600&lt;=3,"Medium",N600&gt;3,"High")</f>
        <v>Medium</v>
      </c>
    </row>
    <row r="601" spans="1:20" x14ac:dyDescent="0.3">
      <c r="A601" s="2">
        <v>600</v>
      </c>
      <c r="B601" s="2" t="s">
        <v>29</v>
      </c>
      <c r="C601" s="2">
        <v>28</v>
      </c>
      <c r="D601" s="2" t="s">
        <v>16</v>
      </c>
      <c r="E601" s="2">
        <v>71.3</v>
      </c>
      <c r="F601" s="2">
        <v>1.67</v>
      </c>
      <c r="G601" s="2">
        <v>192</v>
      </c>
      <c r="H601" s="2">
        <v>140</v>
      </c>
      <c r="I601" s="2">
        <v>63</v>
      </c>
      <c r="J601" s="2">
        <v>1.46</v>
      </c>
      <c r="K601" s="2">
        <v>1022</v>
      </c>
      <c r="L601" s="2" t="s">
        <v>20</v>
      </c>
      <c r="M601" s="2">
        <v>28.1</v>
      </c>
      <c r="N601" s="2">
        <v>1.5</v>
      </c>
      <c r="O601" s="2">
        <v>4</v>
      </c>
      <c r="P601" s="2">
        <v>2</v>
      </c>
      <c r="Q601" s="2">
        <v>25.57</v>
      </c>
      <c r="R601" s="2" t="str" cm="1">
        <f t="array" ref="R601">_xlfn.IFS(Q601&lt;18.5,"Underweight",
AND(Q601&gt;=18.5,Q601&lt;25),"Normal Weight",
AND(Q601&gt;=25,Q601&lt;30),"Overweight",
Q601&gt;=30,"Obesity")</f>
        <v>Overweight</v>
      </c>
      <c r="S601" s="2">
        <f t="shared" si="9"/>
        <v>700</v>
      </c>
      <c r="T601" s="2" t="str" cm="1">
        <f t="array" ref="T601">_xlfn.IFS(N601&lt;=2.5,"Low",N601&lt;=3,"Medium",N601&gt;3,"High")</f>
        <v>Low</v>
      </c>
    </row>
    <row r="602" spans="1:20" x14ac:dyDescent="0.3">
      <c r="A602" s="2">
        <v>601</v>
      </c>
      <c r="B602" s="2" t="s">
        <v>24</v>
      </c>
      <c r="C602" s="2">
        <v>54</v>
      </c>
      <c r="D602" s="2" t="s">
        <v>15</v>
      </c>
      <c r="E602" s="2">
        <v>71.599999999999994</v>
      </c>
      <c r="F602" s="2">
        <v>1.86</v>
      </c>
      <c r="G602" s="2">
        <v>160</v>
      </c>
      <c r="H602" s="2">
        <v>147</v>
      </c>
      <c r="I602" s="2">
        <v>70</v>
      </c>
      <c r="J602" s="2">
        <v>1.1399999999999999</v>
      </c>
      <c r="K602" s="2">
        <v>830</v>
      </c>
      <c r="L602" s="2" t="s">
        <v>17</v>
      </c>
      <c r="M602" s="2">
        <v>25.3</v>
      </c>
      <c r="N602" s="2">
        <v>2.2000000000000002</v>
      </c>
      <c r="O602" s="2">
        <v>3</v>
      </c>
      <c r="P602" s="2">
        <v>2</v>
      </c>
      <c r="Q602" s="2">
        <v>20.7</v>
      </c>
      <c r="R602" s="2" t="str" cm="1">
        <f t="array" ref="R602">_xlfn.IFS(Q602&lt;18.5,"Underweight",
AND(Q602&gt;=18.5,Q602&lt;25),"Normal Weight",
AND(Q602&gt;=25,Q602&lt;30),"Overweight",
Q602&gt;=30,"Obesity")</f>
        <v>Normal Weight</v>
      </c>
      <c r="S602" s="2">
        <f t="shared" si="9"/>
        <v>728.07017543859661</v>
      </c>
      <c r="T602" s="2" t="str" cm="1">
        <f t="array" ref="T602">_xlfn.IFS(N602&lt;=2.5,"Low",N602&lt;=3,"Medium",N602&gt;3,"High")</f>
        <v>Low</v>
      </c>
    </row>
    <row r="603" spans="1:20" x14ac:dyDescent="0.3">
      <c r="A603" s="2">
        <v>602</v>
      </c>
      <c r="B603" s="2" t="s">
        <v>27</v>
      </c>
      <c r="C603" s="2">
        <v>53</v>
      </c>
      <c r="D603" s="2" t="s">
        <v>15</v>
      </c>
      <c r="E603" s="2">
        <v>82.3</v>
      </c>
      <c r="F603" s="2">
        <v>1.61</v>
      </c>
      <c r="G603" s="2">
        <v>196</v>
      </c>
      <c r="H603" s="2">
        <v>123</v>
      </c>
      <c r="I603" s="2">
        <v>60</v>
      </c>
      <c r="J603" s="2">
        <v>1.87</v>
      </c>
      <c r="K603" s="2">
        <v>1139</v>
      </c>
      <c r="L603" s="2" t="s">
        <v>20</v>
      </c>
      <c r="M603" s="2">
        <v>11.6</v>
      </c>
      <c r="N603" s="2">
        <v>3.5</v>
      </c>
      <c r="O603" s="2">
        <v>5</v>
      </c>
      <c r="P603" s="2">
        <v>3</v>
      </c>
      <c r="Q603" s="2">
        <v>31.75</v>
      </c>
      <c r="R603" s="2" t="str" cm="1">
        <f t="array" ref="R603">_xlfn.IFS(Q603&lt;18.5,"Underweight",
AND(Q603&gt;=18.5,Q603&lt;25),"Normal Weight",
AND(Q603&gt;=25,Q603&lt;30),"Overweight",
Q603&gt;=30,"Obesity")</f>
        <v>Obesity</v>
      </c>
      <c r="S603" s="2">
        <f t="shared" si="9"/>
        <v>609.09090909090901</v>
      </c>
      <c r="T603" s="2" t="str" cm="1">
        <f t="array" ref="T603">_xlfn.IFS(N603&lt;=2.5,"Low",N603&lt;=3,"Medium",N603&gt;3,"High")</f>
        <v>High</v>
      </c>
    </row>
    <row r="604" spans="1:20" x14ac:dyDescent="0.3">
      <c r="A604" s="2">
        <v>603</v>
      </c>
      <c r="B604" s="2" t="s">
        <v>27</v>
      </c>
      <c r="C604" s="2">
        <v>52</v>
      </c>
      <c r="D604" s="2" t="s">
        <v>16</v>
      </c>
      <c r="E604" s="2">
        <v>70.599999999999994</v>
      </c>
      <c r="F604" s="2">
        <v>1.69</v>
      </c>
      <c r="G604" s="2">
        <v>165</v>
      </c>
      <c r="H604" s="2">
        <v>135</v>
      </c>
      <c r="I604" s="2">
        <v>65</v>
      </c>
      <c r="J604" s="2">
        <v>1.36</v>
      </c>
      <c r="K604" s="2">
        <v>826</v>
      </c>
      <c r="L604" s="2" t="s">
        <v>18</v>
      </c>
      <c r="M604" s="2">
        <v>26.1</v>
      </c>
      <c r="N604" s="2">
        <v>2.2000000000000002</v>
      </c>
      <c r="O604" s="2">
        <v>3</v>
      </c>
      <c r="P604" s="2">
        <v>1</v>
      </c>
      <c r="Q604" s="2">
        <v>24.72</v>
      </c>
      <c r="R604" s="2" t="str" cm="1">
        <f t="array" ref="R604">_xlfn.IFS(Q604&lt;18.5,"Underweight",
AND(Q604&gt;=18.5,Q604&lt;25),"Normal Weight",
AND(Q604&gt;=25,Q604&lt;30),"Overweight",
Q604&gt;=30,"Obesity")</f>
        <v>Normal Weight</v>
      </c>
      <c r="S604" s="2">
        <f t="shared" si="9"/>
        <v>607.35294117647049</v>
      </c>
      <c r="T604" s="2" t="str" cm="1">
        <f t="array" ref="T604">_xlfn.IFS(N604&lt;=2.5,"Low",N604&lt;=3,"Medium",N604&gt;3,"High")</f>
        <v>Low</v>
      </c>
    </row>
    <row r="605" spans="1:20" x14ac:dyDescent="0.3">
      <c r="A605" s="2">
        <v>604</v>
      </c>
      <c r="B605" s="2" t="s">
        <v>26</v>
      </c>
      <c r="C605" s="2">
        <v>36</v>
      </c>
      <c r="D605" s="2" t="s">
        <v>15</v>
      </c>
      <c r="E605" s="2">
        <v>109.8</v>
      </c>
      <c r="F605" s="2">
        <v>1.62</v>
      </c>
      <c r="G605" s="2">
        <v>193</v>
      </c>
      <c r="H605" s="2">
        <v>141</v>
      </c>
      <c r="I605" s="2">
        <v>68</v>
      </c>
      <c r="J605" s="2">
        <v>0.84</v>
      </c>
      <c r="K605" s="2">
        <v>651</v>
      </c>
      <c r="L605" s="2" t="s">
        <v>18</v>
      </c>
      <c r="M605" s="2">
        <v>24.4</v>
      </c>
      <c r="N605" s="2">
        <v>3.5</v>
      </c>
      <c r="O605" s="2">
        <v>3</v>
      </c>
      <c r="P605" s="2">
        <v>1</v>
      </c>
      <c r="Q605" s="2">
        <v>41.84</v>
      </c>
      <c r="R605" s="2" t="str" cm="1">
        <f t="array" ref="R605">_xlfn.IFS(Q605&lt;18.5,"Underweight",
AND(Q605&gt;=18.5,Q605&lt;25),"Normal Weight",
AND(Q605&gt;=25,Q605&lt;30),"Overweight",
Q605&gt;=30,"Obesity")</f>
        <v>Obesity</v>
      </c>
      <c r="S605" s="2">
        <f t="shared" si="9"/>
        <v>775</v>
      </c>
      <c r="T605" s="2" t="str" cm="1">
        <f t="array" ref="T605">_xlfn.IFS(N605&lt;=2.5,"Low",N605&lt;=3,"Medium",N605&gt;3,"High")</f>
        <v>High</v>
      </c>
    </row>
    <row r="606" spans="1:20" x14ac:dyDescent="0.3">
      <c r="A606" s="2">
        <v>605</v>
      </c>
      <c r="B606" s="2" t="s">
        <v>21</v>
      </c>
      <c r="C606" s="2">
        <v>37</v>
      </c>
      <c r="D606" s="2" t="s">
        <v>16</v>
      </c>
      <c r="E606" s="2">
        <v>73.5</v>
      </c>
      <c r="F606" s="2">
        <v>1.69</v>
      </c>
      <c r="G606" s="2">
        <v>174</v>
      </c>
      <c r="H606" s="2">
        <v>131</v>
      </c>
      <c r="I606" s="2">
        <v>66</v>
      </c>
      <c r="J606" s="2">
        <v>0.54</v>
      </c>
      <c r="K606" s="2">
        <v>354</v>
      </c>
      <c r="L606" s="2" t="s">
        <v>19</v>
      </c>
      <c r="M606" s="2">
        <v>27.5</v>
      </c>
      <c r="N606" s="2">
        <v>1.6</v>
      </c>
      <c r="O606" s="2">
        <v>2</v>
      </c>
      <c r="P606" s="2">
        <v>1</v>
      </c>
      <c r="Q606" s="2">
        <v>25.73</v>
      </c>
      <c r="R606" s="2" t="str" cm="1">
        <f t="array" ref="R606">_xlfn.IFS(Q606&lt;18.5,"Underweight",
AND(Q606&gt;=18.5,Q606&lt;25),"Normal Weight",
AND(Q606&gt;=25,Q606&lt;30),"Overweight",
Q606&gt;=30,"Obesity")</f>
        <v>Overweight</v>
      </c>
      <c r="S606" s="2">
        <f t="shared" si="9"/>
        <v>655.55555555555554</v>
      </c>
      <c r="T606" s="2" t="str" cm="1">
        <f t="array" ref="T606">_xlfn.IFS(N606&lt;=2.5,"Low",N606&lt;=3,"Medium",N606&gt;3,"High")</f>
        <v>Low</v>
      </c>
    </row>
    <row r="607" spans="1:20" x14ac:dyDescent="0.3">
      <c r="A607" s="2">
        <v>606</v>
      </c>
      <c r="B607" s="2" t="s">
        <v>30</v>
      </c>
      <c r="C607" s="2">
        <v>35</v>
      </c>
      <c r="D607" s="2" t="s">
        <v>15</v>
      </c>
      <c r="E607" s="2">
        <v>85.6</v>
      </c>
      <c r="F607" s="2">
        <v>1.85</v>
      </c>
      <c r="G607" s="2">
        <v>185</v>
      </c>
      <c r="H607" s="2">
        <v>135</v>
      </c>
      <c r="I607" s="2">
        <v>55</v>
      </c>
      <c r="J607" s="2">
        <v>1.78</v>
      </c>
      <c r="K607" s="2">
        <v>1322</v>
      </c>
      <c r="L607" s="2" t="s">
        <v>20</v>
      </c>
      <c r="M607" s="2">
        <v>14.5</v>
      </c>
      <c r="N607" s="2">
        <v>3.5</v>
      </c>
      <c r="O607" s="2">
        <v>5</v>
      </c>
      <c r="P607" s="2">
        <v>3</v>
      </c>
      <c r="Q607" s="2">
        <v>25.01</v>
      </c>
      <c r="R607" s="2" t="str" cm="1">
        <f t="array" ref="R607">_xlfn.IFS(Q607&lt;18.5,"Underweight",
AND(Q607&gt;=18.5,Q607&lt;25),"Normal Weight",
AND(Q607&gt;=25,Q607&lt;30),"Overweight",
Q607&gt;=30,"Obesity")</f>
        <v>Overweight</v>
      </c>
      <c r="S607" s="2">
        <f t="shared" si="9"/>
        <v>742.69662921348311</v>
      </c>
      <c r="T607" s="2" t="str" cm="1">
        <f t="array" ref="T607">_xlfn.IFS(N607&lt;=2.5,"Low",N607&lt;=3,"Medium",N607&gt;3,"High")</f>
        <v>High</v>
      </c>
    </row>
    <row r="608" spans="1:20" x14ac:dyDescent="0.3">
      <c r="A608" s="2">
        <v>607</v>
      </c>
      <c r="B608" s="2" t="s">
        <v>25</v>
      </c>
      <c r="C608" s="2">
        <v>58</v>
      </c>
      <c r="D608" s="2" t="s">
        <v>16</v>
      </c>
      <c r="E608" s="2">
        <v>74.599999999999994</v>
      </c>
      <c r="F608" s="2">
        <v>1.68</v>
      </c>
      <c r="G608" s="2">
        <v>173</v>
      </c>
      <c r="H608" s="2">
        <v>159</v>
      </c>
      <c r="I608" s="2">
        <v>60</v>
      </c>
      <c r="J608" s="2">
        <v>1.03</v>
      </c>
      <c r="K608" s="2">
        <v>737</v>
      </c>
      <c r="L608" s="2" t="s">
        <v>17</v>
      </c>
      <c r="M608" s="2">
        <v>26</v>
      </c>
      <c r="N608" s="2">
        <v>2</v>
      </c>
      <c r="O608" s="2">
        <v>4</v>
      </c>
      <c r="P608" s="2">
        <v>2</v>
      </c>
      <c r="Q608" s="2">
        <v>26.43</v>
      </c>
      <c r="R608" s="2" t="str" cm="1">
        <f t="array" ref="R608">_xlfn.IFS(Q608&lt;18.5,"Underweight",
AND(Q608&gt;=18.5,Q608&lt;25),"Normal Weight",
AND(Q608&gt;=25,Q608&lt;30),"Overweight",
Q608&gt;=30,"Obesity")</f>
        <v>Overweight</v>
      </c>
      <c r="S608" s="2">
        <f t="shared" si="9"/>
        <v>715.53398058252424</v>
      </c>
      <c r="T608" s="2" t="str" cm="1">
        <f t="array" ref="T608">_xlfn.IFS(N608&lt;=2.5,"Low",N608&lt;=3,"Medium",N608&gt;3,"High")</f>
        <v>Low</v>
      </c>
    </row>
    <row r="609" spans="1:20" x14ac:dyDescent="0.3">
      <c r="A609" s="2">
        <v>608</v>
      </c>
      <c r="B609" s="2" t="s">
        <v>23</v>
      </c>
      <c r="C609" s="2">
        <v>31</v>
      </c>
      <c r="D609" s="2" t="s">
        <v>16</v>
      </c>
      <c r="E609" s="2">
        <v>63.2</v>
      </c>
      <c r="F609" s="2">
        <v>1.8</v>
      </c>
      <c r="G609" s="2">
        <v>166</v>
      </c>
      <c r="H609" s="2">
        <v>157</v>
      </c>
      <c r="I609" s="2">
        <v>66</v>
      </c>
      <c r="J609" s="2">
        <v>0.59</v>
      </c>
      <c r="K609" s="2">
        <v>463</v>
      </c>
      <c r="L609" s="2" t="s">
        <v>19</v>
      </c>
      <c r="M609" s="2">
        <v>25.5</v>
      </c>
      <c r="N609" s="2">
        <v>2.6</v>
      </c>
      <c r="O609" s="2">
        <v>2</v>
      </c>
      <c r="P609" s="2">
        <v>1</v>
      </c>
      <c r="Q609" s="2">
        <v>19.510000000000002</v>
      </c>
      <c r="R609" s="2" t="str" cm="1">
        <f t="array" ref="R609">_xlfn.IFS(Q609&lt;18.5,"Underweight",
AND(Q609&gt;=18.5,Q609&lt;25),"Normal Weight",
AND(Q609&gt;=25,Q609&lt;30),"Overweight",
Q609&gt;=30,"Obesity")</f>
        <v>Normal Weight</v>
      </c>
      <c r="S609" s="2">
        <f t="shared" si="9"/>
        <v>784.74576271186447</v>
      </c>
      <c r="T609" s="2" t="str" cm="1">
        <f t="array" ref="T609">_xlfn.IFS(N609&lt;=2.5,"Low",N609&lt;=3,"Medium",N609&gt;3,"High")</f>
        <v>Medium</v>
      </c>
    </row>
    <row r="610" spans="1:20" x14ac:dyDescent="0.3">
      <c r="A610" s="2">
        <v>609</v>
      </c>
      <c r="B610" s="2" t="s">
        <v>27</v>
      </c>
      <c r="C610" s="2">
        <v>32</v>
      </c>
      <c r="D610" s="2" t="s">
        <v>16</v>
      </c>
      <c r="E610" s="2">
        <v>62.6</v>
      </c>
      <c r="F610" s="2">
        <v>1.63</v>
      </c>
      <c r="G610" s="2">
        <v>190</v>
      </c>
      <c r="H610" s="2">
        <v>161</v>
      </c>
      <c r="I610" s="2">
        <v>58</v>
      </c>
      <c r="J610" s="2">
        <v>1.67</v>
      </c>
      <c r="K610" s="2">
        <v>1344</v>
      </c>
      <c r="L610" s="2" t="s">
        <v>18</v>
      </c>
      <c r="M610" s="2">
        <v>15</v>
      </c>
      <c r="N610" s="2">
        <v>2.7</v>
      </c>
      <c r="O610" s="2">
        <v>5</v>
      </c>
      <c r="P610" s="2">
        <v>3</v>
      </c>
      <c r="Q610" s="2">
        <v>23.56</v>
      </c>
      <c r="R610" s="2" t="str" cm="1">
        <f t="array" ref="R610">_xlfn.IFS(Q610&lt;18.5,"Underweight",
AND(Q610&gt;=18.5,Q610&lt;25),"Normal Weight",
AND(Q610&gt;=25,Q610&lt;30),"Overweight",
Q610&gt;=30,"Obesity")</f>
        <v>Normal Weight</v>
      </c>
      <c r="S610" s="2">
        <f t="shared" si="9"/>
        <v>804.79041916167671</v>
      </c>
      <c r="T610" s="2" t="str" cm="1">
        <f t="array" ref="T610">_xlfn.IFS(N610&lt;=2.5,"Low",N610&lt;=3,"Medium",N610&gt;3,"High")</f>
        <v>Medium</v>
      </c>
    </row>
    <row r="611" spans="1:20" x14ac:dyDescent="0.3">
      <c r="A611" s="2">
        <v>610</v>
      </c>
      <c r="B611" s="2" t="s">
        <v>23</v>
      </c>
      <c r="C611" s="2">
        <v>48</v>
      </c>
      <c r="D611" s="2" t="s">
        <v>15</v>
      </c>
      <c r="E611" s="2">
        <v>87.1</v>
      </c>
      <c r="F611" s="2">
        <v>1.76</v>
      </c>
      <c r="G611" s="2">
        <v>183</v>
      </c>
      <c r="H611" s="2">
        <v>156</v>
      </c>
      <c r="I611" s="2">
        <v>67</v>
      </c>
      <c r="J611" s="2">
        <v>1.81</v>
      </c>
      <c r="K611" s="2">
        <v>1398</v>
      </c>
      <c r="L611" s="2" t="s">
        <v>20</v>
      </c>
      <c r="M611" s="2">
        <v>11.6</v>
      </c>
      <c r="N611" s="2">
        <v>3.5</v>
      </c>
      <c r="O611" s="2">
        <v>5</v>
      </c>
      <c r="P611" s="2">
        <v>3</v>
      </c>
      <c r="Q611" s="2">
        <v>28.12</v>
      </c>
      <c r="R611" s="2" t="str" cm="1">
        <f t="array" ref="R611">_xlfn.IFS(Q611&lt;18.5,"Underweight",
AND(Q611&gt;=18.5,Q611&lt;25),"Normal Weight",
AND(Q611&gt;=25,Q611&lt;30),"Overweight",
Q611&gt;=30,"Obesity")</f>
        <v>Overweight</v>
      </c>
      <c r="S611" s="2">
        <f t="shared" si="9"/>
        <v>772.37569060773478</v>
      </c>
      <c r="T611" s="2" t="str" cm="1">
        <f t="array" ref="T611">_xlfn.IFS(N611&lt;=2.5,"Low",N611&lt;=3,"Medium",N611&gt;3,"High")</f>
        <v>High</v>
      </c>
    </row>
    <row r="612" spans="1:20" x14ac:dyDescent="0.3">
      <c r="A612" s="2">
        <v>611</v>
      </c>
      <c r="B612" s="2" t="s">
        <v>24</v>
      </c>
      <c r="C612" s="2">
        <v>18</v>
      </c>
      <c r="D612" s="2" t="s">
        <v>15</v>
      </c>
      <c r="E612" s="2">
        <v>82.3</v>
      </c>
      <c r="F612" s="2">
        <v>1.84</v>
      </c>
      <c r="G612" s="2">
        <v>190</v>
      </c>
      <c r="H612" s="2">
        <v>148</v>
      </c>
      <c r="I612" s="2">
        <v>66</v>
      </c>
      <c r="J612" s="2">
        <v>1.73</v>
      </c>
      <c r="K612" s="2">
        <v>1408</v>
      </c>
      <c r="L612" s="2" t="s">
        <v>18</v>
      </c>
      <c r="M612" s="2">
        <v>13.3</v>
      </c>
      <c r="N612" s="2">
        <v>3.5</v>
      </c>
      <c r="O612" s="2">
        <v>5</v>
      </c>
      <c r="P612" s="2">
        <v>3</v>
      </c>
      <c r="Q612" s="2">
        <v>24.31</v>
      </c>
      <c r="R612" s="2" t="str" cm="1">
        <f t="array" ref="R612">_xlfn.IFS(Q612&lt;18.5,"Underweight",
AND(Q612&gt;=18.5,Q612&lt;25),"Normal Weight",
AND(Q612&gt;=25,Q612&lt;30),"Overweight",
Q612&gt;=30,"Obesity")</f>
        <v>Normal Weight</v>
      </c>
      <c r="S612" s="2">
        <f t="shared" si="9"/>
        <v>813.87283236994222</v>
      </c>
      <c r="T612" s="2" t="str" cm="1">
        <f t="array" ref="T612">_xlfn.IFS(N612&lt;=2.5,"Low",N612&lt;=3,"Medium",N612&gt;3,"High")</f>
        <v>High</v>
      </c>
    </row>
    <row r="613" spans="1:20" x14ac:dyDescent="0.3">
      <c r="A613" s="2">
        <v>612</v>
      </c>
      <c r="B613" s="2" t="s">
        <v>23</v>
      </c>
      <c r="C613" s="2">
        <v>20</v>
      </c>
      <c r="D613" s="2" t="s">
        <v>16</v>
      </c>
      <c r="E613" s="2">
        <v>64.3</v>
      </c>
      <c r="F613" s="2">
        <v>1.78</v>
      </c>
      <c r="G613" s="2">
        <v>188</v>
      </c>
      <c r="H613" s="2">
        <v>137</v>
      </c>
      <c r="I613" s="2">
        <v>61</v>
      </c>
      <c r="J613" s="2">
        <v>1.71</v>
      </c>
      <c r="K613" s="2">
        <v>1171</v>
      </c>
      <c r="L613" s="2" t="s">
        <v>19</v>
      </c>
      <c r="M613" s="2">
        <v>18.7</v>
      </c>
      <c r="N613" s="2">
        <v>2.7</v>
      </c>
      <c r="O613" s="2">
        <v>4</v>
      </c>
      <c r="P613" s="2">
        <v>3</v>
      </c>
      <c r="Q613" s="2">
        <v>20.29</v>
      </c>
      <c r="R613" s="2" t="str" cm="1">
        <f t="array" ref="R613">_xlfn.IFS(Q613&lt;18.5,"Underweight",
AND(Q613&gt;=18.5,Q613&lt;25),"Normal Weight",
AND(Q613&gt;=25,Q613&lt;30),"Overweight",
Q613&gt;=30,"Obesity")</f>
        <v>Normal Weight</v>
      </c>
      <c r="S613" s="2">
        <f t="shared" si="9"/>
        <v>684.79532163742692</v>
      </c>
      <c r="T613" s="2" t="str" cm="1">
        <f t="array" ref="T613">_xlfn.IFS(N613&lt;=2.5,"Low",N613&lt;=3,"Medium",N613&gt;3,"High")</f>
        <v>Medium</v>
      </c>
    </row>
    <row r="614" spans="1:20" x14ac:dyDescent="0.3">
      <c r="A614" s="2">
        <v>613</v>
      </c>
      <c r="B614" s="2" t="s">
        <v>25</v>
      </c>
      <c r="C614" s="2">
        <v>33</v>
      </c>
      <c r="D614" s="2" t="s">
        <v>16</v>
      </c>
      <c r="E614" s="2">
        <v>53.7</v>
      </c>
      <c r="F614" s="2">
        <v>1.66</v>
      </c>
      <c r="G614" s="2">
        <v>191</v>
      </c>
      <c r="H614" s="2">
        <v>129</v>
      </c>
      <c r="I614" s="2">
        <v>72</v>
      </c>
      <c r="J614" s="2">
        <v>1.25</v>
      </c>
      <c r="K614" s="2">
        <v>806</v>
      </c>
      <c r="L614" s="2" t="s">
        <v>18</v>
      </c>
      <c r="M614" s="2">
        <v>29.5</v>
      </c>
      <c r="N614" s="2">
        <v>2.5</v>
      </c>
      <c r="O614" s="2">
        <v>3</v>
      </c>
      <c r="P614" s="2">
        <v>1</v>
      </c>
      <c r="Q614" s="2">
        <v>19.489999999999998</v>
      </c>
      <c r="R614" s="2" t="str" cm="1">
        <f t="array" ref="R614">_xlfn.IFS(Q614&lt;18.5,"Underweight",
AND(Q614&gt;=18.5,Q614&lt;25),"Normal Weight",
AND(Q614&gt;=25,Q614&lt;30),"Overweight",
Q614&gt;=30,"Obesity")</f>
        <v>Normal Weight</v>
      </c>
      <c r="S614" s="2">
        <f t="shared" si="9"/>
        <v>644.79999999999995</v>
      </c>
      <c r="T614" s="2" t="str" cm="1">
        <f t="array" ref="T614">_xlfn.IFS(N614&lt;=2.5,"Low",N614&lt;=3,"Medium",N614&gt;3,"High")</f>
        <v>Low</v>
      </c>
    </row>
    <row r="615" spans="1:20" x14ac:dyDescent="0.3">
      <c r="A615" s="2">
        <v>614</v>
      </c>
      <c r="B615" s="2" t="s">
        <v>22</v>
      </c>
      <c r="C615" s="2">
        <v>40</v>
      </c>
      <c r="D615" s="2" t="s">
        <v>15</v>
      </c>
      <c r="E615" s="2">
        <v>63</v>
      </c>
      <c r="F615" s="2">
        <v>2</v>
      </c>
      <c r="G615" s="2">
        <v>176</v>
      </c>
      <c r="H615" s="2">
        <v>161</v>
      </c>
      <c r="I615" s="2">
        <v>71</v>
      </c>
      <c r="J615" s="2">
        <v>1.42</v>
      </c>
      <c r="K615" s="2">
        <v>1257</v>
      </c>
      <c r="L615" s="2" t="s">
        <v>20</v>
      </c>
      <c r="M615" s="2">
        <v>26.8</v>
      </c>
      <c r="N615" s="2">
        <v>2.9</v>
      </c>
      <c r="O615" s="2">
        <v>4</v>
      </c>
      <c r="P615" s="2">
        <v>2</v>
      </c>
      <c r="Q615" s="2">
        <v>15.75</v>
      </c>
      <c r="R615" s="2" t="str" cm="1">
        <f t="array" ref="R615">_xlfn.IFS(Q615&lt;18.5,"Underweight",
AND(Q615&gt;=18.5,Q615&lt;25),"Normal Weight",
AND(Q615&gt;=25,Q615&lt;30),"Overweight",
Q615&gt;=30,"Obesity")</f>
        <v>Underweight</v>
      </c>
      <c r="S615" s="2">
        <f t="shared" si="9"/>
        <v>885.21126760563379</v>
      </c>
      <c r="T615" s="2" t="str" cm="1">
        <f t="array" ref="T615">_xlfn.IFS(N615&lt;=2.5,"Low",N615&lt;=3,"Medium",N615&gt;3,"High")</f>
        <v>Medium</v>
      </c>
    </row>
    <row r="616" spans="1:20" x14ac:dyDescent="0.3">
      <c r="A616" s="2">
        <v>615</v>
      </c>
      <c r="B616" s="2" t="s">
        <v>25</v>
      </c>
      <c r="C616" s="2">
        <v>28</v>
      </c>
      <c r="D616" s="2" t="s">
        <v>15</v>
      </c>
      <c r="E616" s="2">
        <v>128.4</v>
      </c>
      <c r="F616" s="2">
        <v>1.86</v>
      </c>
      <c r="G616" s="2">
        <v>173</v>
      </c>
      <c r="H616" s="2">
        <v>158</v>
      </c>
      <c r="I616" s="2">
        <v>71</v>
      </c>
      <c r="J616" s="2">
        <v>1.06</v>
      </c>
      <c r="K616" s="2">
        <v>921</v>
      </c>
      <c r="L616" s="2" t="s">
        <v>20</v>
      </c>
      <c r="M616" s="2">
        <v>23.6</v>
      </c>
      <c r="N616" s="2">
        <v>3.3</v>
      </c>
      <c r="O616" s="2">
        <v>4</v>
      </c>
      <c r="P616" s="2">
        <v>2</v>
      </c>
      <c r="Q616" s="2">
        <v>37.11</v>
      </c>
      <c r="R616" s="2" t="str" cm="1">
        <f t="array" ref="R616">_xlfn.IFS(Q616&lt;18.5,"Underweight",
AND(Q616&gt;=18.5,Q616&lt;25),"Normal Weight",
AND(Q616&gt;=25,Q616&lt;30),"Overweight",
Q616&gt;=30,"Obesity")</f>
        <v>Obesity</v>
      </c>
      <c r="S616" s="2">
        <f t="shared" si="9"/>
        <v>868.86792452830184</v>
      </c>
      <c r="T616" s="2" t="str" cm="1">
        <f t="array" ref="T616">_xlfn.IFS(N616&lt;=2.5,"Low",N616&lt;=3,"Medium",N616&gt;3,"High")</f>
        <v>High</v>
      </c>
    </row>
    <row r="617" spans="1:20" x14ac:dyDescent="0.3">
      <c r="A617" s="2">
        <v>616</v>
      </c>
      <c r="B617" s="2" t="s">
        <v>23</v>
      </c>
      <c r="C617" s="2">
        <v>29</v>
      </c>
      <c r="D617" s="2" t="s">
        <v>15</v>
      </c>
      <c r="E617" s="2">
        <v>88</v>
      </c>
      <c r="F617" s="2">
        <v>1.89</v>
      </c>
      <c r="G617" s="2">
        <v>199</v>
      </c>
      <c r="H617" s="2">
        <v>137</v>
      </c>
      <c r="I617" s="2">
        <v>54</v>
      </c>
      <c r="J617" s="2">
        <v>1.75</v>
      </c>
      <c r="K617" s="2">
        <v>1319</v>
      </c>
      <c r="L617" s="2" t="s">
        <v>19</v>
      </c>
      <c r="M617" s="2">
        <v>13.3</v>
      </c>
      <c r="N617" s="2">
        <v>3.5</v>
      </c>
      <c r="O617" s="2">
        <v>5</v>
      </c>
      <c r="P617" s="2">
        <v>3</v>
      </c>
      <c r="Q617" s="2">
        <v>24.64</v>
      </c>
      <c r="R617" s="2" t="str" cm="1">
        <f t="array" ref="R617">_xlfn.IFS(Q617&lt;18.5,"Underweight",
AND(Q617&gt;=18.5,Q617&lt;25),"Normal Weight",
AND(Q617&gt;=25,Q617&lt;30),"Overweight",
Q617&gt;=30,"Obesity")</f>
        <v>Normal Weight</v>
      </c>
      <c r="S617" s="2">
        <f t="shared" si="9"/>
        <v>753.71428571428567</v>
      </c>
      <c r="T617" s="2" t="str" cm="1">
        <f t="array" ref="T617">_xlfn.IFS(N617&lt;=2.5,"Low",N617&lt;=3,"Medium",N617&gt;3,"High")</f>
        <v>High</v>
      </c>
    </row>
    <row r="618" spans="1:20" x14ac:dyDescent="0.3">
      <c r="A618" s="2">
        <v>617</v>
      </c>
      <c r="B618" s="2" t="s">
        <v>25</v>
      </c>
      <c r="C618" s="2">
        <v>27</v>
      </c>
      <c r="D618" s="2" t="s">
        <v>16</v>
      </c>
      <c r="E618" s="2">
        <v>63.7</v>
      </c>
      <c r="F618" s="2">
        <v>1.52</v>
      </c>
      <c r="G618" s="2">
        <v>195</v>
      </c>
      <c r="H618" s="2">
        <v>120</v>
      </c>
      <c r="I618" s="2">
        <v>60</v>
      </c>
      <c r="J618" s="2">
        <v>1.19</v>
      </c>
      <c r="K618" s="2">
        <v>714</v>
      </c>
      <c r="L618" s="2" t="s">
        <v>20</v>
      </c>
      <c r="M618" s="2">
        <v>25.4</v>
      </c>
      <c r="N618" s="2">
        <v>2.1</v>
      </c>
      <c r="O618" s="2">
        <v>4</v>
      </c>
      <c r="P618" s="2">
        <v>2</v>
      </c>
      <c r="Q618" s="2">
        <v>27.57</v>
      </c>
      <c r="R618" s="2" t="str" cm="1">
        <f t="array" ref="R618">_xlfn.IFS(Q618&lt;18.5,"Underweight",
AND(Q618&gt;=18.5,Q618&lt;25),"Normal Weight",
AND(Q618&gt;=25,Q618&lt;30),"Overweight",
Q618&gt;=30,"Obesity")</f>
        <v>Overweight</v>
      </c>
      <c r="S618" s="2">
        <f t="shared" si="9"/>
        <v>600</v>
      </c>
      <c r="T618" s="2" t="str" cm="1">
        <f t="array" ref="T618">_xlfn.IFS(N618&lt;=2.5,"Low",N618&lt;=3,"Medium",N618&gt;3,"High")</f>
        <v>Low</v>
      </c>
    </row>
    <row r="619" spans="1:20" x14ac:dyDescent="0.3">
      <c r="A619" s="2">
        <v>618</v>
      </c>
      <c r="B619" s="2" t="s">
        <v>28</v>
      </c>
      <c r="C619" s="2">
        <v>49</v>
      </c>
      <c r="D619" s="2" t="s">
        <v>15</v>
      </c>
      <c r="E619" s="2">
        <v>83.7</v>
      </c>
      <c r="F619" s="2">
        <v>1.87</v>
      </c>
      <c r="G619" s="2">
        <v>183</v>
      </c>
      <c r="H619" s="2">
        <v>158</v>
      </c>
      <c r="I619" s="2">
        <v>53</v>
      </c>
      <c r="J619" s="2">
        <v>1.29</v>
      </c>
      <c r="K619" s="2">
        <v>1009</v>
      </c>
      <c r="L619" s="2" t="s">
        <v>18</v>
      </c>
      <c r="M619" s="2">
        <v>23.9</v>
      </c>
      <c r="N619" s="2">
        <v>2.2999999999999998</v>
      </c>
      <c r="O619" s="2">
        <v>4</v>
      </c>
      <c r="P619" s="2">
        <v>2</v>
      </c>
      <c r="Q619" s="2">
        <v>23.94</v>
      </c>
      <c r="R619" s="2" t="str" cm="1">
        <f t="array" ref="R619">_xlfn.IFS(Q619&lt;18.5,"Underweight",
AND(Q619&gt;=18.5,Q619&lt;25),"Normal Weight",
AND(Q619&gt;=25,Q619&lt;30),"Overweight",
Q619&gt;=30,"Obesity")</f>
        <v>Normal Weight</v>
      </c>
      <c r="S619" s="2">
        <f t="shared" si="9"/>
        <v>782.17054263565888</v>
      </c>
      <c r="T619" s="2" t="str" cm="1">
        <f t="array" ref="T619">_xlfn.IFS(N619&lt;=2.5,"Low",N619&lt;=3,"Medium",N619&gt;3,"High")</f>
        <v>Low</v>
      </c>
    </row>
    <row r="620" spans="1:20" x14ac:dyDescent="0.3">
      <c r="A620" s="2">
        <v>619</v>
      </c>
      <c r="B620" s="2" t="s">
        <v>24</v>
      </c>
      <c r="C620" s="2">
        <v>33</v>
      </c>
      <c r="D620" s="2" t="s">
        <v>15</v>
      </c>
      <c r="E620" s="2">
        <v>102.6</v>
      </c>
      <c r="F620" s="2">
        <v>1.75</v>
      </c>
      <c r="G620" s="2">
        <v>186</v>
      </c>
      <c r="H620" s="2">
        <v>140</v>
      </c>
      <c r="I620" s="2">
        <v>53</v>
      </c>
      <c r="J620" s="2">
        <v>1.4</v>
      </c>
      <c r="K620" s="2">
        <v>1078</v>
      </c>
      <c r="L620" s="2" t="s">
        <v>18</v>
      </c>
      <c r="M620" s="2">
        <v>27.9</v>
      </c>
      <c r="N620" s="2">
        <v>2.2000000000000002</v>
      </c>
      <c r="O620" s="2">
        <v>3</v>
      </c>
      <c r="P620" s="2">
        <v>2</v>
      </c>
      <c r="Q620" s="2">
        <v>33.5</v>
      </c>
      <c r="R620" s="2" t="str" cm="1">
        <f t="array" ref="R620">_xlfn.IFS(Q620&lt;18.5,"Underweight",
AND(Q620&gt;=18.5,Q620&lt;25),"Normal Weight",
AND(Q620&gt;=25,Q620&lt;30),"Overweight",
Q620&gt;=30,"Obesity")</f>
        <v>Obesity</v>
      </c>
      <c r="S620" s="2">
        <f t="shared" si="9"/>
        <v>770</v>
      </c>
      <c r="T620" s="2" t="str" cm="1">
        <f t="array" ref="T620">_xlfn.IFS(N620&lt;=2.5,"Low",N620&lt;=3,"Medium",N620&gt;3,"High")</f>
        <v>Low</v>
      </c>
    </row>
    <row r="621" spans="1:20" x14ac:dyDescent="0.3">
      <c r="A621" s="2">
        <v>620</v>
      </c>
      <c r="B621" s="2" t="s">
        <v>30</v>
      </c>
      <c r="C621" s="2">
        <v>25</v>
      </c>
      <c r="D621" s="2" t="s">
        <v>16</v>
      </c>
      <c r="E621" s="2">
        <v>77.7</v>
      </c>
      <c r="F621" s="2">
        <v>1.55</v>
      </c>
      <c r="G621" s="2">
        <v>184</v>
      </c>
      <c r="H621" s="2">
        <v>120</v>
      </c>
      <c r="I621" s="2">
        <v>52</v>
      </c>
      <c r="J621" s="2">
        <v>0.55000000000000004</v>
      </c>
      <c r="K621" s="2">
        <v>330</v>
      </c>
      <c r="L621" s="2" t="s">
        <v>17</v>
      </c>
      <c r="M621" s="2">
        <v>33</v>
      </c>
      <c r="N621" s="2">
        <v>1.7</v>
      </c>
      <c r="O621" s="2">
        <v>2</v>
      </c>
      <c r="P621" s="2">
        <v>1</v>
      </c>
      <c r="Q621" s="2">
        <v>32.340000000000003</v>
      </c>
      <c r="R621" s="2" t="str" cm="1">
        <f t="array" ref="R621">_xlfn.IFS(Q621&lt;18.5,"Underweight",
AND(Q621&gt;=18.5,Q621&lt;25),"Normal Weight",
AND(Q621&gt;=25,Q621&lt;30),"Overweight",
Q621&gt;=30,"Obesity")</f>
        <v>Obesity</v>
      </c>
      <c r="S621" s="2">
        <f t="shared" si="9"/>
        <v>600</v>
      </c>
      <c r="T621" s="2" t="str" cm="1">
        <f t="array" ref="T621">_xlfn.IFS(N621&lt;=2.5,"Low",N621&lt;=3,"Medium",N621&gt;3,"High")</f>
        <v>Low</v>
      </c>
    </row>
    <row r="622" spans="1:20" x14ac:dyDescent="0.3">
      <c r="A622" s="2">
        <v>621</v>
      </c>
      <c r="B622" s="2" t="s">
        <v>22</v>
      </c>
      <c r="C622" s="2">
        <v>55</v>
      </c>
      <c r="D622" s="2" t="s">
        <v>15</v>
      </c>
      <c r="E622" s="2">
        <v>87.5</v>
      </c>
      <c r="F622" s="2">
        <v>1.88</v>
      </c>
      <c r="G622" s="2">
        <v>191</v>
      </c>
      <c r="H622" s="2">
        <v>134</v>
      </c>
      <c r="I622" s="2">
        <v>73</v>
      </c>
      <c r="J622" s="2">
        <v>1.19</v>
      </c>
      <c r="K622" s="2">
        <v>789</v>
      </c>
      <c r="L622" s="2" t="s">
        <v>17</v>
      </c>
      <c r="M622" s="2">
        <v>27.2</v>
      </c>
      <c r="N622" s="2">
        <v>2.6</v>
      </c>
      <c r="O622" s="2">
        <v>4</v>
      </c>
      <c r="P622" s="2">
        <v>2</v>
      </c>
      <c r="Q622" s="2">
        <v>24.76</v>
      </c>
      <c r="R622" s="2" t="str" cm="1">
        <f t="array" ref="R622">_xlfn.IFS(Q622&lt;18.5,"Underweight",
AND(Q622&gt;=18.5,Q622&lt;25),"Normal Weight",
AND(Q622&gt;=25,Q622&lt;30),"Overweight",
Q622&gt;=30,"Obesity")</f>
        <v>Normal Weight</v>
      </c>
      <c r="S622" s="2">
        <f t="shared" si="9"/>
        <v>663.02521008403369</v>
      </c>
      <c r="T622" s="2" t="str" cm="1">
        <f t="array" ref="T622">_xlfn.IFS(N622&lt;=2.5,"Low",N622&lt;=3,"Medium",N622&gt;3,"High")</f>
        <v>Medium</v>
      </c>
    </row>
    <row r="623" spans="1:20" x14ac:dyDescent="0.3">
      <c r="A623" s="2">
        <v>622</v>
      </c>
      <c r="B623" s="2" t="s">
        <v>27</v>
      </c>
      <c r="C623" s="2">
        <v>29</v>
      </c>
      <c r="D623" s="2" t="s">
        <v>15</v>
      </c>
      <c r="E623" s="2">
        <v>87</v>
      </c>
      <c r="F623" s="2">
        <v>1.86</v>
      </c>
      <c r="G623" s="2">
        <v>177</v>
      </c>
      <c r="H623" s="2">
        <v>123</v>
      </c>
      <c r="I623" s="2">
        <v>72</v>
      </c>
      <c r="J623" s="2">
        <v>1.52</v>
      </c>
      <c r="K623" s="2">
        <v>1028</v>
      </c>
      <c r="L623" s="2" t="s">
        <v>17</v>
      </c>
      <c r="M623" s="2">
        <v>11</v>
      </c>
      <c r="N623" s="2">
        <v>3.5</v>
      </c>
      <c r="O623" s="2">
        <v>4</v>
      </c>
      <c r="P623" s="2">
        <v>3</v>
      </c>
      <c r="Q623" s="2">
        <v>25.15</v>
      </c>
      <c r="R623" s="2" t="str" cm="1">
        <f t="array" ref="R623">_xlfn.IFS(Q623&lt;18.5,"Underweight",
AND(Q623&gt;=18.5,Q623&lt;25),"Normal Weight",
AND(Q623&gt;=25,Q623&lt;30),"Overweight",
Q623&gt;=30,"Obesity")</f>
        <v>Overweight</v>
      </c>
      <c r="S623" s="2">
        <f t="shared" si="9"/>
        <v>676.31578947368416</v>
      </c>
      <c r="T623" s="2" t="str" cm="1">
        <f t="array" ref="T623">_xlfn.IFS(N623&lt;=2.5,"Low",N623&lt;=3,"Medium",N623&gt;3,"High")</f>
        <v>High</v>
      </c>
    </row>
    <row r="624" spans="1:20" x14ac:dyDescent="0.3">
      <c r="A624" s="2">
        <v>623</v>
      </c>
      <c r="B624" s="2" t="s">
        <v>29</v>
      </c>
      <c r="C624" s="2">
        <v>41</v>
      </c>
      <c r="D624" s="2" t="s">
        <v>15</v>
      </c>
      <c r="E624" s="2">
        <v>82.8</v>
      </c>
      <c r="F624" s="2">
        <v>1.66</v>
      </c>
      <c r="G624" s="2">
        <v>177</v>
      </c>
      <c r="H624" s="2">
        <v>139</v>
      </c>
      <c r="I624" s="2">
        <v>74</v>
      </c>
      <c r="J624" s="2">
        <v>1.97</v>
      </c>
      <c r="K624" s="2">
        <v>1355</v>
      </c>
      <c r="L624" s="2" t="s">
        <v>18</v>
      </c>
      <c r="M624" s="2">
        <v>11.2</v>
      </c>
      <c r="N624" s="2">
        <v>3.5</v>
      </c>
      <c r="O624" s="2">
        <v>5</v>
      </c>
      <c r="P624" s="2">
        <v>3</v>
      </c>
      <c r="Q624" s="2">
        <v>30.05</v>
      </c>
      <c r="R624" s="2" t="str" cm="1">
        <f t="array" ref="R624">_xlfn.IFS(Q624&lt;18.5,"Underweight",
AND(Q624&gt;=18.5,Q624&lt;25),"Normal Weight",
AND(Q624&gt;=25,Q624&lt;30),"Overweight",
Q624&gt;=30,"Obesity")</f>
        <v>Obesity</v>
      </c>
      <c r="S624" s="2">
        <f t="shared" si="9"/>
        <v>687.81725888324877</v>
      </c>
      <c r="T624" s="2" t="str" cm="1">
        <f t="array" ref="T624">_xlfn.IFS(N624&lt;=2.5,"Low",N624&lt;=3,"Medium",N624&gt;3,"High")</f>
        <v>High</v>
      </c>
    </row>
    <row r="625" spans="1:20" x14ac:dyDescent="0.3">
      <c r="A625" s="2">
        <v>624</v>
      </c>
      <c r="B625" s="2" t="s">
        <v>30</v>
      </c>
      <c r="C625" s="2">
        <v>45</v>
      </c>
      <c r="D625" s="2" t="s">
        <v>16</v>
      </c>
      <c r="E625" s="2">
        <v>65.400000000000006</v>
      </c>
      <c r="F625" s="2">
        <v>1.68</v>
      </c>
      <c r="G625" s="2">
        <v>196</v>
      </c>
      <c r="H625" s="2">
        <v>129</v>
      </c>
      <c r="I625" s="2">
        <v>66</v>
      </c>
      <c r="J625" s="2">
        <v>0.76</v>
      </c>
      <c r="K625" s="2">
        <v>441</v>
      </c>
      <c r="L625" s="2" t="s">
        <v>18</v>
      </c>
      <c r="M625" s="2">
        <v>35</v>
      </c>
      <c r="N625" s="2">
        <v>2.6</v>
      </c>
      <c r="O625" s="2">
        <v>3</v>
      </c>
      <c r="P625" s="2">
        <v>1</v>
      </c>
      <c r="Q625" s="2">
        <v>23.17</v>
      </c>
      <c r="R625" s="2" t="str" cm="1">
        <f t="array" ref="R625">_xlfn.IFS(Q625&lt;18.5,"Underweight",
AND(Q625&gt;=18.5,Q625&lt;25),"Normal Weight",
AND(Q625&gt;=25,Q625&lt;30),"Overweight",
Q625&gt;=30,"Obesity")</f>
        <v>Normal Weight</v>
      </c>
      <c r="S625" s="2">
        <f t="shared" si="9"/>
        <v>580.26315789473688</v>
      </c>
      <c r="T625" s="2" t="str" cm="1">
        <f t="array" ref="T625">_xlfn.IFS(N625&lt;=2.5,"Low",N625&lt;=3,"Medium",N625&gt;3,"High")</f>
        <v>Medium</v>
      </c>
    </row>
    <row r="626" spans="1:20" x14ac:dyDescent="0.3">
      <c r="A626" s="2">
        <v>625</v>
      </c>
      <c r="B626" s="2" t="s">
        <v>29</v>
      </c>
      <c r="C626" s="2">
        <v>25</v>
      </c>
      <c r="D626" s="2" t="s">
        <v>16</v>
      </c>
      <c r="E626" s="2">
        <v>47.2</v>
      </c>
      <c r="F626" s="2">
        <v>1.71</v>
      </c>
      <c r="G626" s="2">
        <v>185</v>
      </c>
      <c r="H626" s="2">
        <v>142</v>
      </c>
      <c r="I626" s="2">
        <v>56</v>
      </c>
      <c r="J626" s="2">
        <v>0.89</v>
      </c>
      <c r="K626" s="2">
        <v>632</v>
      </c>
      <c r="L626" s="2" t="s">
        <v>19</v>
      </c>
      <c r="M626" s="2">
        <v>26</v>
      </c>
      <c r="N626" s="2">
        <v>2.5</v>
      </c>
      <c r="O626" s="2">
        <v>2</v>
      </c>
      <c r="P626" s="2">
        <v>1</v>
      </c>
      <c r="Q626" s="2">
        <v>16.14</v>
      </c>
      <c r="R626" s="2" t="str" cm="1">
        <f t="array" ref="R626">_xlfn.IFS(Q626&lt;18.5,"Underweight",
AND(Q626&gt;=18.5,Q626&lt;25),"Normal Weight",
AND(Q626&gt;=25,Q626&lt;30),"Overweight",
Q626&gt;=30,"Obesity")</f>
        <v>Underweight</v>
      </c>
      <c r="S626" s="2">
        <f t="shared" si="9"/>
        <v>710.11235955056179</v>
      </c>
      <c r="T626" s="2" t="str" cm="1">
        <f t="array" ref="T626">_xlfn.IFS(N626&lt;=2.5,"Low",N626&lt;=3,"Medium",N626&gt;3,"High")</f>
        <v>Low</v>
      </c>
    </row>
    <row r="627" spans="1:20" x14ac:dyDescent="0.3">
      <c r="A627" s="2">
        <v>626</v>
      </c>
      <c r="B627" s="2" t="s">
        <v>24</v>
      </c>
      <c r="C627" s="2">
        <v>45</v>
      </c>
      <c r="D627" s="2" t="s">
        <v>16</v>
      </c>
      <c r="E627" s="2">
        <v>58.2</v>
      </c>
      <c r="F627" s="2">
        <v>1.7</v>
      </c>
      <c r="G627" s="2">
        <v>168</v>
      </c>
      <c r="H627" s="2">
        <v>160</v>
      </c>
      <c r="I627" s="2">
        <v>53</v>
      </c>
      <c r="J627" s="2">
        <v>0.95</v>
      </c>
      <c r="K627" s="2">
        <v>684</v>
      </c>
      <c r="L627" s="2" t="s">
        <v>17</v>
      </c>
      <c r="M627" s="2">
        <v>26.8</v>
      </c>
      <c r="N627" s="2">
        <v>2</v>
      </c>
      <c r="O627" s="2">
        <v>3</v>
      </c>
      <c r="P627" s="2">
        <v>1</v>
      </c>
      <c r="Q627" s="2">
        <v>20.14</v>
      </c>
      <c r="R627" s="2" t="str" cm="1">
        <f t="array" ref="R627">_xlfn.IFS(Q627&lt;18.5,"Underweight",
AND(Q627&gt;=18.5,Q627&lt;25),"Normal Weight",
AND(Q627&gt;=25,Q627&lt;30),"Overweight",
Q627&gt;=30,"Obesity")</f>
        <v>Normal Weight</v>
      </c>
      <c r="S627" s="2">
        <f t="shared" si="9"/>
        <v>720</v>
      </c>
      <c r="T627" s="2" t="str" cm="1">
        <f t="array" ref="T627">_xlfn.IFS(N627&lt;=2.5,"Low",N627&lt;=3,"Medium",N627&gt;3,"High")</f>
        <v>Low</v>
      </c>
    </row>
    <row r="628" spans="1:20" x14ac:dyDescent="0.3">
      <c r="A628" s="2">
        <v>627</v>
      </c>
      <c r="B628" s="2" t="s">
        <v>22</v>
      </c>
      <c r="C628" s="2">
        <v>53</v>
      </c>
      <c r="D628" s="2" t="s">
        <v>16</v>
      </c>
      <c r="E628" s="2">
        <v>73.5</v>
      </c>
      <c r="F628" s="2">
        <v>1.55</v>
      </c>
      <c r="G628" s="2">
        <v>194</v>
      </c>
      <c r="H628" s="2">
        <v>153</v>
      </c>
      <c r="I628" s="2">
        <v>72</v>
      </c>
      <c r="J628" s="2">
        <v>1.17</v>
      </c>
      <c r="K628" s="2">
        <v>806</v>
      </c>
      <c r="L628" s="2" t="s">
        <v>18</v>
      </c>
      <c r="M628" s="2">
        <v>26.3</v>
      </c>
      <c r="N628" s="2">
        <v>2.1</v>
      </c>
      <c r="O628" s="2">
        <v>4</v>
      </c>
      <c r="P628" s="2">
        <v>2</v>
      </c>
      <c r="Q628" s="2">
        <v>30.59</v>
      </c>
      <c r="R628" s="2" t="str" cm="1">
        <f t="array" ref="R628">_xlfn.IFS(Q628&lt;18.5,"Underweight",
AND(Q628&gt;=18.5,Q628&lt;25),"Normal Weight",
AND(Q628&gt;=25,Q628&lt;30),"Overweight",
Q628&gt;=30,"Obesity")</f>
        <v>Obesity</v>
      </c>
      <c r="S628" s="2">
        <f t="shared" si="9"/>
        <v>688.88888888888891</v>
      </c>
      <c r="T628" s="2" t="str" cm="1">
        <f t="array" ref="T628">_xlfn.IFS(N628&lt;=2.5,"Low",N628&lt;=3,"Medium",N628&gt;3,"High")</f>
        <v>Low</v>
      </c>
    </row>
    <row r="629" spans="1:20" x14ac:dyDescent="0.3">
      <c r="A629" s="2">
        <v>628</v>
      </c>
      <c r="B629" s="2" t="s">
        <v>26</v>
      </c>
      <c r="C629" s="2">
        <v>43</v>
      </c>
      <c r="D629" s="2" t="s">
        <v>16</v>
      </c>
      <c r="E629" s="2">
        <v>55.2</v>
      </c>
      <c r="F629" s="2">
        <v>1.73</v>
      </c>
      <c r="G629" s="2">
        <v>167</v>
      </c>
      <c r="H629" s="2">
        <v>165</v>
      </c>
      <c r="I629" s="2">
        <v>62</v>
      </c>
      <c r="J629" s="2">
        <v>1.67</v>
      </c>
      <c r="K629" s="2">
        <v>1240</v>
      </c>
      <c r="L629" s="2" t="s">
        <v>19</v>
      </c>
      <c r="M629" s="2">
        <v>16.600000000000001</v>
      </c>
      <c r="N629" s="2">
        <v>2.7</v>
      </c>
      <c r="O629" s="2">
        <v>5</v>
      </c>
      <c r="P629" s="2">
        <v>3</v>
      </c>
      <c r="Q629" s="2">
        <v>18.440000000000001</v>
      </c>
      <c r="R629" s="2" t="str" cm="1">
        <f t="array" ref="R629">_xlfn.IFS(Q629&lt;18.5,"Underweight",
AND(Q629&gt;=18.5,Q629&lt;25),"Normal Weight",
AND(Q629&gt;=25,Q629&lt;30),"Overweight",
Q629&gt;=30,"Obesity")</f>
        <v>Underweight</v>
      </c>
      <c r="S629" s="2">
        <f t="shared" si="9"/>
        <v>742.51497005988028</v>
      </c>
      <c r="T629" s="2" t="str" cm="1">
        <f t="array" ref="T629">_xlfn.IFS(N629&lt;=2.5,"Low",N629&lt;=3,"Medium",N629&gt;3,"High")</f>
        <v>Medium</v>
      </c>
    </row>
    <row r="630" spans="1:20" x14ac:dyDescent="0.3">
      <c r="A630" s="2">
        <v>629</v>
      </c>
      <c r="B630" s="2" t="s">
        <v>27</v>
      </c>
      <c r="C630" s="2">
        <v>25</v>
      </c>
      <c r="D630" s="2" t="s">
        <v>16</v>
      </c>
      <c r="E630" s="2">
        <v>64.400000000000006</v>
      </c>
      <c r="F630" s="2">
        <v>1.71</v>
      </c>
      <c r="G630" s="2">
        <v>179</v>
      </c>
      <c r="H630" s="2">
        <v>167</v>
      </c>
      <c r="I630" s="2">
        <v>61</v>
      </c>
      <c r="J630" s="2">
        <v>1.1200000000000001</v>
      </c>
      <c r="K630" s="2">
        <v>935</v>
      </c>
      <c r="L630" s="2" t="s">
        <v>18</v>
      </c>
      <c r="M630" s="2">
        <v>27.1</v>
      </c>
      <c r="N630" s="2">
        <v>1.8</v>
      </c>
      <c r="O630" s="2">
        <v>3</v>
      </c>
      <c r="P630" s="2">
        <v>1</v>
      </c>
      <c r="Q630" s="2">
        <v>22.02</v>
      </c>
      <c r="R630" s="2" t="str" cm="1">
        <f t="array" ref="R630">_xlfn.IFS(Q630&lt;18.5,"Underweight",
AND(Q630&gt;=18.5,Q630&lt;25),"Normal Weight",
AND(Q630&gt;=25,Q630&lt;30),"Overweight",
Q630&gt;=30,"Obesity")</f>
        <v>Normal Weight</v>
      </c>
      <c r="S630" s="2">
        <f t="shared" si="9"/>
        <v>834.82142857142844</v>
      </c>
      <c r="T630" s="2" t="str" cm="1">
        <f t="array" ref="T630">_xlfn.IFS(N630&lt;=2.5,"Low",N630&lt;=3,"Medium",N630&gt;3,"High")</f>
        <v>Low</v>
      </c>
    </row>
    <row r="631" spans="1:20" x14ac:dyDescent="0.3">
      <c r="A631" s="2">
        <v>630</v>
      </c>
      <c r="B631" s="2" t="s">
        <v>28</v>
      </c>
      <c r="C631" s="2">
        <v>45</v>
      </c>
      <c r="D631" s="2" t="s">
        <v>16</v>
      </c>
      <c r="E631" s="2">
        <v>73.5</v>
      </c>
      <c r="F631" s="2">
        <v>1.74</v>
      </c>
      <c r="G631" s="2">
        <v>181</v>
      </c>
      <c r="H631" s="2">
        <v>152</v>
      </c>
      <c r="I631" s="2">
        <v>50</v>
      </c>
      <c r="J631" s="2">
        <v>1.18</v>
      </c>
      <c r="K631" s="2">
        <v>807</v>
      </c>
      <c r="L631" s="2" t="s">
        <v>19</v>
      </c>
      <c r="M631" s="2">
        <v>30</v>
      </c>
      <c r="N631" s="2">
        <v>2.2999999999999998</v>
      </c>
      <c r="O631" s="2">
        <v>4</v>
      </c>
      <c r="P631" s="2">
        <v>2</v>
      </c>
      <c r="Q631" s="2">
        <v>24.28</v>
      </c>
      <c r="R631" s="2" t="str" cm="1">
        <f t="array" ref="R631">_xlfn.IFS(Q631&lt;18.5,"Underweight",
AND(Q631&gt;=18.5,Q631&lt;25),"Normal Weight",
AND(Q631&gt;=25,Q631&lt;30),"Overweight",
Q631&gt;=30,"Obesity")</f>
        <v>Normal Weight</v>
      </c>
      <c r="S631" s="2">
        <f t="shared" si="9"/>
        <v>683.89830508474574</v>
      </c>
      <c r="T631" s="2" t="str" cm="1">
        <f t="array" ref="T631">_xlfn.IFS(N631&lt;=2.5,"Low",N631&lt;=3,"Medium",N631&gt;3,"High")</f>
        <v>Low</v>
      </c>
    </row>
    <row r="632" spans="1:20" x14ac:dyDescent="0.3">
      <c r="A632" s="2">
        <v>631</v>
      </c>
      <c r="B632" s="2" t="s">
        <v>26</v>
      </c>
      <c r="C632" s="2">
        <v>45</v>
      </c>
      <c r="D632" s="2" t="s">
        <v>15</v>
      </c>
      <c r="E632" s="2">
        <v>89.6</v>
      </c>
      <c r="F632" s="2">
        <v>1.81</v>
      </c>
      <c r="G632" s="2">
        <v>178</v>
      </c>
      <c r="H632" s="2">
        <v>153</v>
      </c>
      <c r="I632" s="2">
        <v>70</v>
      </c>
      <c r="J632" s="2">
        <v>1.7</v>
      </c>
      <c r="K632" s="2">
        <v>1287</v>
      </c>
      <c r="L632" s="2" t="s">
        <v>17</v>
      </c>
      <c r="M632" s="2">
        <v>12.4</v>
      </c>
      <c r="N632" s="2">
        <v>3.5</v>
      </c>
      <c r="O632" s="2">
        <v>5</v>
      </c>
      <c r="P632" s="2">
        <v>3</v>
      </c>
      <c r="Q632" s="2">
        <v>27.35</v>
      </c>
      <c r="R632" s="2" t="str" cm="1">
        <f t="array" ref="R632">_xlfn.IFS(Q632&lt;18.5,"Underweight",
AND(Q632&gt;=18.5,Q632&lt;25),"Normal Weight",
AND(Q632&gt;=25,Q632&lt;30),"Overweight",
Q632&gt;=30,"Obesity")</f>
        <v>Overweight</v>
      </c>
      <c r="S632" s="2">
        <f t="shared" si="9"/>
        <v>757.05882352941182</v>
      </c>
      <c r="T632" s="2" t="str" cm="1">
        <f t="array" ref="T632">_xlfn.IFS(N632&lt;=2.5,"Low",N632&lt;=3,"Medium",N632&gt;3,"High")</f>
        <v>High</v>
      </c>
    </row>
    <row r="633" spans="1:20" x14ac:dyDescent="0.3">
      <c r="A633" s="2">
        <v>632</v>
      </c>
      <c r="B633" s="2" t="s">
        <v>24</v>
      </c>
      <c r="C633" s="2">
        <v>54</v>
      </c>
      <c r="D633" s="2" t="s">
        <v>15</v>
      </c>
      <c r="E633" s="2">
        <v>86.5</v>
      </c>
      <c r="F633" s="2">
        <v>1.76</v>
      </c>
      <c r="G633" s="2">
        <v>189</v>
      </c>
      <c r="H633" s="2">
        <v>158</v>
      </c>
      <c r="I633" s="2">
        <v>68</v>
      </c>
      <c r="J633" s="2">
        <v>1.48</v>
      </c>
      <c r="K633" s="2">
        <v>1158</v>
      </c>
      <c r="L633" s="2" t="s">
        <v>17</v>
      </c>
      <c r="M633" s="2">
        <v>29</v>
      </c>
      <c r="N633" s="2">
        <v>3.4</v>
      </c>
      <c r="O633" s="2">
        <v>3</v>
      </c>
      <c r="P633" s="2">
        <v>2</v>
      </c>
      <c r="Q633" s="2">
        <v>27.92</v>
      </c>
      <c r="R633" s="2" t="str" cm="1">
        <f t="array" ref="R633">_xlfn.IFS(Q633&lt;18.5,"Underweight",
AND(Q633&gt;=18.5,Q633&lt;25),"Normal Weight",
AND(Q633&gt;=25,Q633&lt;30),"Overweight",
Q633&gt;=30,"Obesity")</f>
        <v>Overweight</v>
      </c>
      <c r="S633" s="2">
        <f t="shared" si="9"/>
        <v>782.43243243243239</v>
      </c>
      <c r="T633" s="2" t="str" cm="1">
        <f t="array" ref="T633">_xlfn.IFS(N633&lt;=2.5,"Low",N633&lt;=3,"Medium",N633&gt;3,"High")</f>
        <v>High</v>
      </c>
    </row>
    <row r="634" spans="1:20" x14ac:dyDescent="0.3">
      <c r="A634" s="2">
        <v>633</v>
      </c>
      <c r="B634" s="2" t="s">
        <v>30</v>
      </c>
      <c r="C634" s="2">
        <v>58</v>
      </c>
      <c r="D634" s="2" t="s">
        <v>16</v>
      </c>
      <c r="E634" s="2">
        <v>46.1</v>
      </c>
      <c r="F634" s="2">
        <v>1.67</v>
      </c>
      <c r="G634" s="2">
        <v>187</v>
      </c>
      <c r="H634" s="2">
        <v>129</v>
      </c>
      <c r="I634" s="2">
        <v>70</v>
      </c>
      <c r="J634" s="2">
        <v>1.28</v>
      </c>
      <c r="K634" s="2">
        <v>743</v>
      </c>
      <c r="L634" s="2" t="s">
        <v>17</v>
      </c>
      <c r="M634" s="2">
        <v>25.3</v>
      </c>
      <c r="N634" s="2">
        <v>1.8</v>
      </c>
      <c r="O634" s="2">
        <v>4</v>
      </c>
      <c r="P634" s="2">
        <v>2</v>
      </c>
      <c r="Q634" s="2">
        <v>16.53</v>
      </c>
      <c r="R634" s="2" t="str" cm="1">
        <f t="array" ref="R634">_xlfn.IFS(Q634&lt;18.5,"Underweight",
AND(Q634&gt;=18.5,Q634&lt;25),"Normal Weight",
AND(Q634&gt;=25,Q634&lt;30),"Overweight",
Q634&gt;=30,"Obesity")</f>
        <v>Underweight</v>
      </c>
      <c r="S634" s="2">
        <f t="shared" si="9"/>
        <v>580.46875</v>
      </c>
      <c r="T634" s="2" t="str" cm="1">
        <f t="array" ref="T634">_xlfn.IFS(N634&lt;=2.5,"Low",N634&lt;=3,"Medium",N634&gt;3,"High")</f>
        <v>Low</v>
      </c>
    </row>
    <row r="635" spans="1:20" x14ac:dyDescent="0.3">
      <c r="A635" s="2">
        <v>634</v>
      </c>
      <c r="B635" s="2" t="s">
        <v>28</v>
      </c>
      <c r="C635" s="2">
        <v>53</v>
      </c>
      <c r="D635" s="2" t="s">
        <v>15</v>
      </c>
      <c r="E635" s="2">
        <v>68.5</v>
      </c>
      <c r="F635" s="2">
        <v>1.97</v>
      </c>
      <c r="G635" s="2">
        <v>194</v>
      </c>
      <c r="H635" s="2">
        <v>139</v>
      </c>
      <c r="I635" s="2">
        <v>69</v>
      </c>
      <c r="J635" s="2">
        <v>1.3</v>
      </c>
      <c r="K635" s="2">
        <v>894</v>
      </c>
      <c r="L635" s="2" t="s">
        <v>18</v>
      </c>
      <c r="M635" s="2">
        <v>23.2</v>
      </c>
      <c r="N635" s="2">
        <v>2.1</v>
      </c>
      <c r="O635" s="2">
        <v>3</v>
      </c>
      <c r="P635" s="2">
        <v>2</v>
      </c>
      <c r="Q635" s="2">
        <v>17.649999999999999</v>
      </c>
      <c r="R635" s="2" t="str" cm="1">
        <f t="array" ref="R635">_xlfn.IFS(Q635&lt;18.5,"Underweight",
AND(Q635&gt;=18.5,Q635&lt;25),"Normal Weight",
AND(Q635&gt;=25,Q635&lt;30),"Overweight",
Q635&gt;=30,"Obesity")</f>
        <v>Underweight</v>
      </c>
      <c r="S635" s="2">
        <f t="shared" si="9"/>
        <v>687.69230769230762</v>
      </c>
      <c r="T635" s="2" t="str" cm="1">
        <f t="array" ref="T635">_xlfn.IFS(N635&lt;=2.5,"Low",N635&lt;=3,"Medium",N635&gt;3,"High")</f>
        <v>Low</v>
      </c>
    </row>
    <row r="636" spans="1:20" x14ac:dyDescent="0.3">
      <c r="A636" s="2">
        <v>635</v>
      </c>
      <c r="B636" s="2" t="s">
        <v>25</v>
      </c>
      <c r="C636" s="2">
        <v>44</v>
      </c>
      <c r="D636" s="2" t="s">
        <v>15</v>
      </c>
      <c r="E636" s="2">
        <v>94.6</v>
      </c>
      <c r="F636" s="2">
        <v>1.84</v>
      </c>
      <c r="G636" s="2">
        <v>170</v>
      </c>
      <c r="H636" s="2">
        <v>120</v>
      </c>
      <c r="I636" s="2">
        <v>67</v>
      </c>
      <c r="J636" s="2">
        <v>1.26</v>
      </c>
      <c r="K636" s="2">
        <v>748</v>
      </c>
      <c r="L636" s="2" t="s">
        <v>18</v>
      </c>
      <c r="M636" s="2">
        <v>26</v>
      </c>
      <c r="N636" s="2">
        <v>3.1</v>
      </c>
      <c r="O636" s="2">
        <v>4</v>
      </c>
      <c r="P636" s="2">
        <v>2</v>
      </c>
      <c r="Q636" s="2">
        <v>27.94</v>
      </c>
      <c r="R636" s="2" t="str" cm="1">
        <f t="array" ref="R636">_xlfn.IFS(Q636&lt;18.5,"Underweight",
AND(Q636&gt;=18.5,Q636&lt;25),"Normal Weight",
AND(Q636&gt;=25,Q636&lt;30),"Overweight",
Q636&gt;=30,"Obesity")</f>
        <v>Overweight</v>
      </c>
      <c r="S636" s="2">
        <f t="shared" si="9"/>
        <v>593.65079365079362</v>
      </c>
      <c r="T636" s="2" t="str" cm="1">
        <f t="array" ref="T636">_xlfn.IFS(N636&lt;=2.5,"Low",N636&lt;=3,"Medium",N636&gt;3,"High")</f>
        <v>High</v>
      </c>
    </row>
    <row r="637" spans="1:20" x14ac:dyDescent="0.3">
      <c r="A637" s="2">
        <v>636</v>
      </c>
      <c r="B637" s="2" t="s">
        <v>23</v>
      </c>
      <c r="C637" s="2">
        <v>34</v>
      </c>
      <c r="D637" s="2" t="s">
        <v>16</v>
      </c>
      <c r="E637" s="2">
        <v>54.2</v>
      </c>
      <c r="F637" s="2">
        <v>1.52</v>
      </c>
      <c r="G637" s="2">
        <v>190</v>
      </c>
      <c r="H637" s="2">
        <v>132</v>
      </c>
      <c r="I637" s="2">
        <v>60</v>
      </c>
      <c r="J637" s="2">
        <v>1.1299999999999999</v>
      </c>
      <c r="K637" s="2">
        <v>746</v>
      </c>
      <c r="L637" s="2" t="s">
        <v>19</v>
      </c>
      <c r="M637" s="2">
        <v>31</v>
      </c>
      <c r="N637" s="2">
        <v>2.2000000000000002</v>
      </c>
      <c r="O637" s="2">
        <v>3</v>
      </c>
      <c r="P637" s="2">
        <v>1</v>
      </c>
      <c r="Q637" s="2">
        <v>23.46</v>
      </c>
      <c r="R637" s="2" t="str" cm="1">
        <f t="array" ref="R637">_xlfn.IFS(Q637&lt;18.5,"Underweight",
AND(Q637&gt;=18.5,Q637&lt;25),"Normal Weight",
AND(Q637&gt;=25,Q637&lt;30),"Overweight",
Q637&gt;=30,"Obesity")</f>
        <v>Normal Weight</v>
      </c>
      <c r="S637" s="2">
        <f t="shared" si="9"/>
        <v>660.17699115044252</v>
      </c>
      <c r="T637" s="2" t="str" cm="1">
        <f t="array" ref="T637">_xlfn.IFS(N637&lt;=2.5,"Low",N637&lt;=3,"Medium",N637&gt;3,"High")</f>
        <v>Low</v>
      </c>
    </row>
    <row r="638" spans="1:20" x14ac:dyDescent="0.3">
      <c r="A638" s="2">
        <v>637</v>
      </c>
      <c r="B638" s="2" t="s">
        <v>28</v>
      </c>
      <c r="C638" s="2">
        <v>26</v>
      </c>
      <c r="D638" s="2" t="s">
        <v>15</v>
      </c>
      <c r="E638" s="2">
        <v>47.7</v>
      </c>
      <c r="F638" s="2">
        <v>1.77</v>
      </c>
      <c r="G638" s="2">
        <v>198</v>
      </c>
      <c r="H638" s="2">
        <v>120</v>
      </c>
      <c r="I638" s="2">
        <v>69</v>
      </c>
      <c r="J638" s="2">
        <v>1.1499999999999999</v>
      </c>
      <c r="K638" s="2">
        <v>759</v>
      </c>
      <c r="L638" s="2" t="s">
        <v>20</v>
      </c>
      <c r="M638" s="2">
        <v>24.8</v>
      </c>
      <c r="N638" s="2">
        <v>2.7</v>
      </c>
      <c r="O638" s="2">
        <v>3</v>
      </c>
      <c r="P638" s="2">
        <v>2</v>
      </c>
      <c r="Q638" s="2">
        <v>15.23</v>
      </c>
      <c r="R638" s="2" t="str" cm="1">
        <f t="array" ref="R638">_xlfn.IFS(Q638&lt;18.5,"Underweight",
AND(Q638&gt;=18.5,Q638&lt;25),"Normal Weight",
AND(Q638&gt;=25,Q638&lt;30),"Overweight",
Q638&gt;=30,"Obesity")</f>
        <v>Underweight</v>
      </c>
      <c r="S638" s="2">
        <f t="shared" si="9"/>
        <v>660</v>
      </c>
      <c r="T638" s="2" t="str" cm="1">
        <f t="array" ref="T638">_xlfn.IFS(N638&lt;=2.5,"Low",N638&lt;=3,"Medium",N638&gt;3,"High")</f>
        <v>Medium</v>
      </c>
    </row>
    <row r="639" spans="1:20" x14ac:dyDescent="0.3">
      <c r="A639" s="2">
        <v>638</v>
      </c>
      <c r="B639" s="2" t="s">
        <v>24</v>
      </c>
      <c r="C639" s="2">
        <v>50</v>
      </c>
      <c r="D639" s="2" t="s">
        <v>15</v>
      </c>
      <c r="E639" s="2">
        <v>52.2</v>
      </c>
      <c r="F639" s="2">
        <v>1.84</v>
      </c>
      <c r="G639" s="2">
        <v>195</v>
      </c>
      <c r="H639" s="2">
        <v>124</v>
      </c>
      <c r="I639" s="2">
        <v>52</v>
      </c>
      <c r="J639" s="2">
        <v>1.38</v>
      </c>
      <c r="K639" s="2">
        <v>847</v>
      </c>
      <c r="L639" s="2" t="s">
        <v>20</v>
      </c>
      <c r="M639" s="2">
        <v>28.2</v>
      </c>
      <c r="N639" s="2">
        <v>3.1</v>
      </c>
      <c r="O639" s="2">
        <v>4</v>
      </c>
      <c r="P639" s="2">
        <v>2</v>
      </c>
      <c r="Q639" s="2">
        <v>15.42</v>
      </c>
      <c r="R639" s="2" t="str" cm="1">
        <f t="array" ref="R639">_xlfn.IFS(Q639&lt;18.5,"Underweight",
AND(Q639&gt;=18.5,Q639&lt;25),"Normal Weight",
AND(Q639&gt;=25,Q639&lt;30),"Overweight",
Q639&gt;=30,"Obesity")</f>
        <v>Underweight</v>
      </c>
      <c r="S639" s="2">
        <f t="shared" si="9"/>
        <v>613.768115942029</v>
      </c>
      <c r="T639" s="2" t="str" cm="1">
        <f t="array" ref="T639">_xlfn.IFS(N639&lt;=2.5,"Low",N639&lt;=3,"Medium",N639&gt;3,"High")</f>
        <v>High</v>
      </c>
    </row>
    <row r="640" spans="1:20" x14ac:dyDescent="0.3">
      <c r="A640" s="2">
        <v>639</v>
      </c>
      <c r="B640" s="2" t="s">
        <v>21</v>
      </c>
      <c r="C640" s="2">
        <v>37</v>
      </c>
      <c r="D640" s="2" t="s">
        <v>15</v>
      </c>
      <c r="E640" s="2">
        <v>88.8</v>
      </c>
      <c r="F640" s="2">
        <v>1.95</v>
      </c>
      <c r="G640" s="2">
        <v>189</v>
      </c>
      <c r="H640" s="2">
        <v>135</v>
      </c>
      <c r="I640" s="2">
        <v>66</v>
      </c>
      <c r="J640" s="2">
        <v>1.58</v>
      </c>
      <c r="K640" s="2">
        <v>1173</v>
      </c>
      <c r="L640" s="2" t="s">
        <v>17</v>
      </c>
      <c r="M640" s="2">
        <v>10.3</v>
      </c>
      <c r="N640" s="2">
        <v>3.5</v>
      </c>
      <c r="O640" s="2">
        <v>5</v>
      </c>
      <c r="P640" s="2">
        <v>3</v>
      </c>
      <c r="Q640" s="2">
        <v>23.35</v>
      </c>
      <c r="R640" s="2" t="str" cm="1">
        <f t="array" ref="R640">_xlfn.IFS(Q640&lt;18.5,"Underweight",
AND(Q640&gt;=18.5,Q640&lt;25),"Normal Weight",
AND(Q640&gt;=25,Q640&lt;30),"Overweight",
Q640&gt;=30,"Obesity")</f>
        <v>Normal Weight</v>
      </c>
      <c r="S640" s="2">
        <f t="shared" si="9"/>
        <v>742.40506329113919</v>
      </c>
      <c r="T640" s="2" t="str" cm="1">
        <f t="array" ref="T640">_xlfn.IFS(N640&lt;=2.5,"Low",N640&lt;=3,"Medium",N640&gt;3,"High")</f>
        <v>High</v>
      </c>
    </row>
    <row r="641" spans="1:20" x14ac:dyDescent="0.3">
      <c r="A641" s="2">
        <v>640</v>
      </c>
      <c r="B641" s="2" t="s">
        <v>23</v>
      </c>
      <c r="C641" s="2">
        <v>30</v>
      </c>
      <c r="D641" s="2" t="s">
        <v>15</v>
      </c>
      <c r="E641" s="2">
        <v>101</v>
      </c>
      <c r="F641" s="2">
        <v>1.68</v>
      </c>
      <c r="G641" s="2">
        <v>182</v>
      </c>
      <c r="H641" s="2">
        <v>134</v>
      </c>
      <c r="I641" s="2">
        <v>61</v>
      </c>
      <c r="J641" s="2">
        <v>1.46</v>
      </c>
      <c r="K641" s="2">
        <v>1076</v>
      </c>
      <c r="L641" s="2" t="s">
        <v>20</v>
      </c>
      <c r="M641" s="2">
        <v>28.2</v>
      </c>
      <c r="N641" s="2">
        <v>2.9</v>
      </c>
      <c r="O641" s="2">
        <v>4</v>
      </c>
      <c r="P641" s="2">
        <v>2</v>
      </c>
      <c r="Q641" s="2">
        <v>35.79</v>
      </c>
      <c r="R641" s="2" t="str" cm="1">
        <f t="array" ref="R641">_xlfn.IFS(Q641&lt;18.5,"Underweight",
AND(Q641&gt;=18.5,Q641&lt;25),"Normal Weight",
AND(Q641&gt;=25,Q641&lt;30),"Overweight",
Q641&gt;=30,"Obesity")</f>
        <v>Obesity</v>
      </c>
      <c r="S641" s="2">
        <f t="shared" si="9"/>
        <v>736.98630136986299</v>
      </c>
      <c r="T641" s="2" t="str" cm="1">
        <f t="array" ref="T641">_xlfn.IFS(N641&lt;=2.5,"Low",N641&lt;=3,"Medium",N641&gt;3,"High")</f>
        <v>Medium</v>
      </c>
    </row>
    <row r="642" spans="1:20" x14ac:dyDescent="0.3">
      <c r="A642" s="2">
        <v>641</v>
      </c>
      <c r="B642" s="2" t="s">
        <v>29</v>
      </c>
      <c r="C642" s="2">
        <v>45</v>
      </c>
      <c r="D642" s="2" t="s">
        <v>15</v>
      </c>
      <c r="E642" s="2">
        <v>118.4</v>
      </c>
      <c r="F642" s="2">
        <v>1.95</v>
      </c>
      <c r="G642" s="2">
        <v>178</v>
      </c>
      <c r="H642" s="2">
        <v>168</v>
      </c>
      <c r="I642" s="2">
        <v>59</v>
      </c>
      <c r="J642" s="2">
        <v>1.06</v>
      </c>
      <c r="K642" s="2">
        <v>881</v>
      </c>
      <c r="L642" s="2" t="s">
        <v>17</v>
      </c>
      <c r="M642" s="2">
        <v>24.9</v>
      </c>
      <c r="N642" s="2">
        <v>2.4</v>
      </c>
      <c r="O642" s="2">
        <v>3</v>
      </c>
      <c r="P642" s="2">
        <v>2</v>
      </c>
      <c r="Q642" s="2">
        <v>31.14</v>
      </c>
      <c r="R642" s="2" t="str" cm="1">
        <f t="array" ref="R642">_xlfn.IFS(Q642&lt;18.5,"Underweight",
AND(Q642&gt;=18.5,Q642&lt;25),"Normal Weight",
AND(Q642&gt;=25,Q642&lt;30),"Overweight",
Q642&gt;=30,"Obesity")</f>
        <v>Obesity</v>
      </c>
      <c r="S642" s="2">
        <f t="shared" si="9"/>
        <v>831.13207547169804</v>
      </c>
      <c r="T642" s="2" t="str" cm="1">
        <f t="array" ref="T642">_xlfn.IFS(N642&lt;=2.5,"Low",N642&lt;=3,"Medium",N642&gt;3,"High")</f>
        <v>Low</v>
      </c>
    </row>
    <row r="643" spans="1:20" x14ac:dyDescent="0.3">
      <c r="A643" s="2">
        <v>642</v>
      </c>
      <c r="B643" s="2" t="s">
        <v>27</v>
      </c>
      <c r="C643" s="2">
        <v>46</v>
      </c>
      <c r="D643" s="2" t="s">
        <v>16</v>
      </c>
      <c r="E643" s="2">
        <v>47.9</v>
      </c>
      <c r="F643" s="2">
        <v>1.72</v>
      </c>
      <c r="G643" s="2">
        <v>171</v>
      </c>
      <c r="H643" s="2">
        <v>147</v>
      </c>
      <c r="I643" s="2">
        <v>57</v>
      </c>
      <c r="J643" s="2">
        <v>1.41</v>
      </c>
      <c r="K643" s="2">
        <v>933</v>
      </c>
      <c r="L643" s="2" t="s">
        <v>19</v>
      </c>
      <c r="M643" s="2">
        <v>26.3</v>
      </c>
      <c r="N643" s="2">
        <v>2</v>
      </c>
      <c r="O643" s="2">
        <v>3</v>
      </c>
      <c r="P643" s="2">
        <v>1</v>
      </c>
      <c r="Q643" s="2">
        <v>16.190000000000001</v>
      </c>
      <c r="R643" s="2" t="str" cm="1">
        <f t="array" ref="R643">_xlfn.IFS(Q643&lt;18.5,"Underweight",
AND(Q643&gt;=18.5,Q643&lt;25),"Normal Weight",
AND(Q643&gt;=25,Q643&lt;30),"Overweight",
Q643&gt;=30,"Obesity")</f>
        <v>Underweight</v>
      </c>
      <c r="S643" s="2">
        <f t="shared" ref="S643:S706" si="10">K643/J643</f>
        <v>661.70212765957456</v>
      </c>
      <c r="T643" s="2" t="str" cm="1">
        <f t="array" ref="T643">_xlfn.IFS(N643&lt;=2.5,"Low",N643&lt;=3,"Medium",N643&gt;3,"High")</f>
        <v>Low</v>
      </c>
    </row>
    <row r="644" spans="1:20" x14ac:dyDescent="0.3">
      <c r="A644" s="2">
        <v>643</v>
      </c>
      <c r="B644" s="2" t="s">
        <v>29</v>
      </c>
      <c r="C644" s="2">
        <v>30</v>
      </c>
      <c r="D644" s="2" t="s">
        <v>16</v>
      </c>
      <c r="E644" s="2">
        <v>51.5</v>
      </c>
      <c r="F644" s="2">
        <v>1.74</v>
      </c>
      <c r="G644" s="2">
        <v>174</v>
      </c>
      <c r="H644" s="2">
        <v>150</v>
      </c>
      <c r="I644" s="2">
        <v>64</v>
      </c>
      <c r="J644" s="2">
        <v>1.08</v>
      </c>
      <c r="K644" s="2">
        <v>810</v>
      </c>
      <c r="L644" s="2" t="s">
        <v>20</v>
      </c>
      <c r="M644" s="2">
        <v>33.9</v>
      </c>
      <c r="N644" s="2">
        <v>2</v>
      </c>
      <c r="O644" s="2">
        <v>3</v>
      </c>
      <c r="P644" s="2">
        <v>2</v>
      </c>
      <c r="Q644" s="2">
        <v>17.010000000000002</v>
      </c>
      <c r="R644" s="2" t="str" cm="1">
        <f t="array" ref="R644">_xlfn.IFS(Q644&lt;18.5,"Underweight",
AND(Q644&gt;=18.5,Q644&lt;25),"Normal Weight",
AND(Q644&gt;=25,Q644&lt;30),"Overweight",
Q644&gt;=30,"Obesity")</f>
        <v>Underweight</v>
      </c>
      <c r="S644" s="2">
        <f t="shared" si="10"/>
        <v>750</v>
      </c>
      <c r="T644" s="2" t="str" cm="1">
        <f t="array" ref="T644">_xlfn.IFS(N644&lt;=2.5,"Low",N644&lt;=3,"Medium",N644&gt;3,"High")</f>
        <v>Low</v>
      </c>
    </row>
    <row r="645" spans="1:20" x14ac:dyDescent="0.3">
      <c r="A645" s="2">
        <v>644</v>
      </c>
      <c r="B645" s="2" t="s">
        <v>28</v>
      </c>
      <c r="C645" s="2">
        <v>52</v>
      </c>
      <c r="D645" s="2" t="s">
        <v>16</v>
      </c>
      <c r="E645" s="2">
        <v>79.900000000000006</v>
      </c>
      <c r="F645" s="2">
        <v>1.51</v>
      </c>
      <c r="G645" s="2">
        <v>190</v>
      </c>
      <c r="H645" s="2">
        <v>142</v>
      </c>
      <c r="I645" s="2">
        <v>54</v>
      </c>
      <c r="J645" s="2">
        <v>0.75</v>
      </c>
      <c r="K645" s="2">
        <v>479</v>
      </c>
      <c r="L645" s="2" t="s">
        <v>20</v>
      </c>
      <c r="M645" s="2">
        <v>31.5</v>
      </c>
      <c r="N645" s="2">
        <v>2.6</v>
      </c>
      <c r="O645" s="2">
        <v>3</v>
      </c>
      <c r="P645" s="2">
        <v>1</v>
      </c>
      <c r="Q645" s="2">
        <v>35.04</v>
      </c>
      <c r="R645" s="2" t="str" cm="1">
        <f t="array" ref="R645">_xlfn.IFS(Q645&lt;18.5,"Underweight",
AND(Q645&gt;=18.5,Q645&lt;25),"Normal Weight",
AND(Q645&gt;=25,Q645&lt;30),"Overweight",
Q645&gt;=30,"Obesity")</f>
        <v>Obesity</v>
      </c>
      <c r="S645" s="2">
        <f t="shared" si="10"/>
        <v>638.66666666666663</v>
      </c>
      <c r="T645" s="2" t="str" cm="1">
        <f t="array" ref="T645">_xlfn.IFS(N645&lt;=2.5,"Low",N645&lt;=3,"Medium",N645&gt;3,"High")</f>
        <v>Medium</v>
      </c>
    </row>
    <row r="646" spans="1:20" x14ac:dyDescent="0.3">
      <c r="A646" s="2">
        <v>645</v>
      </c>
      <c r="B646" s="2" t="s">
        <v>29</v>
      </c>
      <c r="C646" s="2">
        <v>23</v>
      </c>
      <c r="D646" s="2" t="s">
        <v>15</v>
      </c>
      <c r="E646" s="2">
        <v>121.3</v>
      </c>
      <c r="F646" s="2">
        <v>1.85</v>
      </c>
      <c r="G646" s="2">
        <v>196</v>
      </c>
      <c r="H646" s="2">
        <v>167</v>
      </c>
      <c r="I646" s="2">
        <v>53</v>
      </c>
      <c r="J646" s="2">
        <v>0.72</v>
      </c>
      <c r="K646" s="2">
        <v>661</v>
      </c>
      <c r="L646" s="2" t="s">
        <v>17</v>
      </c>
      <c r="M646" s="2">
        <v>21.6</v>
      </c>
      <c r="N646" s="2">
        <v>3.6</v>
      </c>
      <c r="O646" s="2">
        <v>2</v>
      </c>
      <c r="P646" s="2">
        <v>1</v>
      </c>
      <c r="Q646" s="2">
        <v>35.44</v>
      </c>
      <c r="R646" s="2" t="str" cm="1">
        <f t="array" ref="R646">_xlfn.IFS(Q646&lt;18.5,"Underweight",
AND(Q646&gt;=18.5,Q646&lt;25),"Normal Weight",
AND(Q646&gt;=25,Q646&lt;30),"Overweight",
Q646&gt;=30,"Obesity")</f>
        <v>Obesity</v>
      </c>
      <c r="S646" s="2">
        <f t="shared" si="10"/>
        <v>918.05555555555554</v>
      </c>
      <c r="T646" s="2" t="str" cm="1">
        <f t="array" ref="T646">_xlfn.IFS(N646&lt;=2.5,"Low",N646&lt;=3,"Medium",N646&gt;3,"High")</f>
        <v>High</v>
      </c>
    </row>
    <row r="647" spans="1:20" x14ac:dyDescent="0.3">
      <c r="A647" s="2">
        <v>646</v>
      </c>
      <c r="B647" s="2" t="s">
        <v>24</v>
      </c>
      <c r="C647" s="2">
        <v>35</v>
      </c>
      <c r="D647" s="2" t="s">
        <v>16</v>
      </c>
      <c r="E647" s="2">
        <v>78.900000000000006</v>
      </c>
      <c r="F647" s="2">
        <v>1.64</v>
      </c>
      <c r="G647" s="2">
        <v>196</v>
      </c>
      <c r="H647" s="2">
        <v>164</v>
      </c>
      <c r="I647" s="2">
        <v>70</v>
      </c>
      <c r="J647" s="2">
        <v>1.28</v>
      </c>
      <c r="K647" s="2">
        <v>1050</v>
      </c>
      <c r="L647" s="2" t="s">
        <v>19</v>
      </c>
      <c r="M647" s="2">
        <v>25.3</v>
      </c>
      <c r="N647" s="2">
        <v>2.6</v>
      </c>
      <c r="O647" s="2">
        <v>4</v>
      </c>
      <c r="P647" s="2">
        <v>2</v>
      </c>
      <c r="Q647" s="2">
        <v>29.34</v>
      </c>
      <c r="R647" s="2" t="str" cm="1">
        <f t="array" ref="R647">_xlfn.IFS(Q647&lt;18.5,"Underweight",
AND(Q647&gt;=18.5,Q647&lt;25),"Normal Weight",
AND(Q647&gt;=25,Q647&lt;30),"Overweight",
Q647&gt;=30,"Obesity")</f>
        <v>Overweight</v>
      </c>
      <c r="S647" s="2">
        <f t="shared" si="10"/>
        <v>820.3125</v>
      </c>
      <c r="T647" s="2" t="str" cm="1">
        <f t="array" ref="T647">_xlfn.IFS(N647&lt;=2.5,"Low",N647&lt;=3,"Medium",N647&gt;3,"High")</f>
        <v>Medium</v>
      </c>
    </row>
    <row r="648" spans="1:20" x14ac:dyDescent="0.3">
      <c r="A648" s="2">
        <v>647</v>
      </c>
      <c r="B648" s="2" t="s">
        <v>25</v>
      </c>
      <c r="C648" s="2">
        <v>22</v>
      </c>
      <c r="D648" s="2" t="s">
        <v>15</v>
      </c>
      <c r="E648" s="2">
        <v>88.5</v>
      </c>
      <c r="F648" s="2">
        <v>1.62</v>
      </c>
      <c r="G648" s="2">
        <v>174</v>
      </c>
      <c r="H648" s="2">
        <v>162</v>
      </c>
      <c r="I648" s="2">
        <v>69</v>
      </c>
      <c r="J648" s="2">
        <v>1.88</v>
      </c>
      <c r="K648" s="2">
        <v>1675</v>
      </c>
      <c r="L648" s="2" t="s">
        <v>20</v>
      </c>
      <c r="M648" s="2">
        <v>10.7</v>
      </c>
      <c r="N648" s="2">
        <v>3.5</v>
      </c>
      <c r="O648" s="2">
        <v>5</v>
      </c>
      <c r="P648" s="2">
        <v>3</v>
      </c>
      <c r="Q648" s="2">
        <v>33.72</v>
      </c>
      <c r="R648" s="2" t="str" cm="1">
        <f t="array" ref="R648">_xlfn.IFS(Q648&lt;18.5,"Underweight",
AND(Q648&gt;=18.5,Q648&lt;25),"Normal Weight",
AND(Q648&gt;=25,Q648&lt;30),"Overweight",
Q648&gt;=30,"Obesity")</f>
        <v>Obesity</v>
      </c>
      <c r="S648" s="2">
        <f t="shared" si="10"/>
        <v>890.95744680851067</v>
      </c>
      <c r="T648" s="2" t="str" cm="1">
        <f t="array" ref="T648">_xlfn.IFS(N648&lt;=2.5,"Low",N648&lt;=3,"Medium",N648&gt;3,"High")</f>
        <v>High</v>
      </c>
    </row>
    <row r="649" spans="1:20" x14ac:dyDescent="0.3">
      <c r="A649" s="2">
        <v>648</v>
      </c>
      <c r="B649" s="2" t="s">
        <v>30</v>
      </c>
      <c r="C649" s="2">
        <v>42</v>
      </c>
      <c r="D649" s="2" t="s">
        <v>15</v>
      </c>
      <c r="E649" s="2">
        <v>73.5</v>
      </c>
      <c r="F649" s="2">
        <v>1.63</v>
      </c>
      <c r="G649" s="2">
        <v>188</v>
      </c>
      <c r="H649" s="2">
        <v>136</v>
      </c>
      <c r="I649" s="2">
        <v>68</v>
      </c>
      <c r="J649" s="2">
        <v>0.52</v>
      </c>
      <c r="K649" s="2">
        <v>350</v>
      </c>
      <c r="L649" s="2" t="s">
        <v>20</v>
      </c>
      <c r="M649" s="2">
        <v>26.1</v>
      </c>
      <c r="N649" s="2">
        <v>3.2</v>
      </c>
      <c r="O649" s="2">
        <v>3</v>
      </c>
      <c r="P649" s="2">
        <v>1</v>
      </c>
      <c r="Q649" s="2">
        <v>27.66</v>
      </c>
      <c r="R649" s="2" t="str" cm="1">
        <f t="array" ref="R649">_xlfn.IFS(Q649&lt;18.5,"Underweight",
AND(Q649&gt;=18.5,Q649&lt;25),"Normal Weight",
AND(Q649&gt;=25,Q649&lt;30),"Overweight",
Q649&gt;=30,"Obesity")</f>
        <v>Overweight</v>
      </c>
      <c r="S649" s="2">
        <f t="shared" si="10"/>
        <v>673.07692307692309</v>
      </c>
      <c r="T649" s="2" t="str" cm="1">
        <f t="array" ref="T649">_xlfn.IFS(N649&lt;=2.5,"Low",N649&lt;=3,"Medium",N649&gt;3,"High")</f>
        <v>High</v>
      </c>
    </row>
    <row r="650" spans="1:20" x14ac:dyDescent="0.3">
      <c r="A650" s="2">
        <v>649</v>
      </c>
      <c r="B650" s="2" t="s">
        <v>27</v>
      </c>
      <c r="C650" s="2">
        <v>19</v>
      </c>
      <c r="D650" s="2" t="s">
        <v>15</v>
      </c>
      <c r="E650" s="2">
        <v>127.9</v>
      </c>
      <c r="F650" s="2">
        <v>1.93</v>
      </c>
      <c r="G650" s="2">
        <v>185</v>
      </c>
      <c r="H650" s="2">
        <v>168</v>
      </c>
      <c r="I650" s="2">
        <v>70</v>
      </c>
      <c r="J650" s="2">
        <v>1.27</v>
      </c>
      <c r="K650" s="2">
        <v>1173</v>
      </c>
      <c r="L650" s="2" t="s">
        <v>20</v>
      </c>
      <c r="M650" s="2">
        <v>21.8</v>
      </c>
      <c r="N650" s="2">
        <v>3</v>
      </c>
      <c r="O650" s="2">
        <v>4</v>
      </c>
      <c r="P650" s="2">
        <v>2</v>
      </c>
      <c r="Q650" s="2">
        <v>34.340000000000003</v>
      </c>
      <c r="R650" s="2" t="str" cm="1">
        <f t="array" ref="R650">_xlfn.IFS(Q650&lt;18.5,"Underweight",
AND(Q650&gt;=18.5,Q650&lt;25),"Normal Weight",
AND(Q650&gt;=25,Q650&lt;30),"Overweight",
Q650&gt;=30,"Obesity")</f>
        <v>Obesity</v>
      </c>
      <c r="S650" s="2">
        <f t="shared" si="10"/>
        <v>923.62204724409446</v>
      </c>
      <c r="T650" s="2" t="str" cm="1">
        <f t="array" ref="T650">_xlfn.IFS(N650&lt;=2.5,"Low",N650&lt;=3,"Medium",N650&gt;3,"High")</f>
        <v>Medium</v>
      </c>
    </row>
    <row r="651" spans="1:20" x14ac:dyDescent="0.3">
      <c r="A651" s="2">
        <v>650</v>
      </c>
      <c r="B651" s="2" t="s">
        <v>29</v>
      </c>
      <c r="C651" s="2">
        <v>27</v>
      </c>
      <c r="D651" s="2" t="s">
        <v>15</v>
      </c>
      <c r="E651" s="2">
        <v>88.5</v>
      </c>
      <c r="F651" s="2">
        <v>1.98</v>
      </c>
      <c r="G651" s="2">
        <v>161</v>
      </c>
      <c r="H651" s="2">
        <v>153</v>
      </c>
      <c r="I651" s="2">
        <v>53</v>
      </c>
      <c r="J651" s="2">
        <v>1.8</v>
      </c>
      <c r="K651" s="2">
        <v>1515</v>
      </c>
      <c r="L651" s="2" t="s">
        <v>19</v>
      </c>
      <c r="M651" s="2">
        <v>11.1</v>
      </c>
      <c r="N651" s="2">
        <v>3.5</v>
      </c>
      <c r="O651" s="2">
        <v>4</v>
      </c>
      <c r="P651" s="2">
        <v>3</v>
      </c>
      <c r="Q651" s="2">
        <v>22.57</v>
      </c>
      <c r="R651" s="2" t="str" cm="1">
        <f t="array" ref="R651">_xlfn.IFS(Q651&lt;18.5,"Underweight",
AND(Q651&gt;=18.5,Q651&lt;25),"Normal Weight",
AND(Q651&gt;=25,Q651&lt;30),"Overweight",
Q651&gt;=30,"Obesity")</f>
        <v>Normal Weight</v>
      </c>
      <c r="S651" s="2">
        <f t="shared" si="10"/>
        <v>841.66666666666663</v>
      </c>
      <c r="T651" s="2" t="str" cm="1">
        <f t="array" ref="T651">_xlfn.IFS(N651&lt;=2.5,"Low",N651&lt;=3,"Medium",N651&gt;3,"High")</f>
        <v>High</v>
      </c>
    </row>
    <row r="652" spans="1:20" x14ac:dyDescent="0.3">
      <c r="A652" s="2">
        <v>651</v>
      </c>
      <c r="B652" s="2" t="s">
        <v>29</v>
      </c>
      <c r="C652" s="2">
        <v>47</v>
      </c>
      <c r="D652" s="2" t="s">
        <v>16</v>
      </c>
      <c r="E652" s="2">
        <v>43.4</v>
      </c>
      <c r="F652" s="2">
        <v>1.62</v>
      </c>
      <c r="G652" s="2">
        <v>179</v>
      </c>
      <c r="H652" s="2">
        <v>132</v>
      </c>
      <c r="I652" s="2">
        <v>64</v>
      </c>
      <c r="J652" s="2">
        <v>0.51</v>
      </c>
      <c r="K652" s="2">
        <v>303</v>
      </c>
      <c r="L652" s="2" t="s">
        <v>19</v>
      </c>
      <c r="M652" s="2">
        <v>25.3</v>
      </c>
      <c r="N652" s="2">
        <v>2.2999999999999998</v>
      </c>
      <c r="O652" s="2">
        <v>3</v>
      </c>
      <c r="P652" s="2">
        <v>1</v>
      </c>
      <c r="Q652" s="2">
        <v>16.54</v>
      </c>
      <c r="R652" s="2" t="str" cm="1">
        <f t="array" ref="R652">_xlfn.IFS(Q652&lt;18.5,"Underweight",
AND(Q652&gt;=18.5,Q652&lt;25),"Normal Weight",
AND(Q652&gt;=25,Q652&lt;30),"Overweight",
Q652&gt;=30,"Obesity")</f>
        <v>Underweight</v>
      </c>
      <c r="S652" s="2">
        <f t="shared" si="10"/>
        <v>594.11764705882354</v>
      </c>
      <c r="T652" s="2" t="str" cm="1">
        <f t="array" ref="T652">_xlfn.IFS(N652&lt;=2.5,"Low",N652&lt;=3,"Medium",N652&gt;3,"High")</f>
        <v>Low</v>
      </c>
    </row>
    <row r="653" spans="1:20" x14ac:dyDescent="0.3">
      <c r="A653" s="2">
        <v>652</v>
      </c>
      <c r="B653" s="2" t="s">
        <v>28</v>
      </c>
      <c r="C653" s="2">
        <v>22</v>
      </c>
      <c r="D653" s="2" t="s">
        <v>16</v>
      </c>
      <c r="E653" s="2">
        <v>42.8</v>
      </c>
      <c r="F653" s="2">
        <v>1.56</v>
      </c>
      <c r="G653" s="2">
        <v>174</v>
      </c>
      <c r="H653" s="2">
        <v>133</v>
      </c>
      <c r="I653" s="2">
        <v>66</v>
      </c>
      <c r="J653" s="2">
        <v>1.47</v>
      </c>
      <c r="K653" s="2">
        <v>978</v>
      </c>
      <c r="L653" s="2" t="s">
        <v>20</v>
      </c>
      <c r="M653" s="2">
        <v>32.200000000000003</v>
      </c>
      <c r="N653" s="2">
        <v>2.6</v>
      </c>
      <c r="O653" s="2">
        <v>3</v>
      </c>
      <c r="P653" s="2">
        <v>2</v>
      </c>
      <c r="Q653" s="2">
        <v>17.59</v>
      </c>
      <c r="R653" s="2" t="str" cm="1">
        <f t="array" ref="R653">_xlfn.IFS(Q653&lt;18.5,"Underweight",
AND(Q653&gt;=18.5,Q653&lt;25),"Normal Weight",
AND(Q653&gt;=25,Q653&lt;30),"Overweight",
Q653&gt;=30,"Obesity")</f>
        <v>Underweight</v>
      </c>
      <c r="S653" s="2">
        <f t="shared" si="10"/>
        <v>665.30612244897964</v>
      </c>
      <c r="T653" s="2" t="str" cm="1">
        <f t="array" ref="T653">_xlfn.IFS(N653&lt;=2.5,"Low",N653&lt;=3,"Medium",N653&gt;3,"High")</f>
        <v>Medium</v>
      </c>
    </row>
    <row r="654" spans="1:20" x14ac:dyDescent="0.3">
      <c r="A654" s="2">
        <v>653</v>
      </c>
      <c r="B654" s="2" t="s">
        <v>30</v>
      </c>
      <c r="C654" s="2">
        <v>50</v>
      </c>
      <c r="D654" s="2" t="s">
        <v>15</v>
      </c>
      <c r="E654" s="2">
        <v>64.5</v>
      </c>
      <c r="F654" s="2">
        <v>1.79</v>
      </c>
      <c r="G654" s="2">
        <v>163</v>
      </c>
      <c r="H654" s="2">
        <v>130</v>
      </c>
      <c r="I654" s="2">
        <v>61</v>
      </c>
      <c r="J654" s="2">
        <v>1.17</v>
      </c>
      <c r="K654" s="2">
        <v>753</v>
      </c>
      <c r="L654" s="2" t="s">
        <v>17</v>
      </c>
      <c r="M654" s="2">
        <v>28.1</v>
      </c>
      <c r="N654" s="2">
        <v>2.4</v>
      </c>
      <c r="O654" s="2">
        <v>4</v>
      </c>
      <c r="P654" s="2">
        <v>2</v>
      </c>
      <c r="Q654" s="2">
        <v>20.13</v>
      </c>
      <c r="R654" s="2" t="str" cm="1">
        <f t="array" ref="R654">_xlfn.IFS(Q654&lt;18.5,"Underweight",
AND(Q654&gt;=18.5,Q654&lt;25),"Normal Weight",
AND(Q654&gt;=25,Q654&lt;30),"Overweight",
Q654&gt;=30,"Obesity")</f>
        <v>Normal Weight</v>
      </c>
      <c r="S654" s="2">
        <f t="shared" si="10"/>
        <v>643.58974358974365</v>
      </c>
      <c r="T654" s="2" t="str" cm="1">
        <f t="array" ref="T654">_xlfn.IFS(N654&lt;=2.5,"Low",N654&lt;=3,"Medium",N654&gt;3,"High")</f>
        <v>Low</v>
      </c>
    </row>
    <row r="655" spans="1:20" x14ac:dyDescent="0.3">
      <c r="A655" s="2">
        <v>654</v>
      </c>
      <c r="B655" s="2" t="s">
        <v>26</v>
      </c>
      <c r="C655" s="2">
        <v>18</v>
      </c>
      <c r="D655" s="2" t="s">
        <v>16</v>
      </c>
      <c r="E655" s="2">
        <v>50.7</v>
      </c>
      <c r="F655" s="2">
        <v>1.53</v>
      </c>
      <c r="G655" s="2">
        <v>181</v>
      </c>
      <c r="H655" s="2">
        <v>147</v>
      </c>
      <c r="I655" s="2">
        <v>52</v>
      </c>
      <c r="J655" s="2">
        <v>1.29</v>
      </c>
      <c r="K655" s="2">
        <v>948</v>
      </c>
      <c r="L655" s="2" t="s">
        <v>17</v>
      </c>
      <c r="M655" s="2">
        <v>33</v>
      </c>
      <c r="N655" s="2">
        <v>2.1</v>
      </c>
      <c r="O655" s="2">
        <v>3</v>
      </c>
      <c r="P655" s="2">
        <v>2</v>
      </c>
      <c r="Q655" s="2">
        <v>21.66</v>
      </c>
      <c r="R655" s="2" t="str" cm="1">
        <f t="array" ref="R655">_xlfn.IFS(Q655&lt;18.5,"Underweight",
AND(Q655&gt;=18.5,Q655&lt;25),"Normal Weight",
AND(Q655&gt;=25,Q655&lt;30),"Overweight",
Q655&gt;=30,"Obesity")</f>
        <v>Normal Weight</v>
      </c>
      <c r="S655" s="2">
        <f t="shared" si="10"/>
        <v>734.88372093023258</v>
      </c>
      <c r="T655" s="2" t="str" cm="1">
        <f t="array" ref="T655">_xlfn.IFS(N655&lt;=2.5,"Low",N655&lt;=3,"Medium",N655&gt;3,"High")</f>
        <v>Low</v>
      </c>
    </row>
    <row r="656" spans="1:20" x14ac:dyDescent="0.3">
      <c r="A656" s="2">
        <v>655</v>
      </c>
      <c r="B656" s="2" t="s">
        <v>29</v>
      </c>
      <c r="C656" s="2">
        <v>35</v>
      </c>
      <c r="D656" s="2" t="s">
        <v>15</v>
      </c>
      <c r="E656" s="2">
        <v>59.2</v>
      </c>
      <c r="F656" s="2">
        <v>1.66</v>
      </c>
      <c r="G656" s="2">
        <v>197</v>
      </c>
      <c r="H656" s="2">
        <v>161</v>
      </c>
      <c r="I656" s="2">
        <v>59</v>
      </c>
      <c r="J656" s="2">
        <v>1.3</v>
      </c>
      <c r="K656" s="2">
        <v>1151</v>
      </c>
      <c r="L656" s="2" t="s">
        <v>20</v>
      </c>
      <c r="M656" s="2">
        <v>21.3</v>
      </c>
      <c r="N656" s="2">
        <v>3.2</v>
      </c>
      <c r="O656" s="2">
        <v>3</v>
      </c>
      <c r="P656" s="2">
        <v>1</v>
      </c>
      <c r="Q656" s="2">
        <v>21.48</v>
      </c>
      <c r="R656" s="2" t="str" cm="1">
        <f t="array" ref="R656">_xlfn.IFS(Q656&lt;18.5,"Underweight",
AND(Q656&gt;=18.5,Q656&lt;25),"Normal Weight",
AND(Q656&gt;=25,Q656&lt;30),"Overweight",
Q656&gt;=30,"Obesity")</f>
        <v>Normal Weight</v>
      </c>
      <c r="S656" s="2">
        <f t="shared" si="10"/>
        <v>885.38461538461536</v>
      </c>
      <c r="T656" s="2" t="str" cm="1">
        <f t="array" ref="T656">_xlfn.IFS(N656&lt;=2.5,"Low",N656&lt;=3,"Medium",N656&gt;3,"High")</f>
        <v>High</v>
      </c>
    </row>
    <row r="657" spans="1:20" x14ac:dyDescent="0.3">
      <c r="A657" s="2">
        <v>656</v>
      </c>
      <c r="B657" s="2" t="s">
        <v>24</v>
      </c>
      <c r="C657" s="2">
        <v>49</v>
      </c>
      <c r="D657" s="2" t="s">
        <v>16</v>
      </c>
      <c r="E657" s="2">
        <v>78.900000000000006</v>
      </c>
      <c r="F657" s="2">
        <v>1.73</v>
      </c>
      <c r="G657" s="2">
        <v>182</v>
      </c>
      <c r="H657" s="2">
        <v>151</v>
      </c>
      <c r="I657" s="2">
        <v>64</v>
      </c>
      <c r="J657" s="2">
        <v>1.38</v>
      </c>
      <c r="K657" s="2">
        <v>938</v>
      </c>
      <c r="L657" s="2" t="s">
        <v>19</v>
      </c>
      <c r="M657" s="2">
        <v>34</v>
      </c>
      <c r="N657" s="2">
        <v>2.2999999999999998</v>
      </c>
      <c r="O657" s="2">
        <v>2</v>
      </c>
      <c r="P657" s="2">
        <v>1</v>
      </c>
      <c r="Q657" s="2">
        <v>26.36</v>
      </c>
      <c r="R657" s="2" t="str" cm="1">
        <f t="array" ref="R657">_xlfn.IFS(Q657&lt;18.5,"Underweight",
AND(Q657&gt;=18.5,Q657&lt;25),"Normal Weight",
AND(Q657&gt;=25,Q657&lt;30),"Overweight",
Q657&gt;=30,"Obesity")</f>
        <v>Overweight</v>
      </c>
      <c r="S657" s="2">
        <f t="shared" si="10"/>
        <v>679.71014492753625</v>
      </c>
      <c r="T657" s="2" t="str" cm="1">
        <f t="array" ref="T657">_xlfn.IFS(N657&lt;=2.5,"Low",N657&lt;=3,"Medium",N657&gt;3,"High")</f>
        <v>Low</v>
      </c>
    </row>
    <row r="658" spans="1:20" x14ac:dyDescent="0.3">
      <c r="A658" s="2">
        <v>657</v>
      </c>
      <c r="B658" s="2" t="s">
        <v>21</v>
      </c>
      <c r="C658" s="2">
        <v>28</v>
      </c>
      <c r="D658" s="2" t="s">
        <v>16</v>
      </c>
      <c r="E658" s="2">
        <v>78.7</v>
      </c>
      <c r="F658" s="2">
        <v>1.63</v>
      </c>
      <c r="G658" s="2">
        <v>185</v>
      </c>
      <c r="H658" s="2">
        <v>154</v>
      </c>
      <c r="I658" s="2">
        <v>59</v>
      </c>
      <c r="J658" s="2">
        <v>1.1000000000000001</v>
      </c>
      <c r="K658" s="2">
        <v>847</v>
      </c>
      <c r="L658" s="2" t="s">
        <v>20</v>
      </c>
      <c r="M658" s="2">
        <v>31.7</v>
      </c>
      <c r="N658" s="2">
        <v>1.8</v>
      </c>
      <c r="O658" s="2">
        <v>3</v>
      </c>
      <c r="P658" s="2">
        <v>2</v>
      </c>
      <c r="Q658" s="2">
        <v>29.62</v>
      </c>
      <c r="R658" s="2" t="str" cm="1">
        <f t="array" ref="R658">_xlfn.IFS(Q658&lt;18.5,"Underweight",
AND(Q658&gt;=18.5,Q658&lt;25),"Normal Weight",
AND(Q658&gt;=25,Q658&lt;30),"Overweight",
Q658&gt;=30,"Obesity")</f>
        <v>Overweight</v>
      </c>
      <c r="S658" s="2">
        <f t="shared" si="10"/>
        <v>769.99999999999989</v>
      </c>
      <c r="T658" s="2" t="str" cm="1">
        <f t="array" ref="T658">_xlfn.IFS(N658&lt;=2.5,"Low",N658&lt;=3,"Medium",N658&gt;3,"High")</f>
        <v>Low</v>
      </c>
    </row>
    <row r="659" spans="1:20" x14ac:dyDescent="0.3">
      <c r="A659" s="2">
        <v>658</v>
      </c>
      <c r="B659" s="2" t="s">
        <v>27</v>
      </c>
      <c r="C659" s="2">
        <v>38</v>
      </c>
      <c r="D659" s="2" t="s">
        <v>15</v>
      </c>
      <c r="E659" s="2">
        <v>68.7</v>
      </c>
      <c r="F659" s="2">
        <v>1.92</v>
      </c>
      <c r="G659" s="2">
        <v>170</v>
      </c>
      <c r="H659" s="2">
        <v>150</v>
      </c>
      <c r="I659" s="2">
        <v>73</v>
      </c>
      <c r="J659" s="2">
        <v>1.31</v>
      </c>
      <c r="K659" s="2">
        <v>1081</v>
      </c>
      <c r="L659" s="2" t="s">
        <v>19</v>
      </c>
      <c r="M659" s="2">
        <v>29</v>
      </c>
      <c r="N659" s="2">
        <v>3</v>
      </c>
      <c r="O659" s="2">
        <v>4</v>
      </c>
      <c r="P659" s="2">
        <v>2</v>
      </c>
      <c r="Q659" s="2">
        <v>18.64</v>
      </c>
      <c r="R659" s="2" t="str" cm="1">
        <f t="array" ref="R659">_xlfn.IFS(Q659&lt;18.5,"Underweight",
AND(Q659&gt;=18.5,Q659&lt;25),"Normal Weight",
AND(Q659&gt;=25,Q659&lt;30),"Overweight",
Q659&gt;=30,"Obesity")</f>
        <v>Normal Weight</v>
      </c>
      <c r="S659" s="2">
        <f t="shared" si="10"/>
        <v>825.19083969465646</v>
      </c>
      <c r="T659" s="2" t="str" cm="1">
        <f t="array" ref="T659">_xlfn.IFS(N659&lt;=2.5,"Low",N659&lt;=3,"Medium",N659&gt;3,"High")</f>
        <v>Medium</v>
      </c>
    </row>
    <row r="660" spans="1:20" x14ac:dyDescent="0.3">
      <c r="A660" s="2">
        <v>659</v>
      </c>
      <c r="B660" s="2" t="s">
        <v>29</v>
      </c>
      <c r="C660" s="2">
        <v>43</v>
      </c>
      <c r="D660" s="2" t="s">
        <v>16</v>
      </c>
      <c r="E660" s="2">
        <v>53.1</v>
      </c>
      <c r="F660" s="2">
        <v>1.59</v>
      </c>
      <c r="G660" s="2">
        <v>187</v>
      </c>
      <c r="H660" s="2">
        <v>136</v>
      </c>
      <c r="I660" s="2">
        <v>72</v>
      </c>
      <c r="J660" s="2">
        <v>0.82</v>
      </c>
      <c r="K660" s="2">
        <v>502</v>
      </c>
      <c r="L660" s="2" t="s">
        <v>20</v>
      </c>
      <c r="M660" s="2">
        <v>29.5</v>
      </c>
      <c r="N660" s="2">
        <v>2.5</v>
      </c>
      <c r="O660" s="2">
        <v>2</v>
      </c>
      <c r="P660" s="2">
        <v>1</v>
      </c>
      <c r="Q660" s="2">
        <v>21</v>
      </c>
      <c r="R660" s="2" t="str" cm="1">
        <f t="array" ref="R660">_xlfn.IFS(Q660&lt;18.5,"Underweight",
AND(Q660&gt;=18.5,Q660&lt;25),"Normal Weight",
AND(Q660&gt;=25,Q660&lt;30),"Overweight",
Q660&gt;=30,"Obesity")</f>
        <v>Normal Weight</v>
      </c>
      <c r="S660" s="2">
        <f t="shared" si="10"/>
        <v>612.19512195121956</v>
      </c>
      <c r="T660" s="2" t="str" cm="1">
        <f t="array" ref="T660">_xlfn.IFS(N660&lt;=2.5,"Low",N660&lt;=3,"Medium",N660&gt;3,"High")</f>
        <v>Low</v>
      </c>
    </row>
    <row r="661" spans="1:20" x14ac:dyDescent="0.3">
      <c r="A661" s="2">
        <v>660</v>
      </c>
      <c r="B661" s="2" t="s">
        <v>24</v>
      </c>
      <c r="C661" s="2">
        <v>42</v>
      </c>
      <c r="D661" s="2" t="s">
        <v>15</v>
      </c>
      <c r="E661" s="2">
        <v>64.8</v>
      </c>
      <c r="F661" s="2">
        <v>1.65</v>
      </c>
      <c r="G661" s="2">
        <v>161</v>
      </c>
      <c r="H661" s="2">
        <v>166</v>
      </c>
      <c r="I661" s="2">
        <v>67</v>
      </c>
      <c r="J661" s="2">
        <v>1.1000000000000001</v>
      </c>
      <c r="K661" s="2">
        <v>904</v>
      </c>
      <c r="L661" s="2" t="s">
        <v>19</v>
      </c>
      <c r="M661" s="2">
        <v>24.4</v>
      </c>
      <c r="N661" s="2">
        <v>2.8</v>
      </c>
      <c r="O661" s="2">
        <v>3</v>
      </c>
      <c r="P661" s="2">
        <v>2</v>
      </c>
      <c r="Q661" s="2">
        <v>23.8</v>
      </c>
      <c r="R661" s="2" t="str" cm="1">
        <f t="array" ref="R661">_xlfn.IFS(Q661&lt;18.5,"Underweight",
AND(Q661&gt;=18.5,Q661&lt;25),"Normal Weight",
AND(Q661&gt;=25,Q661&lt;30),"Overweight",
Q661&gt;=30,"Obesity")</f>
        <v>Normal Weight</v>
      </c>
      <c r="S661" s="2">
        <f t="shared" si="10"/>
        <v>821.81818181818176</v>
      </c>
      <c r="T661" s="2" t="str" cm="1">
        <f t="array" ref="T661">_xlfn.IFS(N661&lt;=2.5,"Low",N661&lt;=3,"Medium",N661&gt;3,"High")</f>
        <v>Medium</v>
      </c>
    </row>
    <row r="662" spans="1:20" x14ac:dyDescent="0.3">
      <c r="A662" s="2">
        <v>661</v>
      </c>
      <c r="B662" s="2" t="s">
        <v>24</v>
      </c>
      <c r="C662" s="2">
        <v>39</v>
      </c>
      <c r="D662" s="2" t="s">
        <v>16</v>
      </c>
      <c r="E662" s="2">
        <v>50.3</v>
      </c>
      <c r="F662" s="2">
        <v>1.61</v>
      </c>
      <c r="G662" s="2">
        <v>167</v>
      </c>
      <c r="H662" s="2">
        <v>128</v>
      </c>
      <c r="I662" s="2">
        <v>50</v>
      </c>
      <c r="J662" s="2">
        <v>1.17</v>
      </c>
      <c r="K662" s="2">
        <v>749</v>
      </c>
      <c r="L662" s="2" t="s">
        <v>18</v>
      </c>
      <c r="M662" s="2">
        <v>32.799999999999997</v>
      </c>
      <c r="N662" s="2">
        <v>2.5</v>
      </c>
      <c r="O662" s="2">
        <v>2</v>
      </c>
      <c r="P662" s="2">
        <v>1</v>
      </c>
      <c r="Q662" s="2">
        <v>19.41</v>
      </c>
      <c r="R662" s="2" t="str" cm="1">
        <f t="array" ref="R662">_xlfn.IFS(Q662&lt;18.5,"Underweight",
AND(Q662&gt;=18.5,Q662&lt;25),"Normal Weight",
AND(Q662&gt;=25,Q662&lt;30),"Overweight",
Q662&gt;=30,"Obesity")</f>
        <v>Normal Weight</v>
      </c>
      <c r="S662" s="2">
        <f t="shared" si="10"/>
        <v>640.17094017094018</v>
      </c>
      <c r="T662" s="2" t="str" cm="1">
        <f t="array" ref="T662">_xlfn.IFS(N662&lt;=2.5,"Low",N662&lt;=3,"Medium",N662&gt;3,"High")</f>
        <v>Low</v>
      </c>
    </row>
    <row r="663" spans="1:20" x14ac:dyDescent="0.3">
      <c r="A663" s="2">
        <v>662</v>
      </c>
      <c r="B663" s="2" t="s">
        <v>27</v>
      </c>
      <c r="C663" s="2">
        <v>44</v>
      </c>
      <c r="D663" s="2" t="s">
        <v>15</v>
      </c>
      <c r="E663" s="2">
        <v>102.3</v>
      </c>
      <c r="F663" s="2">
        <v>1.63</v>
      </c>
      <c r="G663" s="2">
        <v>188</v>
      </c>
      <c r="H663" s="2">
        <v>129</v>
      </c>
      <c r="I663" s="2">
        <v>52</v>
      </c>
      <c r="J663" s="2">
        <v>1.34</v>
      </c>
      <c r="K663" s="2">
        <v>856</v>
      </c>
      <c r="L663" s="2" t="s">
        <v>17</v>
      </c>
      <c r="M663" s="2">
        <v>20.9</v>
      </c>
      <c r="N663" s="2">
        <v>2.6</v>
      </c>
      <c r="O663" s="2">
        <v>4</v>
      </c>
      <c r="P663" s="2">
        <v>2</v>
      </c>
      <c r="Q663" s="2">
        <v>38.5</v>
      </c>
      <c r="R663" s="2" t="str" cm="1">
        <f t="array" ref="R663">_xlfn.IFS(Q663&lt;18.5,"Underweight",
AND(Q663&gt;=18.5,Q663&lt;25),"Normal Weight",
AND(Q663&gt;=25,Q663&lt;30),"Overweight",
Q663&gt;=30,"Obesity")</f>
        <v>Obesity</v>
      </c>
      <c r="S663" s="2">
        <f t="shared" si="10"/>
        <v>638.80597014925365</v>
      </c>
      <c r="T663" s="2" t="str" cm="1">
        <f t="array" ref="T663">_xlfn.IFS(N663&lt;=2.5,"Low",N663&lt;=3,"Medium",N663&gt;3,"High")</f>
        <v>Medium</v>
      </c>
    </row>
    <row r="664" spans="1:20" x14ac:dyDescent="0.3">
      <c r="A664" s="2">
        <v>663</v>
      </c>
      <c r="B664" s="2" t="s">
        <v>26</v>
      </c>
      <c r="C664" s="2">
        <v>30</v>
      </c>
      <c r="D664" s="2" t="s">
        <v>15</v>
      </c>
      <c r="E664" s="2">
        <v>62.9</v>
      </c>
      <c r="F664" s="2">
        <v>1.92</v>
      </c>
      <c r="G664" s="2">
        <v>170</v>
      </c>
      <c r="H664" s="2">
        <v>127</v>
      </c>
      <c r="I664" s="2">
        <v>70</v>
      </c>
      <c r="J664" s="2">
        <v>1.1299999999999999</v>
      </c>
      <c r="K664" s="2">
        <v>789</v>
      </c>
      <c r="L664" s="2" t="s">
        <v>18</v>
      </c>
      <c r="M664" s="2">
        <v>25.2</v>
      </c>
      <c r="N664" s="2">
        <v>3.6</v>
      </c>
      <c r="O664" s="2">
        <v>2</v>
      </c>
      <c r="P664" s="2">
        <v>1</v>
      </c>
      <c r="Q664" s="2">
        <v>17.059999999999999</v>
      </c>
      <c r="R664" s="2" t="str" cm="1">
        <f t="array" ref="R664">_xlfn.IFS(Q664&lt;18.5,"Underweight",
AND(Q664&gt;=18.5,Q664&lt;25),"Normal Weight",
AND(Q664&gt;=25,Q664&lt;30),"Overweight",
Q664&gt;=30,"Obesity")</f>
        <v>Underweight</v>
      </c>
      <c r="S664" s="2">
        <f t="shared" si="10"/>
        <v>698.23008849557527</v>
      </c>
      <c r="T664" s="2" t="str" cm="1">
        <f t="array" ref="T664">_xlfn.IFS(N664&lt;=2.5,"Low",N664&lt;=3,"Medium",N664&gt;3,"High")</f>
        <v>High</v>
      </c>
    </row>
    <row r="665" spans="1:20" x14ac:dyDescent="0.3">
      <c r="A665" s="2">
        <v>664</v>
      </c>
      <c r="B665" s="2" t="s">
        <v>24</v>
      </c>
      <c r="C665" s="2">
        <v>50</v>
      </c>
      <c r="D665" s="2" t="s">
        <v>16</v>
      </c>
      <c r="E665" s="2">
        <v>56.5</v>
      </c>
      <c r="F665" s="2">
        <v>1.6</v>
      </c>
      <c r="G665" s="2">
        <v>196</v>
      </c>
      <c r="H665" s="2">
        <v>140</v>
      </c>
      <c r="I665" s="2">
        <v>61</v>
      </c>
      <c r="J665" s="2">
        <v>1.88</v>
      </c>
      <c r="K665" s="2">
        <v>1184</v>
      </c>
      <c r="L665" s="2" t="s">
        <v>17</v>
      </c>
      <c r="M665" s="2">
        <v>19.2</v>
      </c>
      <c r="N665" s="2">
        <v>2.7</v>
      </c>
      <c r="O665" s="2">
        <v>5</v>
      </c>
      <c r="P665" s="2">
        <v>3</v>
      </c>
      <c r="Q665" s="2">
        <v>22.07</v>
      </c>
      <c r="R665" s="2" t="str" cm="1">
        <f t="array" ref="R665">_xlfn.IFS(Q665&lt;18.5,"Underweight",
AND(Q665&gt;=18.5,Q665&lt;25),"Normal Weight",
AND(Q665&gt;=25,Q665&lt;30),"Overweight",
Q665&gt;=30,"Obesity")</f>
        <v>Normal Weight</v>
      </c>
      <c r="S665" s="2">
        <f t="shared" si="10"/>
        <v>629.78723404255322</v>
      </c>
      <c r="T665" s="2" t="str" cm="1">
        <f t="array" ref="T665">_xlfn.IFS(N665&lt;=2.5,"Low",N665&lt;=3,"Medium",N665&gt;3,"High")</f>
        <v>Medium</v>
      </c>
    </row>
    <row r="666" spans="1:20" x14ac:dyDescent="0.3">
      <c r="A666" s="2">
        <v>665</v>
      </c>
      <c r="B666" s="2" t="s">
        <v>21</v>
      </c>
      <c r="C666" s="2">
        <v>51</v>
      </c>
      <c r="D666" s="2" t="s">
        <v>16</v>
      </c>
      <c r="E666" s="2">
        <v>74.599999999999994</v>
      </c>
      <c r="F666" s="2">
        <v>1.55</v>
      </c>
      <c r="G666" s="2">
        <v>177</v>
      </c>
      <c r="H666" s="2">
        <v>132</v>
      </c>
      <c r="I666" s="2">
        <v>50</v>
      </c>
      <c r="J666" s="2">
        <v>0.71</v>
      </c>
      <c r="K666" s="2">
        <v>422</v>
      </c>
      <c r="L666" s="2" t="s">
        <v>19</v>
      </c>
      <c r="M666" s="2">
        <v>33.299999999999997</v>
      </c>
      <c r="N666" s="2">
        <v>2.1</v>
      </c>
      <c r="O666" s="2">
        <v>2</v>
      </c>
      <c r="P666" s="2">
        <v>1</v>
      </c>
      <c r="Q666" s="2">
        <v>31.05</v>
      </c>
      <c r="R666" s="2" t="str" cm="1">
        <f t="array" ref="R666">_xlfn.IFS(Q666&lt;18.5,"Underweight",
AND(Q666&gt;=18.5,Q666&lt;25),"Normal Weight",
AND(Q666&gt;=25,Q666&lt;30),"Overweight",
Q666&gt;=30,"Obesity")</f>
        <v>Obesity</v>
      </c>
      <c r="S666" s="2">
        <f t="shared" si="10"/>
        <v>594.36619718309862</v>
      </c>
      <c r="T666" s="2" t="str" cm="1">
        <f t="array" ref="T666">_xlfn.IFS(N666&lt;=2.5,"Low",N666&lt;=3,"Medium",N666&gt;3,"High")</f>
        <v>Low</v>
      </c>
    </row>
    <row r="667" spans="1:20" x14ac:dyDescent="0.3">
      <c r="A667" s="2">
        <v>666</v>
      </c>
      <c r="B667" s="2" t="s">
        <v>24</v>
      </c>
      <c r="C667" s="2">
        <v>58</v>
      </c>
      <c r="D667" s="2" t="s">
        <v>15</v>
      </c>
      <c r="E667" s="2">
        <v>52</v>
      </c>
      <c r="F667" s="2">
        <v>1.79</v>
      </c>
      <c r="G667" s="2">
        <v>173</v>
      </c>
      <c r="H667" s="2">
        <v>169</v>
      </c>
      <c r="I667" s="2">
        <v>52</v>
      </c>
      <c r="J667" s="2">
        <v>1.1200000000000001</v>
      </c>
      <c r="K667" s="2">
        <v>937</v>
      </c>
      <c r="L667" s="2" t="s">
        <v>18</v>
      </c>
      <c r="M667" s="2">
        <v>29.6</v>
      </c>
      <c r="N667" s="2">
        <v>3</v>
      </c>
      <c r="O667" s="2">
        <v>3</v>
      </c>
      <c r="P667" s="2">
        <v>1</v>
      </c>
      <c r="Q667" s="2">
        <v>16.23</v>
      </c>
      <c r="R667" s="2" t="str" cm="1">
        <f t="array" ref="R667">_xlfn.IFS(Q667&lt;18.5,"Underweight",
AND(Q667&gt;=18.5,Q667&lt;25),"Normal Weight",
AND(Q667&gt;=25,Q667&lt;30),"Overweight",
Q667&gt;=30,"Obesity")</f>
        <v>Underweight</v>
      </c>
      <c r="S667" s="2">
        <f t="shared" si="10"/>
        <v>836.60714285714278</v>
      </c>
      <c r="T667" s="2" t="str" cm="1">
        <f t="array" ref="T667">_xlfn.IFS(N667&lt;=2.5,"Low",N667&lt;=3,"Medium",N667&gt;3,"High")</f>
        <v>Medium</v>
      </c>
    </row>
    <row r="668" spans="1:20" x14ac:dyDescent="0.3">
      <c r="A668" s="2">
        <v>667</v>
      </c>
      <c r="B668" s="2" t="s">
        <v>24</v>
      </c>
      <c r="C668" s="2">
        <v>52</v>
      </c>
      <c r="D668" s="2" t="s">
        <v>16</v>
      </c>
      <c r="E668" s="2">
        <v>52.1</v>
      </c>
      <c r="F668" s="2">
        <v>1.67</v>
      </c>
      <c r="G668" s="2">
        <v>169</v>
      </c>
      <c r="H668" s="2">
        <v>124</v>
      </c>
      <c r="I668" s="2">
        <v>52</v>
      </c>
      <c r="J668" s="2">
        <v>1.5</v>
      </c>
      <c r="K668" s="2">
        <v>837</v>
      </c>
      <c r="L668" s="2" t="s">
        <v>17</v>
      </c>
      <c r="M668" s="2">
        <v>32</v>
      </c>
      <c r="N668" s="2">
        <v>1.5</v>
      </c>
      <c r="O668" s="2">
        <v>2</v>
      </c>
      <c r="P668" s="2">
        <v>1</v>
      </c>
      <c r="Q668" s="2">
        <v>18.68</v>
      </c>
      <c r="R668" s="2" t="str" cm="1">
        <f t="array" ref="R668">_xlfn.IFS(Q668&lt;18.5,"Underweight",
AND(Q668&gt;=18.5,Q668&lt;25),"Normal Weight",
AND(Q668&gt;=25,Q668&lt;30),"Overweight",
Q668&gt;=30,"Obesity")</f>
        <v>Normal Weight</v>
      </c>
      <c r="S668" s="2">
        <f t="shared" si="10"/>
        <v>558</v>
      </c>
      <c r="T668" s="2" t="str" cm="1">
        <f t="array" ref="T668">_xlfn.IFS(N668&lt;=2.5,"Low",N668&lt;=3,"Medium",N668&gt;3,"High")</f>
        <v>Low</v>
      </c>
    </row>
    <row r="669" spans="1:20" x14ac:dyDescent="0.3">
      <c r="A669" s="2">
        <v>668</v>
      </c>
      <c r="B669" s="2" t="s">
        <v>24</v>
      </c>
      <c r="C669" s="2">
        <v>18</v>
      </c>
      <c r="D669" s="2" t="s">
        <v>16</v>
      </c>
      <c r="E669" s="2">
        <v>72.2</v>
      </c>
      <c r="F669" s="2">
        <v>1.54</v>
      </c>
      <c r="G669" s="2">
        <v>194</v>
      </c>
      <c r="H669" s="2">
        <v>125</v>
      </c>
      <c r="I669" s="2">
        <v>54</v>
      </c>
      <c r="J669" s="2">
        <v>0.97</v>
      </c>
      <c r="K669" s="2">
        <v>606</v>
      </c>
      <c r="L669" s="2" t="s">
        <v>20</v>
      </c>
      <c r="M669" s="2">
        <v>27.1</v>
      </c>
      <c r="N669" s="2">
        <v>1.7</v>
      </c>
      <c r="O669" s="2">
        <v>2</v>
      </c>
      <c r="P669" s="2">
        <v>1</v>
      </c>
      <c r="Q669" s="2">
        <v>30.44</v>
      </c>
      <c r="R669" s="2" t="str" cm="1">
        <f t="array" ref="R669">_xlfn.IFS(Q669&lt;18.5,"Underweight",
AND(Q669&gt;=18.5,Q669&lt;25),"Normal Weight",
AND(Q669&gt;=25,Q669&lt;30),"Overweight",
Q669&gt;=30,"Obesity")</f>
        <v>Obesity</v>
      </c>
      <c r="S669" s="2">
        <f t="shared" si="10"/>
        <v>624.74226804123714</v>
      </c>
      <c r="T669" s="2" t="str" cm="1">
        <f t="array" ref="T669">_xlfn.IFS(N669&lt;=2.5,"Low",N669&lt;=3,"Medium",N669&gt;3,"High")</f>
        <v>Low</v>
      </c>
    </row>
    <row r="670" spans="1:20" x14ac:dyDescent="0.3">
      <c r="A670" s="2">
        <v>669</v>
      </c>
      <c r="B670" s="2" t="s">
        <v>25</v>
      </c>
      <c r="C670" s="2">
        <v>38</v>
      </c>
      <c r="D670" s="2" t="s">
        <v>15</v>
      </c>
      <c r="E670" s="2">
        <v>85.8</v>
      </c>
      <c r="F670" s="2">
        <v>1.8</v>
      </c>
      <c r="G670" s="2">
        <v>168</v>
      </c>
      <c r="H670" s="2">
        <v>149</v>
      </c>
      <c r="I670" s="2">
        <v>68</v>
      </c>
      <c r="J670" s="2">
        <v>1.72</v>
      </c>
      <c r="K670" s="2">
        <v>1410</v>
      </c>
      <c r="L670" s="2" t="s">
        <v>19</v>
      </c>
      <c r="M670" s="2">
        <v>10.1</v>
      </c>
      <c r="N670" s="2">
        <v>3.5</v>
      </c>
      <c r="O670" s="2">
        <v>4</v>
      </c>
      <c r="P670" s="2">
        <v>3</v>
      </c>
      <c r="Q670" s="2">
        <v>26.48</v>
      </c>
      <c r="R670" s="2" t="str" cm="1">
        <f t="array" ref="R670">_xlfn.IFS(Q670&lt;18.5,"Underweight",
AND(Q670&gt;=18.5,Q670&lt;25),"Normal Weight",
AND(Q670&gt;=25,Q670&lt;30),"Overweight",
Q670&gt;=30,"Obesity")</f>
        <v>Overweight</v>
      </c>
      <c r="S670" s="2">
        <f t="shared" si="10"/>
        <v>819.76744186046517</v>
      </c>
      <c r="T670" s="2" t="str" cm="1">
        <f t="array" ref="T670">_xlfn.IFS(N670&lt;=2.5,"Low",N670&lt;=3,"Medium",N670&gt;3,"High")</f>
        <v>High</v>
      </c>
    </row>
    <row r="671" spans="1:20" x14ac:dyDescent="0.3">
      <c r="A671" s="2">
        <v>670</v>
      </c>
      <c r="B671" s="2" t="s">
        <v>25</v>
      </c>
      <c r="C671" s="2">
        <v>23</v>
      </c>
      <c r="D671" s="2" t="s">
        <v>15</v>
      </c>
      <c r="E671" s="2">
        <v>81.400000000000006</v>
      </c>
      <c r="F671" s="2">
        <v>1.85</v>
      </c>
      <c r="G671" s="2">
        <v>194</v>
      </c>
      <c r="H671" s="2">
        <v>150</v>
      </c>
      <c r="I671" s="2">
        <v>74</v>
      </c>
      <c r="J671" s="2">
        <v>1.6</v>
      </c>
      <c r="K671" s="2">
        <v>1320</v>
      </c>
      <c r="L671" s="2" t="s">
        <v>19</v>
      </c>
      <c r="M671" s="2">
        <v>12.4</v>
      </c>
      <c r="N671" s="2">
        <v>3.5</v>
      </c>
      <c r="O671" s="2">
        <v>4</v>
      </c>
      <c r="P671" s="2">
        <v>3</v>
      </c>
      <c r="Q671" s="2">
        <v>23.78</v>
      </c>
      <c r="R671" s="2" t="str" cm="1">
        <f t="array" ref="R671">_xlfn.IFS(Q671&lt;18.5,"Underweight",
AND(Q671&gt;=18.5,Q671&lt;25),"Normal Weight",
AND(Q671&gt;=25,Q671&lt;30),"Overweight",
Q671&gt;=30,"Obesity")</f>
        <v>Normal Weight</v>
      </c>
      <c r="S671" s="2">
        <f t="shared" si="10"/>
        <v>825</v>
      </c>
      <c r="T671" s="2" t="str" cm="1">
        <f t="array" ref="T671">_xlfn.IFS(N671&lt;=2.5,"Low",N671&lt;=3,"Medium",N671&gt;3,"High")</f>
        <v>High</v>
      </c>
    </row>
    <row r="672" spans="1:20" x14ac:dyDescent="0.3">
      <c r="A672" s="2">
        <v>671</v>
      </c>
      <c r="B672" s="2" t="s">
        <v>26</v>
      </c>
      <c r="C672" s="2">
        <v>45</v>
      </c>
      <c r="D672" s="2" t="s">
        <v>16</v>
      </c>
      <c r="E672" s="2">
        <v>50.9</v>
      </c>
      <c r="F672" s="2">
        <v>1.65</v>
      </c>
      <c r="G672" s="2">
        <v>170</v>
      </c>
      <c r="H672" s="2">
        <v>136</v>
      </c>
      <c r="I672" s="2">
        <v>50</v>
      </c>
      <c r="J672" s="2">
        <v>1.45</v>
      </c>
      <c r="K672" s="2">
        <v>887</v>
      </c>
      <c r="L672" s="2" t="s">
        <v>20</v>
      </c>
      <c r="M672" s="2">
        <v>30.1</v>
      </c>
      <c r="N672" s="2">
        <v>2.2999999999999998</v>
      </c>
      <c r="O672" s="2">
        <v>2</v>
      </c>
      <c r="P672" s="2">
        <v>1</v>
      </c>
      <c r="Q672" s="2">
        <v>18.7</v>
      </c>
      <c r="R672" s="2" t="str" cm="1">
        <f t="array" ref="R672">_xlfn.IFS(Q672&lt;18.5,"Underweight",
AND(Q672&gt;=18.5,Q672&lt;25),"Normal Weight",
AND(Q672&gt;=25,Q672&lt;30),"Overweight",
Q672&gt;=30,"Obesity")</f>
        <v>Normal Weight</v>
      </c>
      <c r="S672" s="2">
        <f t="shared" si="10"/>
        <v>611.72413793103453</v>
      </c>
      <c r="T672" s="2" t="str" cm="1">
        <f t="array" ref="T672">_xlfn.IFS(N672&lt;=2.5,"Low",N672&lt;=3,"Medium",N672&gt;3,"High")</f>
        <v>Low</v>
      </c>
    </row>
    <row r="673" spans="1:20" x14ac:dyDescent="0.3">
      <c r="A673" s="2">
        <v>672</v>
      </c>
      <c r="B673" s="2" t="s">
        <v>29</v>
      </c>
      <c r="C673" s="2">
        <v>34</v>
      </c>
      <c r="D673" s="2" t="s">
        <v>15</v>
      </c>
      <c r="E673" s="2">
        <v>52</v>
      </c>
      <c r="F673" s="2">
        <v>1.78</v>
      </c>
      <c r="G673" s="2">
        <v>171</v>
      </c>
      <c r="H673" s="2">
        <v>130</v>
      </c>
      <c r="I673" s="2">
        <v>53</v>
      </c>
      <c r="J673" s="2">
        <v>1.38</v>
      </c>
      <c r="K673" s="2">
        <v>987</v>
      </c>
      <c r="L673" s="2" t="s">
        <v>20</v>
      </c>
      <c r="M673" s="2">
        <v>22.4</v>
      </c>
      <c r="N673" s="2">
        <v>2.7</v>
      </c>
      <c r="O673" s="2">
        <v>4</v>
      </c>
      <c r="P673" s="2">
        <v>2</v>
      </c>
      <c r="Q673" s="2">
        <v>16.41</v>
      </c>
      <c r="R673" s="2" t="str" cm="1">
        <f t="array" ref="R673">_xlfn.IFS(Q673&lt;18.5,"Underweight",
AND(Q673&gt;=18.5,Q673&lt;25),"Normal Weight",
AND(Q673&gt;=25,Q673&lt;30),"Overweight",
Q673&gt;=30,"Obesity")</f>
        <v>Underweight</v>
      </c>
      <c r="S673" s="2">
        <f t="shared" si="10"/>
        <v>715.21739130434787</v>
      </c>
      <c r="T673" s="2" t="str" cm="1">
        <f t="array" ref="T673">_xlfn.IFS(N673&lt;=2.5,"Low",N673&lt;=3,"Medium",N673&gt;3,"High")</f>
        <v>Medium</v>
      </c>
    </row>
    <row r="674" spans="1:20" x14ac:dyDescent="0.3">
      <c r="A674" s="2">
        <v>673</v>
      </c>
      <c r="B674" s="2" t="s">
        <v>24</v>
      </c>
      <c r="C674" s="2">
        <v>22</v>
      </c>
      <c r="D674" s="2" t="s">
        <v>15</v>
      </c>
      <c r="E674" s="2">
        <v>71</v>
      </c>
      <c r="F674" s="2">
        <v>1.93</v>
      </c>
      <c r="G674" s="2">
        <v>162</v>
      </c>
      <c r="H674" s="2">
        <v>139</v>
      </c>
      <c r="I674" s="2">
        <v>53</v>
      </c>
      <c r="J674" s="2">
        <v>1.42</v>
      </c>
      <c r="K674" s="2">
        <v>1086</v>
      </c>
      <c r="L674" s="2" t="s">
        <v>17</v>
      </c>
      <c r="M674" s="2">
        <v>21.2</v>
      </c>
      <c r="N674" s="2">
        <v>2.9</v>
      </c>
      <c r="O674" s="2">
        <v>4</v>
      </c>
      <c r="P674" s="2">
        <v>2</v>
      </c>
      <c r="Q674" s="2">
        <v>19.059999999999999</v>
      </c>
      <c r="R674" s="2" t="str" cm="1">
        <f t="array" ref="R674">_xlfn.IFS(Q674&lt;18.5,"Underweight",
AND(Q674&gt;=18.5,Q674&lt;25),"Normal Weight",
AND(Q674&gt;=25,Q674&lt;30),"Overweight",
Q674&gt;=30,"Obesity")</f>
        <v>Normal Weight</v>
      </c>
      <c r="S674" s="2">
        <f t="shared" si="10"/>
        <v>764.78873239436621</v>
      </c>
      <c r="T674" s="2" t="str" cm="1">
        <f t="array" ref="T674">_xlfn.IFS(N674&lt;=2.5,"Low",N674&lt;=3,"Medium",N674&gt;3,"High")</f>
        <v>Medium</v>
      </c>
    </row>
    <row r="675" spans="1:20" x14ac:dyDescent="0.3">
      <c r="A675" s="2">
        <v>674</v>
      </c>
      <c r="B675" s="2" t="s">
        <v>30</v>
      </c>
      <c r="C675" s="2">
        <v>48</v>
      </c>
      <c r="D675" s="2" t="s">
        <v>15</v>
      </c>
      <c r="E675" s="2">
        <v>80.599999999999994</v>
      </c>
      <c r="F675" s="2">
        <v>1.77</v>
      </c>
      <c r="G675" s="2">
        <v>198</v>
      </c>
      <c r="H675" s="2">
        <v>167</v>
      </c>
      <c r="I675" s="2">
        <v>66</v>
      </c>
      <c r="J675" s="2">
        <v>1.51</v>
      </c>
      <c r="K675" s="2">
        <v>1248</v>
      </c>
      <c r="L675" s="2" t="s">
        <v>19</v>
      </c>
      <c r="M675" s="2">
        <v>12.9</v>
      </c>
      <c r="N675" s="2">
        <v>3.5</v>
      </c>
      <c r="O675" s="2">
        <v>4</v>
      </c>
      <c r="P675" s="2">
        <v>3</v>
      </c>
      <c r="Q675" s="2">
        <v>25.73</v>
      </c>
      <c r="R675" s="2" t="str" cm="1">
        <f t="array" ref="R675">_xlfn.IFS(Q675&lt;18.5,"Underweight",
AND(Q675&gt;=18.5,Q675&lt;25),"Normal Weight",
AND(Q675&gt;=25,Q675&lt;30),"Overweight",
Q675&gt;=30,"Obesity")</f>
        <v>Overweight</v>
      </c>
      <c r="S675" s="2">
        <f t="shared" si="10"/>
        <v>826.49006622516561</v>
      </c>
      <c r="T675" s="2" t="str" cm="1">
        <f t="array" ref="T675">_xlfn.IFS(N675&lt;=2.5,"Low",N675&lt;=3,"Medium",N675&gt;3,"High")</f>
        <v>High</v>
      </c>
    </row>
    <row r="676" spans="1:20" x14ac:dyDescent="0.3">
      <c r="A676" s="2">
        <v>675</v>
      </c>
      <c r="B676" s="2" t="s">
        <v>29</v>
      </c>
      <c r="C676" s="2">
        <v>22</v>
      </c>
      <c r="D676" s="2" t="s">
        <v>16</v>
      </c>
      <c r="E676" s="2">
        <v>58.3</v>
      </c>
      <c r="F676" s="2">
        <v>1.72</v>
      </c>
      <c r="G676" s="2">
        <v>173</v>
      </c>
      <c r="H676" s="2">
        <v>128</v>
      </c>
      <c r="I676" s="2">
        <v>63</v>
      </c>
      <c r="J676" s="2">
        <v>1</v>
      </c>
      <c r="K676" s="2">
        <v>640</v>
      </c>
      <c r="L676" s="2" t="s">
        <v>17</v>
      </c>
      <c r="M676" s="2">
        <v>32.6</v>
      </c>
      <c r="N676" s="2">
        <v>1.6</v>
      </c>
      <c r="O676" s="2">
        <v>3</v>
      </c>
      <c r="P676" s="2">
        <v>2</v>
      </c>
      <c r="Q676" s="2">
        <v>19.71</v>
      </c>
      <c r="R676" s="2" t="str" cm="1">
        <f t="array" ref="R676">_xlfn.IFS(Q676&lt;18.5,"Underweight",
AND(Q676&gt;=18.5,Q676&lt;25),"Normal Weight",
AND(Q676&gt;=25,Q676&lt;30),"Overweight",
Q676&gt;=30,"Obesity")</f>
        <v>Normal Weight</v>
      </c>
      <c r="S676" s="2">
        <f t="shared" si="10"/>
        <v>640</v>
      </c>
      <c r="T676" s="2" t="str" cm="1">
        <f t="array" ref="T676">_xlfn.IFS(N676&lt;=2.5,"Low",N676&lt;=3,"Medium",N676&gt;3,"High")</f>
        <v>Low</v>
      </c>
    </row>
    <row r="677" spans="1:20" x14ac:dyDescent="0.3">
      <c r="A677" s="2">
        <v>676</v>
      </c>
      <c r="B677" s="2" t="s">
        <v>26</v>
      </c>
      <c r="C677" s="2">
        <v>55</v>
      </c>
      <c r="D677" s="2" t="s">
        <v>16</v>
      </c>
      <c r="E677" s="2">
        <v>63</v>
      </c>
      <c r="F677" s="2">
        <v>1.7</v>
      </c>
      <c r="G677" s="2">
        <v>187</v>
      </c>
      <c r="H677" s="2">
        <v>121</v>
      </c>
      <c r="I677" s="2">
        <v>67</v>
      </c>
      <c r="J677" s="2">
        <v>1.32</v>
      </c>
      <c r="K677" s="2">
        <v>719</v>
      </c>
      <c r="L677" s="2" t="s">
        <v>20</v>
      </c>
      <c r="M677" s="2">
        <v>34.9</v>
      </c>
      <c r="N677" s="2">
        <v>2.5</v>
      </c>
      <c r="O677" s="2">
        <v>3</v>
      </c>
      <c r="P677" s="2">
        <v>1</v>
      </c>
      <c r="Q677" s="2">
        <v>21.8</v>
      </c>
      <c r="R677" s="2" t="str" cm="1">
        <f t="array" ref="R677">_xlfn.IFS(Q677&lt;18.5,"Underweight",
AND(Q677&gt;=18.5,Q677&lt;25),"Normal Weight",
AND(Q677&gt;=25,Q677&lt;30),"Overweight",
Q677&gt;=30,"Obesity")</f>
        <v>Normal Weight</v>
      </c>
      <c r="S677" s="2">
        <f t="shared" si="10"/>
        <v>544.69696969696963</v>
      </c>
      <c r="T677" s="2" t="str" cm="1">
        <f t="array" ref="T677">_xlfn.IFS(N677&lt;=2.5,"Low",N677&lt;=3,"Medium",N677&gt;3,"High")</f>
        <v>Low</v>
      </c>
    </row>
    <row r="678" spans="1:20" x14ac:dyDescent="0.3">
      <c r="A678" s="2">
        <v>677</v>
      </c>
      <c r="B678" s="2" t="s">
        <v>22</v>
      </c>
      <c r="C678" s="2">
        <v>20</v>
      </c>
      <c r="D678" s="2" t="s">
        <v>15</v>
      </c>
      <c r="E678" s="2">
        <v>111</v>
      </c>
      <c r="F678" s="2">
        <v>1.94</v>
      </c>
      <c r="G678" s="2">
        <v>170</v>
      </c>
      <c r="H678" s="2">
        <v>156</v>
      </c>
      <c r="I678" s="2">
        <v>50</v>
      </c>
      <c r="J678" s="2">
        <v>1.02</v>
      </c>
      <c r="K678" s="2">
        <v>875</v>
      </c>
      <c r="L678" s="2" t="s">
        <v>19</v>
      </c>
      <c r="M678" s="2">
        <v>27.6</v>
      </c>
      <c r="N678" s="2">
        <v>3.3</v>
      </c>
      <c r="O678" s="2">
        <v>4</v>
      </c>
      <c r="P678" s="2">
        <v>2</v>
      </c>
      <c r="Q678" s="2">
        <v>29.49</v>
      </c>
      <c r="R678" s="2" t="str" cm="1">
        <f t="array" ref="R678">_xlfn.IFS(Q678&lt;18.5,"Underweight",
AND(Q678&gt;=18.5,Q678&lt;25),"Normal Weight",
AND(Q678&gt;=25,Q678&lt;30),"Overweight",
Q678&gt;=30,"Obesity")</f>
        <v>Overweight</v>
      </c>
      <c r="S678" s="2">
        <f t="shared" si="10"/>
        <v>857.84313725490199</v>
      </c>
      <c r="T678" s="2" t="str" cm="1">
        <f t="array" ref="T678">_xlfn.IFS(N678&lt;=2.5,"Low",N678&lt;=3,"Medium",N678&gt;3,"High")</f>
        <v>High</v>
      </c>
    </row>
    <row r="679" spans="1:20" x14ac:dyDescent="0.3">
      <c r="A679" s="2">
        <v>678</v>
      </c>
      <c r="B679" s="2" t="s">
        <v>29</v>
      </c>
      <c r="C679" s="2">
        <v>40</v>
      </c>
      <c r="D679" s="2" t="s">
        <v>16</v>
      </c>
      <c r="E679" s="2">
        <v>52.6</v>
      </c>
      <c r="F679" s="2">
        <v>1.66</v>
      </c>
      <c r="G679" s="2">
        <v>198</v>
      </c>
      <c r="H679" s="2">
        <v>120</v>
      </c>
      <c r="I679" s="2">
        <v>71</v>
      </c>
      <c r="J679" s="2">
        <v>1.27</v>
      </c>
      <c r="K679" s="2">
        <v>762</v>
      </c>
      <c r="L679" s="2" t="s">
        <v>20</v>
      </c>
      <c r="M679" s="2">
        <v>32.9</v>
      </c>
      <c r="N679" s="2">
        <v>1.7</v>
      </c>
      <c r="O679" s="2">
        <v>3</v>
      </c>
      <c r="P679" s="2">
        <v>2</v>
      </c>
      <c r="Q679" s="2">
        <v>19.09</v>
      </c>
      <c r="R679" s="2" t="str" cm="1">
        <f t="array" ref="R679">_xlfn.IFS(Q679&lt;18.5,"Underweight",
AND(Q679&gt;=18.5,Q679&lt;25),"Normal Weight",
AND(Q679&gt;=25,Q679&lt;30),"Overweight",
Q679&gt;=30,"Obesity")</f>
        <v>Normal Weight</v>
      </c>
      <c r="S679" s="2">
        <f t="shared" si="10"/>
        <v>600</v>
      </c>
      <c r="T679" s="2" t="str" cm="1">
        <f t="array" ref="T679">_xlfn.IFS(N679&lt;=2.5,"Low",N679&lt;=3,"Medium",N679&gt;3,"High")</f>
        <v>Low</v>
      </c>
    </row>
    <row r="680" spans="1:20" x14ac:dyDescent="0.3">
      <c r="A680" s="2">
        <v>679</v>
      </c>
      <c r="B680" s="2" t="s">
        <v>29</v>
      </c>
      <c r="C680" s="2">
        <v>54</v>
      </c>
      <c r="D680" s="2" t="s">
        <v>15</v>
      </c>
      <c r="E680" s="2">
        <v>116.4</v>
      </c>
      <c r="F680" s="2">
        <v>2</v>
      </c>
      <c r="G680" s="2">
        <v>184</v>
      </c>
      <c r="H680" s="2">
        <v>123</v>
      </c>
      <c r="I680" s="2">
        <v>65</v>
      </c>
      <c r="J680" s="2">
        <v>1.1299999999999999</v>
      </c>
      <c r="K680" s="2">
        <v>688</v>
      </c>
      <c r="L680" s="2" t="s">
        <v>17</v>
      </c>
      <c r="M680" s="2">
        <v>26.2</v>
      </c>
      <c r="N680" s="2">
        <v>3.1</v>
      </c>
      <c r="O680" s="2">
        <v>3</v>
      </c>
      <c r="P680" s="2">
        <v>1</v>
      </c>
      <c r="Q680" s="2">
        <v>29.1</v>
      </c>
      <c r="R680" s="2" t="str" cm="1">
        <f t="array" ref="R680">_xlfn.IFS(Q680&lt;18.5,"Underweight",
AND(Q680&gt;=18.5,Q680&lt;25),"Normal Weight",
AND(Q680&gt;=25,Q680&lt;30),"Overweight",
Q680&gt;=30,"Obesity")</f>
        <v>Overweight</v>
      </c>
      <c r="S680" s="2">
        <f t="shared" si="10"/>
        <v>608.84955752212397</v>
      </c>
      <c r="T680" s="2" t="str" cm="1">
        <f t="array" ref="T680">_xlfn.IFS(N680&lt;=2.5,"Low",N680&lt;=3,"Medium",N680&gt;3,"High")</f>
        <v>High</v>
      </c>
    </row>
    <row r="681" spans="1:20" x14ac:dyDescent="0.3">
      <c r="A681" s="2">
        <v>680</v>
      </c>
      <c r="B681" s="2" t="s">
        <v>23</v>
      </c>
      <c r="C681" s="2">
        <v>54</v>
      </c>
      <c r="D681" s="2" t="s">
        <v>16</v>
      </c>
      <c r="E681" s="2">
        <v>75.599999999999994</v>
      </c>
      <c r="F681" s="2">
        <v>1.61</v>
      </c>
      <c r="G681" s="2">
        <v>180</v>
      </c>
      <c r="H681" s="2">
        <v>155</v>
      </c>
      <c r="I681" s="2">
        <v>52</v>
      </c>
      <c r="J681" s="2">
        <v>1.41</v>
      </c>
      <c r="K681" s="2">
        <v>983</v>
      </c>
      <c r="L681" s="2" t="s">
        <v>17</v>
      </c>
      <c r="M681" s="2">
        <v>34.9</v>
      </c>
      <c r="N681" s="2">
        <v>2.5</v>
      </c>
      <c r="O681" s="2">
        <v>4</v>
      </c>
      <c r="P681" s="2">
        <v>2</v>
      </c>
      <c r="Q681" s="2">
        <v>29.17</v>
      </c>
      <c r="R681" s="2" t="str" cm="1">
        <f t="array" ref="R681">_xlfn.IFS(Q681&lt;18.5,"Underweight",
AND(Q681&gt;=18.5,Q681&lt;25),"Normal Weight",
AND(Q681&gt;=25,Q681&lt;30),"Overweight",
Q681&gt;=30,"Obesity")</f>
        <v>Overweight</v>
      </c>
      <c r="S681" s="2">
        <f t="shared" si="10"/>
        <v>697.16312056737593</v>
      </c>
      <c r="T681" s="2" t="str" cm="1">
        <f t="array" ref="T681">_xlfn.IFS(N681&lt;=2.5,"Low",N681&lt;=3,"Medium",N681&gt;3,"High")</f>
        <v>Low</v>
      </c>
    </row>
    <row r="682" spans="1:20" x14ac:dyDescent="0.3">
      <c r="A682" s="2">
        <v>681</v>
      </c>
      <c r="B682" s="2" t="s">
        <v>28</v>
      </c>
      <c r="C682" s="2">
        <v>27</v>
      </c>
      <c r="D682" s="2" t="s">
        <v>15</v>
      </c>
      <c r="E682" s="2">
        <v>61.6</v>
      </c>
      <c r="F682" s="2">
        <v>1.8</v>
      </c>
      <c r="G682" s="2">
        <v>169</v>
      </c>
      <c r="H682" s="2">
        <v>144</v>
      </c>
      <c r="I682" s="2">
        <v>72</v>
      </c>
      <c r="J682" s="2">
        <v>1.48</v>
      </c>
      <c r="K682" s="2">
        <v>1172</v>
      </c>
      <c r="L682" s="2" t="s">
        <v>17</v>
      </c>
      <c r="M682" s="2">
        <v>26.4</v>
      </c>
      <c r="N682" s="2">
        <v>3.1</v>
      </c>
      <c r="O682" s="2">
        <v>2</v>
      </c>
      <c r="P682" s="2">
        <v>1</v>
      </c>
      <c r="Q682" s="2">
        <v>19.010000000000002</v>
      </c>
      <c r="R682" s="2" t="str" cm="1">
        <f t="array" ref="R682">_xlfn.IFS(Q682&lt;18.5,"Underweight",
AND(Q682&gt;=18.5,Q682&lt;25),"Normal Weight",
AND(Q682&gt;=25,Q682&lt;30),"Overweight",
Q682&gt;=30,"Obesity")</f>
        <v>Normal Weight</v>
      </c>
      <c r="S682" s="2">
        <f t="shared" si="10"/>
        <v>791.89189189189187</v>
      </c>
      <c r="T682" s="2" t="str" cm="1">
        <f t="array" ref="T682">_xlfn.IFS(N682&lt;=2.5,"Low",N682&lt;=3,"Medium",N682&gt;3,"High")</f>
        <v>High</v>
      </c>
    </row>
    <row r="683" spans="1:20" x14ac:dyDescent="0.3">
      <c r="A683" s="2">
        <v>682</v>
      </c>
      <c r="B683" s="2" t="s">
        <v>23</v>
      </c>
      <c r="C683" s="2">
        <v>27</v>
      </c>
      <c r="D683" s="2" t="s">
        <v>15</v>
      </c>
      <c r="E683" s="2">
        <v>108</v>
      </c>
      <c r="F683" s="2">
        <v>1.8</v>
      </c>
      <c r="G683" s="2">
        <v>174</v>
      </c>
      <c r="H683" s="2">
        <v>122</v>
      </c>
      <c r="I683" s="2">
        <v>70</v>
      </c>
      <c r="J683" s="2">
        <v>1.38</v>
      </c>
      <c r="K683" s="2">
        <v>926</v>
      </c>
      <c r="L683" s="2" t="s">
        <v>19</v>
      </c>
      <c r="M683" s="2">
        <v>28.6</v>
      </c>
      <c r="N683" s="2">
        <v>2.5</v>
      </c>
      <c r="O683" s="2">
        <v>4</v>
      </c>
      <c r="P683" s="2">
        <v>2</v>
      </c>
      <c r="Q683" s="2">
        <v>33.33</v>
      </c>
      <c r="R683" s="2" t="str" cm="1">
        <f t="array" ref="R683">_xlfn.IFS(Q683&lt;18.5,"Underweight",
AND(Q683&gt;=18.5,Q683&lt;25),"Normal Weight",
AND(Q683&gt;=25,Q683&lt;30),"Overweight",
Q683&gt;=30,"Obesity")</f>
        <v>Obesity</v>
      </c>
      <c r="S683" s="2">
        <f t="shared" si="10"/>
        <v>671.01449275362324</v>
      </c>
      <c r="T683" s="2" t="str" cm="1">
        <f t="array" ref="T683">_xlfn.IFS(N683&lt;=2.5,"Low",N683&lt;=3,"Medium",N683&gt;3,"High")</f>
        <v>Low</v>
      </c>
    </row>
    <row r="684" spans="1:20" x14ac:dyDescent="0.3">
      <c r="A684" s="2">
        <v>683</v>
      </c>
      <c r="B684" s="2" t="s">
        <v>21</v>
      </c>
      <c r="C684" s="2">
        <v>36</v>
      </c>
      <c r="D684" s="2" t="s">
        <v>16</v>
      </c>
      <c r="E684" s="2">
        <v>59.3</v>
      </c>
      <c r="F684" s="2">
        <v>1.75</v>
      </c>
      <c r="G684" s="2">
        <v>178</v>
      </c>
      <c r="H684" s="2">
        <v>128</v>
      </c>
      <c r="I684" s="2">
        <v>58</v>
      </c>
      <c r="J684" s="2">
        <v>0.99</v>
      </c>
      <c r="K684" s="2">
        <v>634</v>
      </c>
      <c r="L684" s="2" t="s">
        <v>20</v>
      </c>
      <c r="M684" s="2">
        <v>34.5</v>
      </c>
      <c r="N684" s="2">
        <v>2.2999999999999998</v>
      </c>
      <c r="O684" s="2">
        <v>3</v>
      </c>
      <c r="P684" s="2">
        <v>1</v>
      </c>
      <c r="Q684" s="2">
        <v>19.36</v>
      </c>
      <c r="R684" s="2" t="str" cm="1">
        <f t="array" ref="R684">_xlfn.IFS(Q684&lt;18.5,"Underweight",
AND(Q684&gt;=18.5,Q684&lt;25),"Normal Weight",
AND(Q684&gt;=25,Q684&lt;30),"Overweight",
Q684&gt;=30,"Obesity")</f>
        <v>Normal Weight</v>
      </c>
      <c r="S684" s="2">
        <f t="shared" si="10"/>
        <v>640.40404040404042</v>
      </c>
      <c r="T684" s="2" t="str" cm="1">
        <f t="array" ref="T684">_xlfn.IFS(N684&lt;=2.5,"Low",N684&lt;=3,"Medium",N684&gt;3,"High")</f>
        <v>Low</v>
      </c>
    </row>
    <row r="685" spans="1:20" x14ac:dyDescent="0.3">
      <c r="A685" s="2">
        <v>684</v>
      </c>
      <c r="B685" s="2" t="s">
        <v>25</v>
      </c>
      <c r="C685" s="2">
        <v>34</v>
      </c>
      <c r="D685" s="2" t="s">
        <v>15</v>
      </c>
      <c r="E685" s="2">
        <v>75.7</v>
      </c>
      <c r="F685" s="2">
        <v>1.94</v>
      </c>
      <c r="G685" s="2">
        <v>181</v>
      </c>
      <c r="H685" s="2">
        <v>141</v>
      </c>
      <c r="I685" s="2">
        <v>72</v>
      </c>
      <c r="J685" s="2">
        <v>1.18</v>
      </c>
      <c r="K685" s="2">
        <v>915</v>
      </c>
      <c r="L685" s="2" t="s">
        <v>20</v>
      </c>
      <c r="M685" s="2">
        <v>29.3</v>
      </c>
      <c r="N685" s="2">
        <v>2.4</v>
      </c>
      <c r="O685" s="2">
        <v>4</v>
      </c>
      <c r="P685" s="2">
        <v>2</v>
      </c>
      <c r="Q685" s="2">
        <v>20.11</v>
      </c>
      <c r="R685" s="2" t="str" cm="1">
        <f t="array" ref="R685">_xlfn.IFS(Q685&lt;18.5,"Underweight",
AND(Q685&gt;=18.5,Q685&lt;25),"Normal Weight",
AND(Q685&gt;=25,Q685&lt;30),"Overweight",
Q685&gt;=30,"Obesity")</f>
        <v>Normal Weight</v>
      </c>
      <c r="S685" s="2">
        <f t="shared" si="10"/>
        <v>775.42372881355936</v>
      </c>
      <c r="T685" s="2" t="str" cm="1">
        <f t="array" ref="T685">_xlfn.IFS(N685&lt;=2.5,"Low",N685&lt;=3,"Medium",N685&gt;3,"High")</f>
        <v>Low</v>
      </c>
    </row>
    <row r="686" spans="1:20" x14ac:dyDescent="0.3">
      <c r="A686" s="2">
        <v>685</v>
      </c>
      <c r="B686" s="2" t="s">
        <v>25</v>
      </c>
      <c r="C686" s="2">
        <v>38</v>
      </c>
      <c r="D686" s="2" t="s">
        <v>16</v>
      </c>
      <c r="E686" s="2">
        <v>56.3</v>
      </c>
      <c r="F686" s="2">
        <v>1.6</v>
      </c>
      <c r="G686" s="2">
        <v>180</v>
      </c>
      <c r="H686" s="2">
        <v>142</v>
      </c>
      <c r="I686" s="2">
        <v>53</v>
      </c>
      <c r="J686" s="2">
        <v>1.21</v>
      </c>
      <c r="K686" s="2">
        <v>859</v>
      </c>
      <c r="L686" s="2" t="s">
        <v>17</v>
      </c>
      <c r="M686" s="2">
        <v>28.8</v>
      </c>
      <c r="N686" s="2">
        <v>1.9</v>
      </c>
      <c r="O686" s="2">
        <v>4</v>
      </c>
      <c r="P686" s="2">
        <v>2</v>
      </c>
      <c r="Q686" s="2">
        <v>21.99</v>
      </c>
      <c r="R686" s="2" t="str" cm="1">
        <f t="array" ref="R686">_xlfn.IFS(Q686&lt;18.5,"Underweight",
AND(Q686&gt;=18.5,Q686&lt;25),"Normal Weight",
AND(Q686&gt;=25,Q686&lt;30),"Overweight",
Q686&gt;=30,"Obesity")</f>
        <v>Normal Weight</v>
      </c>
      <c r="S686" s="2">
        <f t="shared" si="10"/>
        <v>709.91735537190084</v>
      </c>
      <c r="T686" s="2" t="str" cm="1">
        <f t="array" ref="T686">_xlfn.IFS(N686&lt;=2.5,"Low",N686&lt;=3,"Medium",N686&gt;3,"High")</f>
        <v>Low</v>
      </c>
    </row>
    <row r="687" spans="1:20" x14ac:dyDescent="0.3">
      <c r="A687" s="2">
        <v>686</v>
      </c>
      <c r="B687" s="2" t="s">
        <v>28</v>
      </c>
      <c r="C687" s="2">
        <v>31</v>
      </c>
      <c r="D687" s="2" t="s">
        <v>16</v>
      </c>
      <c r="E687" s="2">
        <v>58.2</v>
      </c>
      <c r="F687" s="2">
        <v>1.73</v>
      </c>
      <c r="G687" s="2">
        <v>191</v>
      </c>
      <c r="H687" s="2">
        <v>131</v>
      </c>
      <c r="I687" s="2">
        <v>70</v>
      </c>
      <c r="J687" s="2">
        <v>1.17</v>
      </c>
      <c r="K687" s="2">
        <v>766</v>
      </c>
      <c r="L687" s="2" t="s">
        <v>17</v>
      </c>
      <c r="M687" s="2">
        <v>25.8</v>
      </c>
      <c r="N687" s="2">
        <v>1.8</v>
      </c>
      <c r="O687" s="2">
        <v>3</v>
      </c>
      <c r="P687" s="2">
        <v>2</v>
      </c>
      <c r="Q687" s="2">
        <v>19.45</v>
      </c>
      <c r="R687" s="2" t="str" cm="1">
        <f t="array" ref="R687">_xlfn.IFS(Q687&lt;18.5,"Underweight",
AND(Q687&gt;=18.5,Q687&lt;25),"Normal Weight",
AND(Q687&gt;=25,Q687&lt;30),"Overweight",
Q687&gt;=30,"Obesity")</f>
        <v>Normal Weight</v>
      </c>
      <c r="S687" s="2">
        <f t="shared" si="10"/>
        <v>654.70085470085473</v>
      </c>
      <c r="T687" s="2" t="str" cm="1">
        <f t="array" ref="T687">_xlfn.IFS(N687&lt;=2.5,"Low",N687&lt;=3,"Medium",N687&gt;3,"High")</f>
        <v>Low</v>
      </c>
    </row>
    <row r="688" spans="1:20" x14ac:dyDescent="0.3">
      <c r="A688" s="2">
        <v>687</v>
      </c>
      <c r="B688" s="2" t="s">
        <v>27</v>
      </c>
      <c r="C688" s="2">
        <v>26</v>
      </c>
      <c r="D688" s="2" t="s">
        <v>15</v>
      </c>
      <c r="E688" s="2">
        <v>55.7</v>
      </c>
      <c r="F688" s="2">
        <v>1.68</v>
      </c>
      <c r="G688" s="2">
        <v>182</v>
      </c>
      <c r="H688" s="2">
        <v>129</v>
      </c>
      <c r="I688" s="2">
        <v>54</v>
      </c>
      <c r="J688" s="2">
        <v>1.1299999999999999</v>
      </c>
      <c r="K688" s="2">
        <v>802</v>
      </c>
      <c r="L688" s="2" t="s">
        <v>17</v>
      </c>
      <c r="M688" s="2">
        <v>21.7</v>
      </c>
      <c r="N688" s="2">
        <v>2.9</v>
      </c>
      <c r="O688" s="2">
        <v>3</v>
      </c>
      <c r="P688" s="2">
        <v>1</v>
      </c>
      <c r="Q688" s="2">
        <v>19.73</v>
      </c>
      <c r="R688" s="2" t="str" cm="1">
        <f t="array" ref="R688">_xlfn.IFS(Q688&lt;18.5,"Underweight",
AND(Q688&gt;=18.5,Q688&lt;25),"Normal Weight",
AND(Q688&gt;=25,Q688&lt;30),"Overweight",
Q688&gt;=30,"Obesity")</f>
        <v>Normal Weight</v>
      </c>
      <c r="S688" s="2">
        <f t="shared" si="10"/>
        <v>709.73451327433634</v>
      </c>
      <c r="T688" s="2" t="str" cm="1">
        <f t="array" ref="T688">_xlfn.IFS(N688&lt;=2.5,"Low",N688&lt;=3,"Medium",N688&gt;3,"High")</f>
        <v>Medium</v>
      </c>
    </row>
    <row r="689" spans="1:20" x14ac:dyDescent="0.3">
      <c r="A689" s="2">
        <v>688</v>
      </c>
      <c r="B689" s="2" t="s">
        <v>27</v>
      </c>
      <c r="C689" s="2">
        <v>18</v>
      </c>
      <c r="D689" s="2" t="s">
        <v>15</v>
      </c>
      <c r="E689" s="2">
        <v>125.9</v>
      </c>
      <c r="F689" s="2">
        <v>1.67</v>
      </c>
      <c r="G689" s="2">
        <v>172</v>
      </c>
      <c r="H689" s="2">
        <v>153</v>
      </c>
      <c r="I689" s="2">
        <v>60</v>
      </c>
      <c r="J689" s="2">
        <v>1.46</v>
      </c>
      <c r="K689" s="2">
        <v>1229</v>
      </c>
      <c r="L689" s="2" t="s">
        <v>17</v>
      </c>
      <c r="M689" s="2">
        <v>20.6</v>
      </c>
      <c r="N689" s="2">
        <v>2.2000000000000002</v>
      </c>
      <c r="O689" s="2">
        <v>3</v>
      </c>
      <c r="P689" s="2">
        <v>2</v>
      </c>
      <c r="Q689" s="2">
        <v>45.14</v>
      </c>
      <c r="R689" s="2" t="str" cm="1">
        <f t="array" ref="R689">_xlfn.IFS(Q689&lt;18.5,"Underweight",
AND(Q689&gt;=18.5,Q689&lt;25),"Normal Weight",
AND(Q689&gt;=25,Q689&lt;30),"Overweight",
Q689&gt;=30,"Obesity")</f>
        <v>Obesity</v>
      </c>
      <c r="S689" s="2">
        <f t="shared" si="10"/>
        <v>841.78082191780823</v>
      </c>
      <c r="T689" s="2" t="str" cm="1">
        <f t="array" ref="T689">_xlfn.IFS(N689&lt;=2.5,"Low",N689&lt;=3,"Medium",N689&gt;3,"High")</f>
        <v>Low</v>
      </c>
    </row>
    <row r="690" spans="1:20" x14ac:dyDescent="0.3">
      <c r="A690" s="2">
        <v>689</v>
      </c>
      <c r="B690" s="2" t="s">
        <v>26</v>
      </c>
      <c r="C690" s="2">
        <v>30</v>
      </c>
      <c r="D690" s="2" t="s">
        <v>16</v>
      </c>
      <c r="E690" s="2">
        <v>62.7</v>
      </c>
      <c r="F690" s="2">
        <v>1.67</v>
      </c>
      <c r="G690" s="2">
        <v>164</v>
      </c>
      <c r="H690" s="2">
        <v>162</v>
      </c>
      <c r="I690" s="2">
        <v>70</v>
      </c>
      <c r="J690" s="2">
        <v>1.02</v>
      </c>
      <c r="K690" s="2">
        <v>826</v>
      </c>
      <c r="L690" s="2" t="s">
        <v>18</v>
      </c>
      <c r="M690" s="2">
        <v>26.1</v>
      </c>
      <c r="N690" s="2">
        <v>2.6</v>
      </c>
      <c r="O690" s="2">
        <v>4</v>
      </c>
      <c r="P690" s="2">
        <v>2</v>
      </c>
      <c r="Q690" s="2">
        <v>22.48</v>
      </c>
      <c r="R690" s="2" t="str" cm="1">
        <f t="array" ref="R690">_xlfn.IFS(Q690&lt;18.5,"Underweight",
AND(Q690&gt;=18.5,Q690&lt;25),"Normal Weight",
AND(Q690&gt;=25,Q690&lt;30),"Overweight",
Q690&gt;=30,"Obesity")</f>
        <v>Normal Weight</v>
      </c>
      <c r="S690" s="2">
        <f t="shared" si="10"/>
        <v>809.8039215686274</v>
      </c>
      <c r="T690" s="2" t="str" cm="1">
        <f t="array" ref="T690">_xlfn.IFS(N690&lt;=2.5,"Low",N690&lt;=3,"Medium",N690&gt;3,"High")</f>
        <v>Medium</v>
      </c>
    </row>
    <row r="691" spans="1:20" x14ac:dyDescent="0.3">
      <c r="A691" s="2">
        <v>690</v>
      </c>
      <c r="B691" s="2" t="s">
        <v>28</v>
      </c>
      <c r="C691" s="2">
        <v>21</v>
      </c>
      <c r="D691" s="2" t="s">
        <v>15</v>
      </c>
      <c r="E691" s="2">
        <v>86.6</v>
      </c>
      <c r="F691" s="2">
        <v>1.86</v>
      </c>
      <c r="G691" s="2">
        <v>163</v>
      </c>
      <c r="H691" s="2">
        <v>129</v>
      </c>
      <c r="I691" s="2">
        <v>58</v>
      </c>
      <c r="J691" s="2">
        <v>1.37</v>
      </c>
      <c r="K691" s="2">
        <v>972</v>
      </c>
      <c r="L691" s="2" t="s">
        <v>18</v>
      </c>
      <c r="M691" s="2">
        <v>21.8</v>
      </c>
      <c r="N691" s="2">
        <v>2.6</v>
      </c>
      <c r="O691" s="2">
        <v>3</v>
      </c>
      <c r="P691" s="2">
        <v>2</v>
      </c>
      <c r="Q691" s="2">
        <v>25.03</v>
      </c>
      <c r="R691" s="2" t="str" cm="1">
        <f t="array" ref="R691">_xlfn.IFS(Q691&lt;18.5,"Underweight",
AND(Q691&gt;=18.5,Q691&lt;25),"Normal Weight",
AND(Q691&gt;=25,Q691&lt;30),"Overweight",
Q691&gt;=30,"Obesity")</f>
        <v>Overweight</v>
      </c>
      <c r="S691" s="2">
        <f t="shared" si="10"/>
        <v>709.48905109489044</v>
      </c>
      <c r="T691" s="2" t="str" cm="1">
        <f t="array" ref="T691">_xlfn.IFS(N691&lt;=2.5,"Low",N691&lt;=3,"Medium",N691&gt;3,"High")</f>
        <v>Medium</v>
      </c>
    </row>
    <row r="692" spans="1:20" x14ac:dyDescent="0.3">
      <c r="A692" s="2">
        <v>691</v>
      </c>
      <c r="B692" s="2" t="s">
        <v>29</v>
      </c>
      <c r="C692" s="2">
        <v>18</v>
      </c>
      <c r="D692" s="2" t="s">
        <v>15</v>
      </c>
      <c r="E692" s="2">
        <v>64.5</v>
      </c>
      <c r="F692" s="2">
        <v>1.82</v>
      </c>
      <c r="G692" s="2">
        <v>187</v>
      </c>
      <c r="H692" s="2">
        <v>149</v>
      </c>
      <c r="I692" s="2">
        <v>52</v>
      </c>
      <c r="J692" s="2">
        <v>1.2</v>
      </c>
      <c r="K692" s="2">
        <v>983</v>
      </c>
      <c r="L692" s="2" t="s">
        <v>18</v>
      </c>
      <c r="M692" s="2">
        <v>23.4</v>
      </c>
      <c r="N692" s="2">
        <v>2.4</v>
      </c>
      <c r="O692" s="2">
        <v>3</v>
      </c>
      <c r="P692" s="2">
        <v>2</v>
      </c>
      <c r="Q692" s="2">
        <v>19.47</v>
      </c>
      <c r="R692" s="2" t="str" cm="1">
        <f t="array" ref="R692">_xlfn.IFS(Q692&lt;18.5,"Underweight",
AND(Q692&gt;=18.5,Q692&lt;25),"Normal Weight",
AND(Q692&gt;=25,Q692&lt;30),"Overweight",
Q692&gt;=30,"Obesity")</f>
        <v>Normal Weight</v>
      </c>
      <c r="S692" s="2">
        <f t="shared" si="10"/>
        <v>819.16666666666674</v>
      </c>
      <c r="T692" s="2" t="str" cm="1">
        <f t="array" ref="T692">_xlfn.IFS(N692&lt;=2.5,"Low",N692&lt;=3,"Medium",N692&gt;3,"High")</f>
        <v>Low</v>
      </c>
    </row>
    <row r="693" spans="1:20" x14ac:dyDescent="0.3">
      <c r="A693" s="2">
        <v>692</v>
      </c>
      <c r="B693" s="2" t="s">
        <v>27</v>
      </c>
      <c r="C693" s="2">
        <v>57</v>
      </c>
      <c r="D693" s="2" t="s">
        <v>15</v>
      </c>
      <c r="E693" s="2">
        <v>76.599999999999994</v>
      </c>
      <c r="F693" s="2">
        <v>1.86</v>
      </c>
      <c r="G693" s="2">
        <v>173</v>
      </c>
      <c r="H693" s="2">
        <v>141</v>
      </c>
      <c r="I693" s="2">
        <v>55</v>
      </c>
      <c r="J693" s="2">
        <v>1.1399999999999999</v>
      </c>
      <c r="K693" s="2">
        <v>796</v>
      </c>
      <c r="L693" s="2" t="s">
        <v>17</v>
      </c>
      <c r="M693" s="2">
        <v>25.4</v>
      </c>
      <c r="N693" s="2">
        <v>2.8</v>
      </c>
      <c r="O693" s="2">
        <v>4</v>
      </c>
      <c r="P693" s="2">
        <v>2</v>
      </c>
      <c r="Q693" s="2">
        <v>22.14</v>
      </c>
      <c r="R693" s="2" t="str" cm="1">
        <f t="array" ref="R693">_xlfn.IFS(Q693&lt;18.5,"Underweight",
AND(Q693&gt;=18.5,Q693&lt;25),"Normal Weight",
AND(Q693&gt;=25,Q693&lt;30),"Overweight",
Q693&gt;=30,"Obesity")</f>
        <v>Normal Weight</v>
      </c>
      <c r="S693" s="2">
        <f t="shared" si="10"/>
        <v>698.24561403508778</v>
      </c>
      <c r="T693" s="2" t="str" cm="1">
        <f t="array" ref="T693">_xlfn.IFS(N693&lt;=2.5,"Low",N693&lt;=3,"Medium",N693&gt;3,"High")</f>
        <v>Medium</v>
      </c>
    </row>
    <row r="694" spans="1:20" x14ac:dyDescent="0.3">
      <c r="A694" s="2">
        <v>693</v>
      </c>
      <c r="B694" s="2" t="s">
        <v>24</v>
      </c>
      <c r="C694" s="2">
        <v>49</v>
      </c>
      <c r="D694" s="2" t="s">
        <v>15</v>
      </c>
      <c r="E694" s="2">
        <v>81.400000000000006</v>
      </c>
      <c r="F694" s="2">
        <v>1.83</v>
      </c>
      <c r="G694" s="2">
        <v>167</v>
      </c>
      <c r="H694" s="2">
        <v>125</v>
      </c>
      <c r="I694" s="2">
        <v>73</v>
      </c>
      <c r="J694" s="2">
        <v>1.98</v>
      </c>
      <c r="K694" s="2">
        <v>1225</v>
      </c>
      <c r="L694" s="2" t="s">
        <v>17</v>
      </c>
      <c r="M694" s="2">
        <v>13.6</v>
      </c>
      <c r="N694" s="2">
        <v>3.5</v>
      </c>
      <c r="O694" s="2">
        <v>5</v>
      </c>
      <c r="P694" s="2">
        <v>3</v>
      </c>
      <c r="Q694" s="2">
        <v>24.31</v>
      </c>
      <c r="R694" s="2" t="str" cm="1">
        <f t="array" ref="R694">_xlfn.IFS(Q694&lt;18.5,"Underweight",
AND(Q694&gt;=18.5,Q694&lt;25),"Normal Weight",
AND(Q694&gt;=25,Q694&lt;30),"Overweight",
Q694&gt;=30,"Obesity")</f>
        <v>Normal Weight</v>
      </c>
      <c r="S694" s="2">
        <f t="shared" si="10"/>
        <v>618.68686868686871</v>
      </c>
      <c r="T694" s="2" t="str" cm="1">
        <f t="array" ref="T694">_xlfn.IFS(N694&lt;=2.5,"Low",N694&lt;=3,"Medium",N694&gt;3,"High")</f>
        <v>High</v>
      </c>
    </row>
    <row r="695" spans="1:20" x14ac:dyDescent="0.3">
      <c r="A695" s="2">
        <v>694</v>
      </c>
      <c r="B695" s="2" t="s">
        <v>30</v>
      </c>
      <c r="C695" s="2">
        <v>51</v>
      </c>
      <c r="D695" s="2" t="s">
        <v>15</v>
      </c>
      <c r="E695" s="2">
        <v>60.7</v>
      </c>
      <c r="F695" s="2">
        <v>1.71</v>
      </c>
      <c r="G695" s="2">
        <v>168</v>
      </c>
      <c r="H695" s="2">
        <v>169</v>
      </c>
      <c r="I695" s="2">
        <v>60</v>
      </c>
      <c r="J695" s="2">
        <v>1.1399999999999999</v>
      </c>
      <c r="K695" s="2">
        <v>954</v>
      </c>
      <c r="L695" s="2" t="s">
        <v>20</v>
      </c>
      <c r="M695" s="2">
        <v>22.1</v>
      </c>
      <c r="N695" s="2">
        <v>2.5</v>
      </c>
      <c r="O695" s="2">
        <v>2</v>
      </c>
      <c r="P695" s="2">
        <v>1</v>
      </c>
      <c r="Q695" s="2">
        <v>20.76</v>
      </c>
      <c r="R695" s="2" t="str" cm="1">
        <f t="array" ref="R695">_xlfn.IFS(Q695&lt;18.5,"Underweight",
AND(Q695&gt;=18.5,Q695&lt;25),"Normal Weight",
AND(Q695&gt;=25,Q695&lt;30),"Overweight",
Q695&gt;=30,"Obesity")</f>
        <v>Normal Weight</v>
      </c>
      <c r="S695" s="2">
        <f t="shared" si="10"/>
        <v>836.84210526315792</v>
      </c>
      <c r="T695" s="2" t="str" cm="1">
        <f t="array" ref="T695">_xlfn.IFS(N695&lt;=2.5,"Low",N695&lt;=3,"Medium",N695&gt;3,"High")</f>
        <v>Low</v>
      </c>
    </row>
    <row r="696" spans="1:20" x14ac:dyDescent="0.3">
      <c r="A696" s="2">
        <v>695</v>
      </c>
      <c r="B696" s="2" t="s">
        <v>29</v>
      </c>
      <c r="C696" s="2">
        <v>45</v>
      </c>
      <c r="D696" s="2" t="s">
        <v>16</v>
      </c>
      <c r="E696" s="2">
        <v>57.2</v>
      </c>
      <c r="F696" s="2">
        <v>1.55</v>
      </c>
      <c r="G696" s="2">
        <v>194</v>
      </c>
      <c r="H696" s="2">
        <v>121</v>
      </c>
      <c r="I696" s="2">
        <v>58</v>
      </c>
      <c r="J696" s="2">
        <v>1.67</v>
      </c>
      <c r="K696" s="2">
        <v>909</v>
      </c>
      <c r="L696" s="2" t="s">
        <v>19</v>
      </c>
      <c r="M696" s="2">
        <v>18.399999999999999</v>
      </c>
      <c r="N696" s="2">
        <v>2.7</v>
      </c>
      <c r="O696" s="2">
        <v>5</v>
      </c>
      <c r="P696" s="2">
        <v>3</v>
      </c>
      <c r="Q696" s="2">
        <v>23.81</v>
      </c>
      <c r="R696" s="2" t="str" cm="1">
        <f t="array" ref="R696">_xlfn.IFS(Q696&lt;18.5,"Underweight",
AND(Q696&gt;=18.5,Q696&lt;25),"Normal Weight",
AND(Q696&gt;=25,Q696&lt;30),"Overweight",
Q696&gt;=30,"Obesity")</f>
        <v>Normal Weight</v>
      </c>
      <c r="S696" s="2">
        <f t="shared" si="10"/>
        <v>544.31137724550899</v>
      </c>
      <c r="T696" s="2" t="str" cm="1">
        <f t="array" ref="T696">_xlfn.IFS(N696&lt;=2.5,"Low",N696&lt;=3,"Medium",N696&gt;3,"High")</f>
        <v>Medium</v>
      </c>
    </row>
    <row r="697" spans="1:20" x14ac:dyDescent="0.3">
      <c r="A697" s="2">
        <v>696</v>
      </c>
      <c r="B697" s="2" t="s">
        <v>21</v>
      </c>
      <c r="C697" s="2">
        <v>48</v>
      </c>
      <c r="D697" s="2" t="s">
        <v>16</v>
      </c>
      <c r="E697" s="2">
        <v>73</v>
      </c>
      <c r="F697" s="2">
        <v>1.59</v>
      </c>
      <c r="G697" s="2">
        <v>196</v>
      </c>
      <c r="H697" s="2">
        <v>149</v>
      </c>
      <c r="I697" s="2">
        <v>64</v>
      </c>
      <c r="J697" s="2">
        <v>1.19</v>
      </c>
      <c r="K697" s="2">
        <v>798</v>
      </c>
      <c r="L697" s="2" t="s">
        <v>20</v>
      </c>
      <c r="M697" s="2">
        <v>32</v>
      </c>
      <c r="N697" s="2">
        <v>2.1</v>
      </c>
      <c r="O697" s="2">
        <v>3</v>
      </c>
      <c r="P697" s="2">
        <v>2</v>
      </c>
      <c r="Q697" s="2">
        <v>28.88</v>
      </c>
      <c r="R697" s="2" t="str" cm="1">
        <f t="array" ref="R697">_xlfn.IFS(Q697&lt;18.5,"Underweight",
AND(Q697&gt;=18.5,Q697&lt;25),"Normal Weight",
AND(Q697&gt;=25,Q697&lt;30),"Overweight",
Q697&gt;=30,"Obesity")</f>
        <v>Overweight</v>
      </c>
      <c r="S697" s="2">
        <f t="shared" si="10"/>
        <v>670.58823529411768</v>
      </c>
      <c r="T697" s="2" t="str" cm="1">
        <f t="array" ref="T697">_xlfn.IFS(N697&lt;=2.5,"Low",N697&lt;=3,"Medium",N697&gt;3,"High")</f>
        <v>Low</v>
      </c>
    </row>
    <row r="698" spans="1:20" x14ac:dyDescent="0.3">
      <c r="A698" s="2">
        <v>697</v>
      </c>
      <c r="B698" s="2" t="s">
        <v>24</v>
      </c>
      <c r="C698" s="2">
        <v>25</v>
      </c>
      <c r="D698" s="2" t="s">
        <v>15</v>
      </c>
      <c r="E698" s="2">
        <v>123.8</v>
      </c>
      <c r="F698" s="2">
        <v>1.99</v>
      </c>
      <c r="G698" s="2">
        <v>180</v>
      </c>
      <c r="H698" s="2">
        <v>121</v>
      </c>
      <c r="I698" s="2">
        <v>72</v>
      </c>
      <c r="J698" s="2">
        <v>1.1299999999999999</v>
      </c>
      <c r="K698" s="2">
        <v>752</v>
      </c>
      <c r="L698" s="2" t="s">
        <v>18</v>
      </c>
      <c r="M698" s="2">
        <v>25.6</v>
      </c>
      <c r="N698" s="2">
        <v>2.6</v>
      </c>
      <c r="O698" s="2">
        <v>3</v>
      </c>
      <c r="P698" s="2">
        <v>1</v>
      </c>
      <c r="Q698" s="2">
        <v>31.26</v>
      </c>
      <c r="R698" s="2" t="str" cm="1">
        <f t="array" ref="R698">_xlfn.IFS(Q698&lt;18.5,"Underweight",
AND(Q698&gt;=18.5,Q698&lt;25),"Normal Weight",
AND(Q698&gt;=25,Q698&lt;30),"Overweight",
Q698&gt;=30,"Obesity")</f>
        <v>Obesity</v>
      </c>
      <c r="S698" s="2">
        <f t="shared" si="10"/>
        <v>665.48672566371692</v>
      </c>
      <c r="T698" s="2" t="str" cm="1">
        <f t="array" ref="T698">_xlfn.IFS(N698&lt;=2.5,"Low",N698&lt;=3,"Medium",N698&gt;3,"High")</f>
        <v>Medium</v>
      </c>
    </row>
    <row r="699" spans="1:20" x14ac:dyDescent="0.3">
      <c r="A699" s="2">
        <v>698</v>
      </c>
      <c r="B699" s="2" t="s">
        <v>24</v>
      </c>
      <c r="C699" s="2">
        <v>56</v>
      </c>
      <c r="D699" s="2" t="s">
        <v>15</v>
      </c>
      <c r="E699" s="2">
        <v>93.6</v>
      </c>
      <c r="F699" s="2">
        <v>1.66</v>
      </c>
      <c r="G699" s="2">
        <v>177</v>
      </c>
      <c r="H699" s="2">
        <v>151</v>
      </c>
      <c r="I699" s="2">
        <v>52</v>
      </c>
      <c r="J699" s="2">
        <v>1.37</v>
      </c>
      <c r="K699" s="2">
        <v>1024</v>
      </c>
      <c r="L699" s="2" t="s">
        <v>20</v>
      </c>
      <c r="M699" s="2">
        <v>29</v>
      </c>
      <c r="N699" s="2">
        <v>2.2000000000000002</v>
      </c>
      <c r="O699" s="2">
        <v>2</v>
      </c>
      <c r="P699" s="2">
        <v>1</v>
      </c>
      <c r="Q699" s="2">
        <v>33.97</v>
      </c>
      <c r="R699" s="2" t="str" cm="1">
        <f t="array" ref="R699">_xlfn.IFS(Q699&lt;18.5,"Underweight",
AND(Q699&gt;=18.5,Q699&lt;25),"Normal Weight",
AND(Q699&gt;=25,Q699&lt;30),"Overweight",
Q699&gt;=30,"Obesity")</f>
        <v>Obesity</v>
      </c>
      <c r="S699" s="2">
        <f t="shared" si="10"/>
        <v>747.44525547445255</v>
      </c>
      <c r="T699" s="2" t="str" cm="1">
        <f t="array" ref="T699">_xlfn.IFS(N699&lt;=2.5,"Low",N699&lt;=3,"Medium",N699&gt;3,"High")</f>
        <v>Low</v>
      </c>
    </row>
    <row r="700" spans="1:20" x14ac:dyDescent="0.3">
      <c r="A700" s="2">
        <v>699</v>
      </c>
      <c r="B700" s="2" t="s">
        <v>28</v>
      </c>
      <c r="C700" s="2">
        <v>43</v>
      </c>
      <c r="D700" s="2" t="s">
        <v>15</v>
      </c>
      <c r="E700" s="2">
        <v>76.8</v>
      </c>
      <c r="F700" s="2">
        <v>1.92</v>
      </c>
      <c r="G700" s="2">
        <v>192</v>
      </c>
      <c r="H700" s="2">
        <v>161</v>
      </c>
      <c r="I700" s="2">
        <v>50</v>
      </c>
      <c r="J700" s="2">
        <v>1.24</v>
      </c>
      <c r="K700" s="2">
        <v>988</v>
      </c>
      <c r="L700" s="2" t="s">
        <v>17</v>
      </c>
      <c r="M700" s="2">
        <v>21.1</v>
      </c>
      <c r="N700" s="2">
        <v>2.5</v>
      </c>
      <c r="O700" s="2">
        <v>3</v>
      </c>
      <c r="P700" s="2">
        <v>1</v>
      </c>
      <c r="Q700" s="2">
        <v>20.83</v>
      </c>
      <c r="R700" s="2" t="str" cm="1">
        <f t="array" ref="R700">_xlfn.IFS(Q700&lt;18.5,"Underweight",
AND(Q700&gt;=18.5,Q700&lt;25),"Normal Weight",
AND(Q700&gt;=25,Q700&lt;30),"Overweight",
Q700&gt;=30,"Obesity")</f>
        <v>Normal Weight</v>
      </c>
      <c r="S700" s="2">
        <f t="shared" si="10"/>
        <v>796.77419354838707</v>
      </c>
      <c r="T700" s="2" t="str" cm="1">
        <f t="array" ref="T700">_xlfn.IFS(N700&lt;=2.5,"Low",N700&lt;=3,"Medium",N700&gt;3,"High")</f>
        <v>Low</v>
      </c>
    </row>
    <row r="701" spans="1:20" x14ac:dyDescent="0.3">
      <c r="A701" s="2">
        <v>700</v>
      </c>
      <c r="B701" s="2" t="s">
        <v>26</v>
      </c>
      <c r="C701" s="2">
        <v>51</v>
      </c>
      <c r="D701" s="2" t="s">
        <v>16</v>
      </c>
      <c r="E701" s="2">
        <v>54.7</v>
      </c>
      <c r="F701" s="2">
        <v>1.53</v>
      </c>
      <c r="G701" s="2">
        <v>167</v>
      </c>
      <c r="H701" s="2">
        <v>135</v>
      </c>
      <c r="I701" s="2">
        <v>69</v>
      </c>
      <c r="J701" s="2">
        <v>1.1100000000000001</v>
      </c>
      <c r="K701" s="2">
        <v>674</v>
      </c>
      <c r="L701" s="2" t="s">
        <v>18</v>
      </c>
      <c r="M701" s="2">
        <v>26.8</v>
      </c>
      <c r="N701" s="2">
        <v>2</v>
      </c>
      <c r="O701" s="2">
        <v>4</v>
      </c>
      <c r="P701" s="2">
        <v>2</v>
      </c>
      <c r="Q701" s="2">
        <v>23.37</v>
      </c>
      <c r="R701" s="2" t="str" cm="1">
        <f t="array" ref="R701">_xlfn.IFS(Q701&lt;18.5,"Underweight",
AND(Q701&gt;=18.5,Q701&lt;25),"Normal Weight",
AND(Q701&gt;=25,Q701&lt;30),"Overweight",
Q701&gt;=30,"Obesity")</f>
        <v>Normal Weight</v>
      </c>
      <c r="S701" s="2">
        <f t="shared" si="10"/>
        <v>607.20720720720715</v>
      </c>
      <c r="T701" s="2" t="str" cm="1">
        <f t="array" ref="T701">_xlfn.IFS(N701&lt;=2.5,"Low",N701&lt;=3,"Medium",N701&gt;3,"High")</f>
        <v>Low</v>
      </c>
    </row>
    <row r="702" spans="1:20" x14ac:dyDescent="0.3">
      <c r="A702" s="2">
        <v>701</v>
      </c>
      <c r="B702" s="2" t="s">
        <v>21</v>
      </c>
      <c r="C702" s="2">
        <v>20</v>
      </c>
      <c r="D702" s="2" t="s">
        <v>15</v>
      </c>
      <c r="E702" s="2">
        <v>92.3</v>
      </c>
      <c r="F702" s="2">
        <v>1.94</v>
      </c>
      <c r="G702" s="2">
        <v>176</v>
      </c>
      <c r="H702" s="2">
        <v>131</v>
      </c>
      <c r="I702" s="2">
        <v>71</v>
      </c>
      <c r="J702" s="2">
        <v>1.1399999999999999</v>
      </c>
      <c r="K702" s="2">
        <v>821</v>
      </c>
      <c r="L702" s="2" t="s">
        <v>18</v>
      </c>
      <c r="M702" s="2">
        <v>24.3</v>
      </c>
      <c r="N702" s="2">
        <v>2.1</v>
      </c>
      <c r="O702" s="2">
        <v>3</v>
      </c>
      <c r="P702" s="2">
        <v>2</v>
      </c>
      <c r="Q702" s="2">
        <v>24.52</v>
      </c>
      <c r="R702" s="2" t="str" cm="1">
        <f t="array" ref="R702">_xlfn.IFS(Q702&lt;18.5,"Underweight",
AND(Q702&gt;=18.5,Q702&lt;25),"Normal Weight",
AND(Q702&gt;=25,Q702&lt;30),"Overweight",
Q702&gt;=30,"Obesity")</f>
        <v>Normal Weight</v>
      </c>
      <c r="S702" s="2">
        <f t="shared" si="10"/>
        <v>720.17543859649129</v>
      </c>
      <c r="T702" s="2" t="str" cm="1">
        <f t="array" ref="T702">_xlfn.IFS(N702&lt;=2.5,"Low",N702&lt;=3,"Medium",N702&gt;3,"High")</f>
        <v>Low</v>
      </c>
    </row>
    <row r="703" spans="1:20" x14ac:dyDescent="0.3">
      <c r="A703" s="2">
        <v>702</v>
      </c>
      <c r="B703" s="2" t="s">
        <v>27</v>
      </c>
      <c r="C703" s="2">
        <v>29</v>
      </c>
      <c r="D703" s="2" t="s">
        <v>16</v>
      </c>
      <c r="E703" s="2">
        <v>71.8</v>
      </c>
      <c r="F703" s="2">
        <v>1.55</v>
      </c>
      <c r="G703" s="2">
        <v>190</v>
      </c>
      <c r="H703" s="2">
        <v>120</v>
      </c>
      <c r="I703" s="2">
        <v>68</v>
      </c>
      <c r="J703" s="2">
        <v>1.2</v>
      </c>
      <c r="K703" s="2">
        <v>720</v>
      </c>
      <c r="L703" s="2" t="s">
        <v>19</v>
      </c>
      <c r="M703" s="2">
        <v>26.3</v>
      </c>
      <c r="N703" s="2">
        <v>2.4</v>
      </c>
      <c r="O703" s="2">
        <v>4</v>
      </c>
      <c r="P703" s="2">
        <v>2</v>
      </c>
      <c r="Q703" s="2">
        <v>29.89</v>
      </c>
      <c r="R703" s="2" t="str" cm="1">
        <f t="array" ref="R703">_xlfn.IFS(Q703&lt;18.5,"Underweight",
AND(Q703&gt;=18.5,Q703&lt;25),"Normal Weight",
AND(Q703&gt;=25,Q703&lt;30),"Overweight",
Q703&gt;=30,"Obesity")</f>
        <v>Overweight</v>
      </c>
      <c r="S703" s="2">
        <f t="shared" si="10"/>
        <v>600</v>
      </c>
      <c r="T703" s="2" t="str" cm="1">
        <f t="array" ref="T703">_xlfn.IFS(N703&lt;=2.5,"Low",N703&lt;=3,"Medium",N703&gt;3,"High")</f>
        <v>Low</v>
      </c>
    </row>
    <row r="704" spans="1:20" x14ac:dyDescent="0.3">
      <c r="A704" s="2">
        <v>703</v>
      </c>
      <c r="B704" s="2" t="s">
        <v>28</v>
      </c>
      <c r="C704" s="2">
        <v>18</v>
      </c>
      <c r="D704" s="2" t="s">
        <v>16</v>
      </c>
      <c r="E704" s="2">
        <v>66.900000000000006</v>
      </c>
      <c r="F704" s="2">
        <v>1.57</v>
      </c>
      <c r="G704" s="2">
        <v>193</v>
      </c>
      <c r="H704" s="2">
        <v>127</v>
      </c>
      <c r="I704" s="2">
        <v>63</v>
      </c>
      <c r="J704" s="2">
        <v>1.07</v>
      </c>
      <c r="K704" s="2">
        <v>679</v>
      </c>
      <c r="L704" s="2" t="s">
        <v>19</v>
      </c>
      <c r="M704" s="2">
        <v>30.7</v>
      </c>
      <c r="N704" s="2">
        <v>2.2000000000000002</v>
      </c>
      <c r="O704" s="2">
        <v>3</v>
      </c>
      <c r="P704" s="2">
        <v>2</v>
      </c>
      <c r="Q704" s="2">
        <v>27.14</v>
      </c>
      <c r="R704" s="2" t="str" cm="1">
        <f t="array" ref="R704">_xlfn.IFS(Q704&lt;18.5,"Underweight",
AND(Q704&gt;=18.5,Q704&lt;25),"Normal Weight",
AND(Q704&gt;=25,Q704&lt;30),"Overweight",
Q704&gt;=30,"Obesity")</f>
        <v>Overweight</v>
      </c>
      <c r="S704" s="2">
        <f t="shared" si="10"/>
        <v>634.57943925233644</v>
      </c>
      <c r="T704" s="2" t="str" cm="1">
        <f t="array" ref="T704">_xlfn.IFS(N704&lt;=2.5,"Low",N704&lt;=3,"Medium",N704&gt;3,"High")</f>
        <v>Low</v>
      </c>
    </row>
    <row r="705" spans="1:20" x14ac:dyDescent="0.3">
      <c r="A705" s="2">
        <v>704</v>
      </c>
      <c r="B705" s="2" t="s">
        <v>27</v>
      </c>
      <c r="C705" s="2">
        <v>22</v>
      </c>
      <c r="D705" s="2" t="s">
        <v>16</v>
      </c>
      <c r="E705" s="2">
        <v>48.7</v>
      </c>
      <c r="F705" s="2">
        <v>1.76</v>
      </c>
      <c r="G705" s="2">
        <v>165</v>
      </c>
      <c r="H705" s="2">
        <v>167</v>
      </c>
      <c r="I705" s="2">
        <v>66</v>
      </c>
      <c r="J705" s="2">
        <v>1.37</v>
      </c>
      <c r="K705" s="2">
        <v>1144</v>
      </c>
      <c r="L705" s="2" t="s">
        <v>18</v>
      </c>
      <c r="M705" s="2">
        <v>29</v>
      </c>
      <c r="N705" s="2">
        <v>2.2000000000000002</v>
      </c>
      <c r="O705" s="2">
        <v>4</v>
      </c>
      <c r="P705" s="2">
        <v>2</v>
      </c>
      <c r="Q705" s="2">
        <v>15.72</v>
      </c>
      <c r="R705" s="2" t="str" cm="1">
        <f t="array" ref="R705">_xlfn.IFS(Q705&lt;18.5,"Underweight",
AND(Q705&gt;=18.5,Q705&lt;25),"Normal Weight",
AND(Q705&gt;=25,Q705&lt;30),"Overweight",
Q705&gt;=30,"Obesity")</f>
        <v>Underweight</v>
      </c>
      <c r="S705" s="2">
        <f t="shared" si="10"/>
        <v>835.03649635036493</v>
      </c>
      <c r="T705" s="2" t="str" cm="1">
        <f t="array" ref="T705">_xlfn.IFS(N705&lt;=2.5,"Low",N705&lt;=3,"Medium",N705&gt;3,"High")</f>
        <v>Low</v>
      </c>
    </row>
    <row r="706" spans="1:20" x14ac:dyDescent="0.3">
      <c r="A706" s="2">
        <v>705</v>
      </c>
      <c r="B706" s="2" t="s">
        <v>28</v>
      </c>
      <c r="C706" s="2">
        <v>47</v>
      </c>
      <c r="D706" s="2" t="s">
        <v>15</v>
      </c>
      <c r="E706" s="2">
        <v>66.2</v>
      </c>
      <c r="F706" s="2">
        <v>1.71</v>
      </c>
      <c r="G706" s="2">
        <v>181</v>
      </c>
      <c r="H706" s="2">
        <v>169</v>
      </c>
      <c r="I706" s="2">
        <v>71</v>
      </c>
      <c r="J706" s="2">
        <v>1.42</v>
      </c>
      <c r="K706" s="2">
        <v>1188</v>
      </c>
      <c r="L706" s="2" t="s">
        <v>18</v>
      </c>
      <c r="M706" s="2">
        <v>22.8</v>
      </c>
      <c r="N706" s="2">
        <v>2.9</v>
      </c>
      <c r="O706" s="2">
        <v>3</v>
      </c>
      <c r="P706" s="2">
        <v>1</v>
      </c>
      <c r="Q706" s="2">
        <v>22.64</v>
      </c>
      <c r="R706" s="2" t="str" cm="1">
        <f t="array" ref="R706">_xlfn.IFS(Q706&lt;18.5,"Underweight",
AND(Q706&gt;=18.5,Q706&lt;25),"Normal Weight",
AND(Q706&gt;=25,Q706&lt;30),"Overweight",
Q706&gt;=30,"Obesity")</f>
        <v>Normal Weight</v>
      </c>
      <c r="S706" s="2">
        <f t="shared" si="10"/>
        <v>836.61971830985919</v>
      </c>
      <c r="T706" s="2" t="str" cm="1">
        <f t="array" ref="T706">_xlfn.IFS(N706&lt;=2.5,"Low",N706&lt;=3,"Medium",N706&gt;3,"High")</f>
        <v>Medium</v>
      </c>
    </row>
    <row r="707" spans="1:20" x14ac:dyDescent="0.3">
      <c r="A707" s="2">
        <v>706</v>
      </c>
      <c r="B707" s="2" t="s">
        <v>28</v>
      </c>
      <c r="C707" s="2">
        <v>47</v>
      </c>
      <c r="D707" s="2" t="s">
        <v>16</v>
      </c>
      <c r="E707" s="2">
        <v>40</v>
      </c>
      <c r="F707" s="2">
        <v>1.76</v>
      </c>
      <c r="G707" s="2">
        <v>173</v>
      </c>
      <c r="H707" s="2">
        <v>132</v>
      </c>
      <c r="I707" s="2">
        <v>63</v>
      </c>
      <c r="J707" s="2">
        <v>0.8</v>
      </c>
      <c r="K707" s="2">
        <v>475</v>
      </c>
      <c r="L707" s="2" t="s">
        <v>20</v>
      </c>
      <c r="M707" s="2">
        <v>26.7</v>
      </c>
      <c r="N707" s="2">
        <v>2.2000000000000002</v>
      </c>
      <c r="O707" s="2">
        <v>3</v>
      </c>
      <c r="P707" s="2">
        <v>1</v>
      </c>
      <c r="Q707" s="2">
        <v>12.91</v>
      </c>
      <c r="R707" s="2" t="str" cm="1">
        <f t="array" ref="R707">_xlfn.IFS(Q707&lt;18.5,"Underweight",
AND(Q707&gt;=18.5,Q707&lt;25),"Normal Weight",
AND(Q707&gt;=25,Q707&lt;30),"Overweight",
Q707&gt;=30,"Obesity")</f>
        <v>Underweight</v>
      </c>
      <c r="S707" s="2">
        <f t="shared" ref="S707:S770" si="11">K707/J707</f>
        <v>593.75</v>
      </c>
      <c r="T707" s="2" t="str" cm="1">
        <f t="array" ref="T707">_xlfn.IFS(N707&lt;=2.5,"Low",N707&lt;=3,"Medium",N707&gt;3,"High")</f>
        <v>Low</v>
      </c>
    </row>
    <row r="708" spans="1:20" x14ac:dyDescent="0.3">
      <c r="A708" s="2">
        <v>707</v>
      </c>
      <c r="B708" s="2" t="s">
        <v>28</v>
      </c>
      <c r="C708" s="2">
        <v>34</v>
      </c>
      <c r="D708" s="2" t="s">
        <v>15</v>
      </c>
      <c r="E708" s="2">
        <v>112.4</v>
      </c>
      <c r="F708" s="2">
        <v>1.85</v>
      </c>
      <c r="G708" s="2">
        <v>162</v>
      </c>
      <c r="H708" s="2">
        <v>134</v>
      </c>
      <c r="I708" s="2">
        <v>66</v>
      </c>
      <c r="J708" s="2">
        <v>1.18</v>
      </c>
      <c r="K708" s="2">
        <v>870</v>
      </c>
      <c r="L708" s="2" t="s">
        <v>18</v>
      </c>
      <c r="M708" s="2">
        <v>23.4</v>
      </c>
      <c r="N708" s="2">
        <v>3.6</v>
      </c>
      <c r="O708" s="2">
        <v>4</v>
      </c>
      <c r="P708" s="2">
        <v>2</v>
      </c>
      <c r="Q708" s="2">
        <v>32.840000000000003</v>
      </c>
      <c r="R708" s="2" t="str" cm="1">
        <f t="array" ref="R708">_xlfn.IFS(Q708&lt;18.5,"Underweight",
AND(Q708&gt;=18.5,Q708&lt;25),"Normal Weight",
AND(Q708&gt;=25,Q708&lt;30),"Overweight",
Q708&gt;=30,"Obesity")</f>
        <v>Obesity</v>
      </c>
      <c r="S708" s="2">
        <f t="shared" si="11"/>
        <v>737.28813559322043</v>
      </c>
      <c r="T708" s="2" t="str" cm="1">
        <f t="array" ref="T708">_xlfn.IFS(N708&lt;=2.5,"Low",N708&lt;=3,"Medium",N708&gt;3,"High")</f>
        <v>High</v>
      </c>
    </row>
    <row r="709" spans="1:20" x14ac:dyDescent="0.3">
      <c r="A709" s="2">
        <v>708</v>
      </c>
      <c r="B709" s="2" t="s">
        <v>26</v>
      </c>
      <c r="C709" s="2">
        <v>40</v>
      </c>
      <c r="D709" s="2" t="s">
        <v>16</v>
      </c>
      <c r="E709" s="2">
        <v>70</v>
      </c>
      <c r="F709" s="2">
        <v>1.55</v>
      </c>
      <c r="G709" s="2">
        <v>171</v>
      </c>
      <c r="H709" s="2">
        <v>163</v>
      </c>
      <c r="I709" s="2">
        <v>74</v>
      </c>
      <c r="J709" s="2">
        <v>0.85</v>
      </c>
      <c r="K709" s="2">
        <v>693</v>
      </c>
      <c r="L709" s="2" t="s">
        <v>17</v>
      </c>
      <c r="M709" s="2">
        <v>31.1</v>
      </c>
      <c r="N709" s="2">
        <v>1.5</v>
      </c>
      <c r="O709" s="2">
        <v>3</v>
      </c>
      <c r="P709" s="2">
        <v>1</v>
      </c>
      <c r="Q709" s="2">
        <v>29.14</v>
      </c>
      <c r="R709" s="2" t="str" cm="1">
        <f t="array" ref="R709">_xlfn.IFS(Q709&lt;18.5,"Underweight",
AND(Q709&gt;=18.5,Q709&lt;25),"Normal Weight",
AND(Q709&gt;=25,Q709&lt;30),"Overweight",
Q709&gt;=30,"Obesity")</f>
        <v>Overweight</v>
      </c>
      <c r="S709" s="2">
        <f t="shared" si="11"/>
        <v>815.2941176470589</v>
      </c>
      <c r="T709" s="2" t="str" cm="1">
        <f t="array" ref="T709">_xlfn.IFS(N709&lt;=2.5,"Low",N709&lt;=3,"Medium",N709&gt;3,"High")</f>
        <v>Low</v>
      </c>
    </row>
    <row r="710" spans="1:20" x14ac:dyDescent="0.3">
      <c r="A710" s="2">
        <v>709</v>
      </c>
      <c r="B710" s="2" t="s">
        <v>28</v>
      </c>
      <c r="C710" s="2">
        <v>32</v>
      </c>
      <c r="D710" s="2" t="s">
        <v>15</v>
      </c>
      <c r="E710" s="2">
        <v>84</v>
      </c>
      <c r="F710" s="2">
        <v>1.74</v>
      </c>
      <c r="G710" s="2">
        <v>195</v>
      </c>
      <c r="H710" s="2">
        <v>127</v>
      </c>
      <c r="I710" s="2">
        <v>63</v>
      </c>
      <c r="J710" s="2">
        <v>1.45</v>
      </c>
      <c r="K710" s="2">
        <v>1013</v>
      </c>
      <c r="L710" s="2" t="s">
        <v>20</v>
      </c>
      <c r="M710" s="2">
        <v>25.8</v>
      </c>
      <c r="N710" s="2">
        <v>2.1</v>
      </c>
      <c r="O710" s="2">
        <v>3</v>
      </c>
      <c r="P710" s="2">
        <v>1</v>
      </c>
      <c r="Q710" s="2">
        <v>27.74</v>
      </c>
      <c r="R710" s="2" t="str" cm="1">
        <f t="array" ref="R710">_xlfn.IFS(Q710&lt;18.5,"Underweight",
AND(Q710&gt;=18.5,Q710&lt;25),"Normal Weight",
AND(Q710&gt;=25,Q710&lt;30),"Overweight",
Q710&gt;=30,"Obesity")</f>
        <v>Overweight</v>
      </c>
      <c r="S710" s="2">
        <f t="shared" si="11"/>
        <v>698.62068965517244</v>
      </c>
      <c r="T710" s="2" t="str" cm="1">
        <f t="array" ref="T710">_xlfn.IFS(N710&lt;=2.5,"Low",N710&lt;=3,"Medium",N710&gt;3,"High")</f>
        <v>Low</v>
      </c>
    </row>
    <row r="711" spans="1:20" x14ac:dyDescent="0.3">
      <c r="A711" s="2">
        <v>710</v>
      </c>
      <c r="B711" s="2" t="s">
        <v>22</v>
      </c>
      <c r="C711" s="2">
        <v>54</v>
      </c>
      <c r="D711" s="2" t="s">
        <v>16</v>
      </c>
      <c r="E711" s="2">
        <v>43.8</v>
      </c>
      <c r="F711" s="2">
        <v>1.65</v>
      </c>
      <c r="G711" s="2">
        <v>171</v>
      </c>
      <c r="H711" s="2">
        <v>129</v>
      </c>
      <c r="I711" s="2">
        <v>61</v>
      </c>
      <c r="J711" s="2">
        <v>1.29</v>
      </c>
      <c r="K711" s="2">
        <v>749</v>
      </c>
      <c r="L711" s="2" t="s">
        <v>17</v>
      </c>
      <c r="M711" s="2">
        <v>26.6</v>
      </c>
      <c r="N711" s="2">
        <v>1.7</v>
      </c>
      <c r="O711" s="2">
        <v>4</v>
      </c>
      <c r="P711" s="2">
        <v>2</v>
      </c>
      <c r="Q711" s="2">
        <v>16.09</v>
      </c>
      <c r="R711" s="2" t="str" cm="1">
        <f t="array" ref="R711">_xlfn.IFS(Q711&lt;18.5,"Underweight",
AND(Q711&gt;=18.5,Q711&lt;25),"Normal Weight",
AND(Q711&gt;=25,Q711&lt;30),"Overweight",
Q711&gt;=30,"Obesity")</f>
        <v>Underweight</v>
      </c>
      <c r="S711" s="2">
        <f t="shared" si="11"/>
        <v>580.62015503875966</v>
      </c>
      <c r="T711" s="2" t="str" cm="1">
        <f t="array" ref="T711">_xlfn.IFS(N711&lt;=2.5,"Low",N711&lt;=3,"Medium",N711&gt;3,"High")</f>
        <v>Low</v>
      </c>
    </row>
    <row r="712" spans="1:20" x14ac:dyDescent="0.3">
      <c r="A712" s="2">
        <v>711</v>
      </c>
      <c r="B712" s="2" t="s">
        <v>30</v>
      </c>
      <c r="C712" s="2">
        <v>38</v>
      </c>
      <c r="D712" s="2" t="s">
        <v>15</v>
      </c>
      <c r="E712" s="2">
        <v>123.3</v>
      </c>
      <c r="F712" s="2">
        <v>1.62</v>
      </c>
      <c r="G712" s="2">
        <v>161</v>
      </c>
      <c r="H712" s="2">
        <v>165</v>
      </c>
      <c r="I712" s="2">
        <v>65</v>
      </c>
      <c r="J712" s="2">
        <v>1.34</v>
      </c>
      <c r="K712" s="2">
        <v>1216</v>
      </c>
      <c r="L712" s="2" t="s">
        <v>17</v>
      </c>
      <c r="M712" s="2">
        <v>21.2</v>
      </c>
      <c r="N712" s="2">
        <v>2.2999999999999998</v>
      </c>
      <c r="O712" s="2">
        <v>4</v>
      </c>
      <c r="P712" s="2">
        <v>2</v>
      </c>
      <c r="Q712" s="2">
        <v>46.98</v>
      </c>
      <c r="R712" s="2" t="str" cm="1">
        <f t="array" ref="R712">_xlfn.IFS(Q712&lt;18.5,"Underweight",
AND(Q712&gt;=18.5,Q712&lt;25),"Normal Weight",
AND(Q712&gt;=25,Q712&lt;30),"Overweight",
Q712&gt;=30,"Obesity")</f>
        <v>Obesity</v>
      </c>
      <c r="S712" s="2">
        <f t="shared" si="11"/>
        <v>907.46268656716416</v>
      </c>
      <c r="T712" s="2" t="str" cm="1">
        <f t="array" ref="T712">_xlfn.IFS(N712&lt;=2.5,"Low",N712&lt;=3,"Medium",N712&gt;3,"High")</f>
        <v>Low</v>
      </c>
    </row>
    <row r="713" spans="1:20" x14ac:dyDescent="0.3">
      <c r="A713" s="2">
        <v>712</v>
      </c>
      <c r="B713" s="2" t="s">
        <v>27</v>
      </c>
      <c r="C713" s="2">
        <v>31</v>
      </c>
      <c r="D713" s="2" t="s">
        <v>16</v>
      </c>
      <c r="E713" s="2">
        <v>57.9</v>
      </c>
      <c r="F713" s="2">
        <v>1.56</v>
      </c>
      <c r="G713" s="2">
        <v>161</v>
      </c>
      <c r="H713" s="2">
        <v>124</v>
      </c>
      <c r="I713" s="2">
        <v>50</v>
      </c>
      <c r="J713" s="2">
        <v>1.8</v>
      </c>
      <c r="K713" s="2">
        <v>1116</v>
      </c>
      <c r="L713" s="2" t="s">
        <v>17</v>
      </c>
      <c r="M713" s="2">
        <v>15.1</v>
      </c>
      <c r="N713" s="2">
        <v>2.7</v>
      </c>
      <c r="O713" s="2">
        <v>5</v>
      </c>
      <c r="P713" s="2">
        <v>3</v>
      </c>
      <c r="Q713" s="2">
        <v>23.79</v>
      </c>
      <c r="R713" s="2" t="str" cm="1">
        <f t="array" ref="R713">_xlfn.IFS(Q713&lt;18.5,"Underweight",
AND(Q713&gt;=18.5,Q713&lt;25),"Normal Weight",
AND(Q713&gt;=25,Q713&lt;30),"Overweight",
Q713&gt;=30,"Obesity")</f>
        <v>Normal Weight</v>
      </c>
      <c r="S713" s="2">
        <f t="shared" si="11"/>
        <v>620</v>
      </c>
      <c r="T713" s="2" t="str" cm="1">
        <f t="array" ref="T713">_xlfn.IFS(N713&lt;=2.5,"Low",N713&lt;=3,"Medium",N713&gt;3,"High")</f>
        <v>Medium</v>
      </c>
    </row>
    <row r="714" spans="1:20" x14ac:dyDescent="0.3">
      <c r="A714" s="2">
        <v>713</v>
      </c>
      <c r="B714" s="2" t="s">
        <v>29</v>
      </c>
      <c r="C714" s="2">
        <v>19</v>
      </c>
      <c r="D714" s="2" t="s">
        <v>15</v>
      </c>
      <c r="E714" s="2">
        <v>82.4</v>
      </c>
      <c r="F714" s="2">
        <v>1.96</v>
      </c>
      <c r="G714" s="2">
        <v>174</v>
      </c>
      <c r="H714" s="2">
        <v>169</v>
      </c>
      <c r="I714" s="2">
        <v>62</v>
      </c>
      <c r="J714" s="2">
        <v>1.9</v>
      </c>
      <c r="K714" s="2">
        <v>1766</v>
      </c>
      <c r="L714" s="2" t="s">
        <v>18</v>
      </c>
      <c r="M714" s="2">
        <v>10.1</v>
      </c>
      <c r="N714" s="2">
        <v>3.5</v>
      </c>
      <c r="O714" s="2">
        <v>5</v>
      </c>
      <c r="P714" s="2">
        <v>3</v>
      </c>
      <c r="Q714" s="2">
        <v>21.45</v>
      </c>
      <c r="R714" s="2" t="str" cm="1">
        <f t="array" ref="R714">_xlfn.IFS(Q714&lt;18.5,"Underweight",
AND(Q714&gt;=18.5,Q714&lt;25),"Normal Weight",
AND(Q714&gt;=25,Q714&lt;30),"Overweight",
Q714&gt;=30,"Obesity")</f>
        <v>Normal Weight</v>
      </c>
      <c r="S714" s="2">
        <f t="shared" si="11"/>
        <v>929.47368421052636</v>
      </c>
      <c r="T714" s="2" t="str" cm="1">
        <f t="array" ref="T714">_xlfn.IFS(N714&lt;=2.5,"Low",N714&lt;=3,"Medium",N714&gt;3,"High")</f>
        <v>High</v>
      </c>
    </row>
    <row r="715" spans="1:20" x14ac:dyDescent="0.3">
      <c r="A715" s="2">
        <v>714</v>
      </c>
      <c r="B715" s="2" t="s">
        <v>23</v>
      </c>
      <c r="C715" s="2">
        <v>28</v>
      </c>
      <c r="D715" s="2" t="s">
        <v>15</v>
      </c>
      <c r="E715" s="2">
        <v>84.8</v>
      </c>
      <c r="F715" s="2">
        <v>1.79</v>
      </c>
      <c r="G715" s="2">
        <v>182</v>
      </c>
      <c r="H715" s="2">
        <v>138</v>
      </c>
      <c r="I715" s="2">
        <v>55</v>
      </c>
      <c r="J715" s="2">
        <v>1.35</v>
      </c>
      <c r="K715" s="2">
        <v>1025</v>
      </c>
      <c r="L715" s="2" t="s">
        <v>19</v>
      </c>
      <c r="M715" s="2">
        <v>28.8</v>
      </c>
      <c r="N715" s="2">
        <v>2.2999999999999998</v>
      </c>
      <c r="O715" s="2">
        <v>4</v>
      </c>
      <c r="P715" s="2">
        <v>2</v>
      </c>
      <c r="Q715" s="2">
        <v>26.47</v>
      </c>
      <c r="R715" s="2" t="str" cm="1">
        <f t="array" ref="R715">_xlfn.IFS(Q715&lt;18.5,"Underweight",
AND(Q715&gt;=18.5,Q715&lt;25),"Normal Weight",
AND(Q715&gt;=25,Q715&lt;30),"Overweight",
Q715&gt;=30,"Obesity")</f>
        <v>Overweight</v>
      </c>
      <c r="S715" s="2">
        <f t="shared" si="11"/>
        <v>759.25925925925924</v>
      </c>
      <c r="T715" s="2" t="str" cm="1">
        <f t="array" ref="T715">_xlfn.IFS(N715&lt;=2.5,"Low",N715&lt;=3,"Medium",N715&gt;3,"High")</f>
        <v>Low</v>
      </c>
    </row>
    <row r="716" spans="1:20" x14ac:dyDescent="0.3">
      <c r="A716" s="2">
        <v>715</v>
      </c>
      <c r="B716" s="2" t="s">
        <v>21</v>
      </c>
      <c r="C716" s="2">
        <v>56</v>
      </c>
      <c r="D716" s="2" t="s">
        <v>15</v>
      </c>
      <c r="E716" s="2">
        <v>109.6</v>
      </c>
      <c r="F716" s="2">
        <v>1.66</v>
      </c>
      <c r="G716" s="2">
        <v>188</v>
      </c>
      <c r="H716" s="2">
        <v>166</v>
      </c>
      <c r="I716" s="2">
        <v>66</v>
      </c>
      <c r="J716" s="2">
        <v>1.29</v>
      </c>
      <c r="K716" s="2">
        <v>1060</v>
      </c>
      <c r="L716" s="2" t="s">
        <v>19</v>
      </c>
      <c r="M716" s="2">
        <v>20.5</v>
      </c>
      <c r="N716" s="2">
        <v>3.1</v>
      </c>
      <c r="O716" s="2">
        <v>3</v>
      </c>
      <c r="P716" s="2">
        <v>2</v>
      </c>
      <c r="Q716" s="2">
        <v>39.770000000000003</v>
      </c>
      <c r="R716" s="2" t="str" cm="1">
        <f t="array" ref="R716">_xlfn.IFS(Q716&lt;18.5,"Underweight",
AND(Q716&gt;=18.5,Q716&lt;25),"Normal Weight",
AND(Q716&gt;=25,Q716&lt;30),"Overweight",
Q716&gt;=30,"Obesity")</f>
        <v>Obesity</v>
      </c>
      <c r="S716" s="2">
        <f t="shared" si="11"/>
        <v>821.7054263565891</v>
      </c>
      <c r="T716" s="2" t="str" cm="1">
        <f t="array" ref="T716">_xlfn.IFS(N716&lt;=2.5,"Low",N716&lt;=3,"Medium",N716&gt;3,"High")</f>
        <v>High</v>
      </c>
    </row>
    <row r="717" spans="1:20" x14ac:dyDescent="0.3">
      <c r="A717" s="2">
        <v>716</v>
      </c>
      <c r="B717" s="2" t="s">
        <v>25</v>
      </c>
      <c r="C717" s="2">
        <v>55</v>
      </c>
      <c r="D717" s="2" t="s">
        <v>15</v>
      </c>
      <c r="E717" s="2">
        <v>86.4</v>
      </c>
      <c r="F717" s="2">
        <v>1.77</v>
      </c>
      <c r="G717" s="2">
        <v>176</v>
      </c>
      <c r="H717" s="2">
        <v>157</v>
      </c>
      <c r="I717" s="2">
        <v>61</v>
      </c>
      <c r="J717" s="2">
        <v>1</v>
      </c>
      <c r="K717" s="2">
        <v>777</v>
      </c>
      <c r="L717" s="2" t="s">
        <v>17</v>
      </c>
      <c r="M717" s="2">
        <v>27.3</v>
      </c>
      <c r="N717" s="2">
        <v>2.8</v>
      </c>
      <c r="O717" s="2">
        <v>3</v>
      </c>
      <c r="P717" s="2">
        <v>2</v>
      </c>
      <c r="Q717" s="2">
        <v>27.58</v>
      </c>
      <c r="R717" s="2" t="str" cm="1">
        <f t="array" ref="R717">_xlfn.IFS(Q717&lt;18.5,"Underweight",
AND(Q717&gt;=18.5,Q717&lt;25),"Normal Weight",
AND(Q717&gt;=25,Q717&lt;30),"Overweight",
Q717&gt;=30,"Obesity")</f>
        <v>Overweight</v>
      </c>
      <c r="S717" s="2">
        <f t="shared" si="11"/>
        <v>777</v>
      </c>
      <c r="T717" s="2" t="str" cm="1">
        <f t="array" ref="T717">_xlfn.IFS(N717&lt;=2.5,"Low",N717&lt;=3,"Medium",N717&gt;3,"High")</f>
        <v>Medium</v>
      </c>
    </row>
    <row r="718" spans="1:20" x14ac:dyDescent="0.3">
      <c r="A718" s="2">
        <v>717</v>
      </c>
      <c r="B718" s="2" t="s">
        <v>26</v>
      </c>
      <c r="C718" s="2">
        <v>51</v>
      </c>
      <c r="D718" s="2" t="s">
        <v>16</v>
      </c>
      <c r="E718" s="2">
        <v>63.9</v>
      </c>
      <c r="F718" s="2">
        <v>1.8</v>
      </c>
      <c r="G718" s="2">
        <v>191</v>
      </c>
      <c r="H718" s="2">
        <v>130</v>
      </c>
      <c r="I718" s="2">
        <v>72</v>
      </c>
      <c r="J718" s="2">
        <v>1.07</v>
      </c>
      <c r="K718" s="2">
        <v>626</v>
      </c>
      <c r="L718" s="2" t="s">
        <v>18</v>
      </c>
      <c r="M718" s="2">
        <v>33.700000000000003</v>
      </c>
      <c r="N718" s="2">
        <v>2.7</v>
      </c>
      <c r="O718" s="2">
        <v>4</v>
      </c>
      <c r="P718" s="2">
        <v>2</v>
      </c>
      <c r="Q718" s="2">
        <v>19.72</v>
      </c>
      <c r="R718" s="2" t="str" cm="1">
        <f t="array" ref="R718">_xlfn.IFS(Q718&lt;18.5,"Underweight",
AND(Q718&gt;=18.5,Q718&lt;25),"Normal Weight",
AND(Q718&gt;=25,Q718&lt;30),"Overweight",
Q718&gt;=30,"Obesity")</f>
        <v>Normal Weight</v>
      </c>
      <c r="S718" s="2">
        <f t="shared" si="11"/>
        <v>585.04672897196258</v>
      </c>
      <c r="T718" s="2" t="str" cm="1">
        <f t="array" ref="T718">_xlfn.IFS(N718&lt;=2.5,"Low",N718&lt;=3,"Medium",N718&gt;3,"High")</f>
        <v>Medium</v>
      </c>
    </row>
    <row r="719" spans="1:20" x14ac:dyDescent="0.3">
      <c r="A719" s="2">
        <v>718</v>
      </c>
      <c r="B719" s="2" t="s">
        <v>29</v>
      </c>
      <c r="C719" s="2">
        <v>55</v>
      </c>
      <c r="D719" s="2" t="s">
        <v>16</v>
      </c>
      <c r="E719" s="2">
        <v>70.8</v>
      </c>
      <c r="F719" s="2">
        <v>1.62</v>
      </c>
      <c r="G719" s="2">
        <v>166</v>
      </c>
      <c r="H719" s="2">
        <v>162</v>
      </c>
      <c r="I719" s="2">
        <v>68</v>
      </c>
      <c r="J719" s="2">
        <v>0.54</v>
      </c>
      <c r="K719" s="2">
        <v>394</v>
      </c>
      <c r="L719" s="2" t="s">
        <v>20</v>
      </c>
      <c r="M719" s="2">
        <v>26</v>
      </c>
      <c r="N719" s="2">
        <v>1.8</v>
      </c>
      <c r="O719" s="2">
        <v>3</v>
      </c>
      <c r="P719" s="2">
        <v>1</v>
      </c>
      <c r="Q719" s="2">
        <v>26.98</v>
      </c>
      <c r="R719" s="2" t="str" cm="1">
        <f t="array" ref="R719">_xlfn.IFS(Q719&lt;18.5,"Underweight",
AND(Q719&gt;=18.5,Q719&lt;25),"Normal Weight",
AND(Q719&gt;=25,Q719&lt;30),"Overweight",
Q719&gt;=30,"Obesity")</f>
        <v>Overweight</v>
      </c>
      <c r="S719" s="2">
        <f t="shared" si="11"/>
        <v>729.62962962962956</v>
      </c>
      <c r="T719" s="2" t="str" cm="1">
        <f t="array" ref="T719">_xlfn.IFS(N719&lt;=2.5,"Low",N719&lt;=3,"Medium",N719&gt;3,"High")</f>
        <v>Low</v>
      </c>
    </row>
    <row r="720" spans="1:20" x14ac:dyDescent="0.3">
      <c r="A720" s="2">
        <v>719</v>
      </c>
      <c r="B720" s="2" t="s">
        <v>24</v>
      </c>
      <c r="C720" s="2">
        <v>51</v>
      </c>
      <c r="D720" s="2" t="s">
        <v>15</v>
      </c>
      <c r="E720" s="2">
        <v>115.3</v>
      </c>
      <c r="F720" s="2">
        <v>1.67</v>
      </c>
      <c r="G720" s="2">
        <v>189</v>
      </c>
      <c r="H720" s="2">
        <v>139</v>
      </c>
      <c r="I720" s="2">
        <v>55</v>
      </c>
      <c r="J720" s="2">
        <v>1.38</v>
      </c>
      <c r="K720" s="2">
        <v>950</v>
      </c>
      <c r="L720" s="2" t="s">
        <v>17</v>
      </c>
      <c r="M720" s="2">
        <v>24.4</v>
      </c>
      <c r="N720" s="2">
        <v>2.5</v>
      </c>
      <c r="O720" s="2">
        <v>3</v>
      </c>
      <c r="P720" s="2">
        <v>2</v>
      </c>
      <c r="Q720" s="2">
        <v>41.34</v>
      </c>
      <c r="R720" s="2" t="str" cm="1">
        <f t="array" ref="R720">_xlfn.IFS(Q720&lt;18.5,"Underweight",
AND(Q720&gt;=18.5,Q720&lt;25),"Normal Weight",
AND(Q720&gt;=25,Q720&lt;30),"Overweight",
Q720&gt;=30,"Obesity")</f>
        <v>Obesity</v>
      </c>
      <c r="S720" s="2">
        <f t="shared" si="11"/>
        <v>688.40579710144937</v>
      </c>
      <c r="T720" s="2" t="str" cm="1">
        <f t="array" ref="T720">_xlfn.IFS(N720&lt;=2.5,"Low",N720&lt;=3,"Medium",N720&gt;3,"High")</f>
        <v>Low</v>
      </c>
    </row>
    <row r="721" spans="1:20" x14ac:dyDescent="0.3">
      <c r="A721" s="2">
        <v>720</v>
      </c>
      <c r="B721" s="2" t="s">
        <v>22</v>
      </c>
      <c r="C721" s="2">
        <v>35</v>
      </c>
      <c r="D721" s="2" t="s">
        <v>16</v>
      </c>
      <c r="E721" s="2">
        <v>55.3</v>
      </c>
      <c r="F721" s="2">
        <v>1.56</v>
      </c>
      <c r="G721" s="2">
        <v>187</v>
      </c>
      <c r="H721" s="2">
        <v>139</v>
      </c>
      <c r="I721" s="2">
        <v>56</v>
      </c>
      <c r="J721" s="2">
        <v>1.71</v>
      </c>
      <c r="K721" s="2">
        <v>1188</v>
      </c>
      <c r="L721" s="2" t="s">
        <v>20</v>
      </c>
      <c r="M721" s="2">
        <v>19.8</v>
      </c>
      <c r="N721" s="2">
        <v>2.7</v>
      </c>
      <c r="O721" s="2">
        <v>5</v>
      </c>
      <c r="P721" s="2">
        <v>3</v>
      </c>
      <c r="Q721" s="2">
        <v>22.72</v>
      </c>
      <c r="R721" s="2" t="str" cm="1">
        <f t="array" ref="R721">_xlfn.IFS(Q721&lt;18.5,"Underweight",
AND(Q721&gt;=18.5,Q721&lt;25),"Normal Weight",
AND(Q721&gt;=25,Q721&lt;30),"Overweight",
Q721&gt;=30,"Obesity")</f>
        <v>Normal Weight</v>
      </c>
      <c r="S721" s="2">
        <f t="shared" si="11"/>
        <v>694.73684210526312</v>
      </c>
      <c r="T721" s="2" t="str" cm="1">
        <f t="array" ref="T721">_xlfn.IFS(N721&lt;=2.5,"Low",N721&lt;=3,"Medium",N721&gt;3,"High")</f>
        <v>Medium</v>
      </c>
    </row>
    <row r="722" spans="1:20" x14ac:dyDescent="0.3">
      <c r="A722" s="2">
        <v>721</v>
      </c>
      <c r="B722" s="2" t="s">
        <v>25</v>
      </c>
      <c r="C722" s="2">
        <v>47</v>
      </c>
      <c r="D722" s="2" t="s">
        <v>15</v>
      </c>
      <c r="E722" s="2">
        <v>73.900000000000006</v>
      </c>
      <c r="F722" s="2">
        <v>1.8</v>
      </c>
      <c r="G722" s="2">
        <v>173</v>
      </c>
      <c r="H722" s="2">
        <v>140</v>
      </c>
      <c r="I722" s="2">
        <v>50</v>
      </c>
      <c r="J722" s="2">
        <v>1.36</v>
      </c>
      <c r="K722" s="2">
        <v>942</v>
      </c>
      <c r="L722" s="2" t="s">
        <v>20</v>
      </c>
      <c r="M722" s="2">
        <v>28.3</v>
      </c>
      <c r="N722" s="2">
        <v>3.7</v>
      </c>
      <c r="O722" s="2">
        <v>3</v>
      </c>
      <c r="P722" s="2">
        <v>1</v>
      </c>
      <c r="Q722" s="2">
        <v>22.81</v>
      </c>
      <c r="R722" s="2" t="str" cm="1">
        <f t="array" ref="R722">_xlfn.IFS(Q722&lt;18.5,"Underweight",
AND(Q722&gt;=18.5,Q722&lt;25),"Normal Weight",
AND(Q722&gt;=25,Q722&lt;30),"Overweight",
Q722&gt;=30,"Obesity")</f>
        <v>Normal Weight</v>
      </c>
      <c r="S722" s="2">
        <f t="shared" si="11"/>
        <v>692.64705882352939</v>
      </c>
      <c r="T722" s="2" t="str" cm="1">
        <f t="array" ref="T722">_xlfn.IFS(N722&lt;=2.5,"Low",N722&lt;=3,"Medium",N722&gt;3,"High")</f>
        <v>High</v>
      </c>
    </row>
    <row r="723" spans="1:20" x14ac:dyDescent="0.3">
      <c r="A723" s="2">
        <v>722</v>
      </c>
      <c r="B723" s="2" t="s">
        <v>23</v>
      </c>
      <c r="C723" s="2">
        <v>32</v>
      </c>
      <c r="D723" s="2" t="s">
        <v>15</v>
      </c>
      <c r="E723" s="2">
        <v>97.3</v>
      </c>
      <c r="F723" s="2">
        <v>1.96</v>
      </c>
      <c r="G723" s="2">
        <v>189</v>
      </c>
      <c r="H723" s="2">
        <v>137</v>
      </c>
      <c r="I723" s="2">
        <v>50</v>
      </c>
      <c r="J723" s="2">
        <v>1.36</v>
      </c>
      <c r="K723" s="2">
        <v>1025</v>
      </c>
      <c r="L723" s="2" t="s">
        <v>18</v>
      </c>
      <c r="M723" s="2">
        <v>24.9</v>
      </c>
      <c r="N723" s="2">
        <v>3.4</v>
      </c>
      <c r="O723" s="2">
        <v>3</v>
      </c>
      <c r="P723" s="2">
        <v>2</v>
      </c>
      <c r="Q723" s="2">
        <v>25.33</v>
      </c>
      <c r="R723" s="2" t="str" cm="1">
        <f t="array" ref="R723">_xlfn.IFS(Q723&lt;18.5,"Underweight",
AND(Q723&gt;=18.5,Q723&lt;25),"Normal Weight",
AND(Q723&gt;=25,Q723&lt;30),"Overweight",
Q723&gt;=30,"Obesity")</f>
        <v>Overweight</v>
      </c>
      <c r="S723" s="2">
        <f t="shared" si="11"/>
        <v>753.67647058823525</v>
      </c>
      <c r="T723" s="2" t="str" cm="1">
        <f t="array" ref="T723">_xlfn.IFS(N723&lt;=2.5,"Low",N723&lt;=3,"Medium",N723&gt;3,"High")</f>
        <v>High</v>
      </c>
    </row>
    <row r="724" spans="1:20" x14ac:dyDescent="0.3">
      <c r="A724" s="2">
        <v>723</v>
      </c>
      <c r="B724" s="2" t="s">
        <v>29</v>
      </c>
      <c r="C724" s="2">
        <v>44</v>
      </c>
      <c r="D724" s="2" t="s">
        <v>16</v>
      </c>
      <c r="E724" s="2">
        <v>60.4</v>
      </c>
      <c r="F724" s="2">
        <v>1.65</v>
      </c>
      <c r="G724" s="2">
        <v>176</v>
      </c>
      <c r="H724" s="2">
        <v>169</v>
      </c>
      <c r="I724" s="2">
        <v>54</v>
      </c>
      <c r="J724" s="2">
        <v>1.27</v>
      </c>
      <c r="K724" s="2">
        <v>966</v>
      </c>
      <c r="L724" s="2" t="s">
        <v>18</v>
      </c>
      <c r="M724" s="2">
        <v>32.6</v>
      </c>
      <c r="N724" s="2">
        <v>2.1</v>
      </c>
      <c r="O724" s="2">
        <v>4</v>
      </c>
      <c r="P724" s="2">
        <v>2</v>
      </c>
      <c r="Q724" s="2">
        <v>22.19</v>
      </c>
      <c r="R724" s="2" t="str" cm="1">
        <f t="array" ref="R724">_xlfn.IFS(Q724&lt;18.5,"Underweight",
AND(Q724&gt;=18.5,Q724&lt;25),"Normal Weight",
AND(Q724&gt;=25,Q724&lt;30),"Overweight",
Q724&gt;=30,"Obesity")</f>
        <v>Normal Weight</v>
      </c>
      <c r="S724" s="2">
        <f t="shared" si="11"/>
        <v>760.62992125984249</v>
      </c>
      <c r="T724" s="2" t="str" cm="1">
        <f t="array" ref="T724">_xlfn.IFS(N724&lt;=2.5,"Low",N724&lt;=3,"Medium",N724&gt;3,"High")</f>
        <v>Low</v>
      </c>
    </row>
    <row r="725" spans="1:20" x14ac:dyDescent="0.3">
      <c r="A725" s="2">
        <v>724</v>
      </c>
      <c r="B725" s="2" t="s">
        <v>25</v>
      </c>
      <c r="C725" s="2">
        <v>51</v>
      </c>
      <c r="D725" s="2" t="s">
        <v>15</v>
      </c>
      <c r="E725" s="2">
        <v>49.3</v>
      </c>
      <c r="F725" s="2">
        <v>1.61</v>
      </c>
      <c r="G725" s="2">
        <v>191</v>
      </c>
      <c r="H725" s="2">
        <v>129</v>
      </c>
      <c r="I725" s="2">
        <v>55</v>
      </c>
      <c r="J725" s="2">
        <v>1.36</v>
      </c>
      <c r="K725" s="2">
        <v>868</v>
      </c>
      <c r="L725" s="2" t="s">
        <v>19</v>
      </c>
      <c r="M725" s="2">
        <v>28.3</v>
      </c>
      <c r="N725" s="2">
        <v>2.9</v>
      </c>
      <c r="O725" s="2">
        <v>2</v>
      </c>
      <c r="P725" s="2">
        <v>1</v>
      </c>
      <c r="Q725" s="2">
        <v>19.02</v>
      </c>
      <c r="R725" s="2" t="str" cm="1">
        <f t="array" ref="R725">_xlfn.IFS(Q725&lt;18.5,"Underweight",
AND(Q725&gt;=18.5,Q725&lt;25),"Normal Weight",
AND(Q725&gt;=25,Q725&lt;30),"Overweight",
Q725&gt;=30,"Obesity")</f>
        <v>Normal Weight</v>
      </c>
      <c r="S725" s="2">
        <f t="shared" si="11"/>
        <v>638.23529411764696</v>
      </c>
      <c r="T725" s="2" t="str" cm="1">
        <f t="array" ref="T725">_xlfn.IFS(N725&lt;=2.5,"Low",N725&lt;=3,"Medium",N725&gt;3,"High")</f>
        <v>Medium</v>
      </c>
    </row>
    <row r="726" spans="1:20" x14ac:dyDescent="0.3">
      <c r="A726" s="2">
        <v>725</v>
      </c>
      <c r="B726" s="2" t="s">
        <v>29</v>
      </c>
      <c r="C726" s="2">
        <v>55</v>
      </c>
      <c r="D726" s="2" t="s">
        <v>15</v>
      </c>
      <c r="E726" s="2">
        <v>91.8</v>
      </c>
      <c r="F726" s="2">
        <v>1.78</v>
      </c>
      <c r="G726" s="2">
        <v>165</v>
      </c>
      <c r="H726" s="2">
        <v>153</v>
      </c>
      <c r="I726" s="2">
        <v>65</v>
      </c>
      <c r="J726" s="2">
        <v>1.44</v>
      </c>
      <c r="K726" s="2">
        <v>1091</v>
      </c>
      <c r="L726" s="2" t="s">
        <v>19</v>
      </c>
      <c r="M726" s="2">
        <v>23.5</v>
      </c>
      <c r="N726" s="2">
        <v>3.4</v>
      </c>
      <c r="O726" s="2">
        <v>3</v>
      </c>
      <c r="P726" s="2">
        <v>1</v>
      </c>
      <c r="Q726" s="2">
        <v>28.97</v>
      </c>
      <c r="R726" s="2" t="str" cm="1">
        <f t="array" ref="R726">_xlfn.IFS(Q726&lt;18.5,"Underweight",
AND(Q726&gt;=18.5,Q726&lt;25),"Normal Weight",
AND(Q726&gt;=25,Q726&lt;30),"Overweight",
Q726&gt;=30,"Obesity")</f>
        <v>Overweight</v>
      </c>
      <c r="S726" s="2">
        <f t="shared" si="11"/>
        <v>757.63888888888891</v>
      </c>
      <c r="T726" s="2" t="str" cm="1">
        <f t="array" ref="T726">_xlfn.IFS(N726&lt;=2.5,"Low",N726&lt;=3,"Medium",N726&gt;3,"High")</f>
        <v>High</v>
      </c>
    </row>
    <row r="727" spans="1:20" x14ac:dyDescent="0.3">
      <c r="A727" s="2">
        <v>726</v>
      </c>
      <c r="B727" s="2" t="s">
        <v>22</v>
      </c>
      <c r="C727" s="2">
        <v>50</v>
      </c>
      <c r="D727" s="2" t="s">
        <v>16</v>
      </c>
      <c r="E727" s="2">
        <v>73.599999999999994</v>
      </c>
      <c r="F727" s="2">
        <v>1.55</v>
      </c>
      <c r="G727" s="2">
        <v>183</v>
      </c>
      <c r="H727" s="2">
        <v>145</v>
      </c>
      <c r="I727" s="2">
        <v>74</v>
      </c>
      <c r="J727" s="2">
        <v>0.89</v>
      </c>
      <c r="K727" s="2">
        <v>581</v>
      </c>
      <c r="L727" s="2" t="s">
        <v>18</v>
      </c>
      <c r="M727" s="2">
        <v>33.9</v>
      </c>
      <c r="N727" s="2">
        <v>2.1</v>
      </c>
      <c r="O727" s="2">
        <v>3</v>
      </c>
      <c r="P727" s="2">
        <v>1</v>
      </c>
      <c r="Q727" s="2">
        <v>30.63</v>
      </c>
      <c r="R727" s="2" t="str" cm="1">
        <f t="array" ref="R727">_xlfn.IFS(Q727&lt;18.5,"Underweight",
AND(Q727&gt;=18.5,Q727&lt;25),"Normal Weight",
AND(Q727&gt;=25,Q727&lt;30),"Overweight",
Q727&gt;=30,"Obesity")</f>
        <v>Obesity</v>
      </c>
      <c r="S727" s="2">
        <f t="shared" si="11"/>
        <v>652.8089887640449</v>
      </c>
      <c r="T727" s="2" t="str" cm="1">
        <f t="array" ref="T727">_xlfn.IFS(N727&lt;=2.5,"Low",N727&lt;=3,"Medium",N727&gt;3,"High")</f>
        <v>Low</v>
      </c>
    </row>
    <row r="728" spans="1:20" x14ac:dyDescent="0.3">
      <c r="A728" s="2">
        <v>727</v>
      </c>
      <c r="B728" s="2" t="s">
        <v>23</v>
      </c>
      <c r="C728" s="2">
        <v>41</v>
      </c>
      <c r="D728" s="2" t="s">
        <v>15</v>
      </c>
      <c r="E728" s="2">
        <v>47.1</v>
      </c>
      <c r="F728" s="2">
        <v>1.78</v>
      </c>
      <c r="G728" s="2">
        <v>165</v>
      </c>
      <c r="H728" s="2">
        <v>149</v>
      </c>
      <c r="I728" s="2">
        <v>65</v>
      </c>
      <c r="J728" s="2">
        <v>1.26</v>
      </c>
      <c r="K728" s="2">
        <v>929</v>
      </c>
      <c r="L728" s="2" t="s">
        <v>17</v>
      </c>
      <c r="M728" s="2">
        <v>24.7</v>
      </c>
      <c r="N728" s="2">
        <v>2.4</v>
      </c>
      <c r="O728" s="2">
        <v>3</v>
      </c>
      <c r="P728" s="2">
        <v>1</v>
      </c>
      <c r="Q728" s="2">
        <v>14.87</v>
      </c>
      <c r="R728" s="2" t="str" cm="1">
        <f t="array" ref="R728">_xlfn.IFS(Q728&lt;18.5,"Underweight",
AND(Q728&gt;=18.5,Q728&lt;25),"Normal Weight",
AND(Q728&gt;=25,Q728&lt;30),"Overweight",
Q728&gt;=30,"Obesity")</f>
        <v>Underweight</v>
      </c>
      <c r="S728" s="2">
        <f t="shared" si="11"/>
        <v>737.30158730158735</v>
      </c>
      <c r="T728" s="2" t="str" cm="1">
        <f t="array" ref="T728">_xlfn.IFS(N728&lt;=2.5,"Low",N728&lt;=3,"Medium",N728&gt;3,"High")</f>
        <v>Low</v>
      </c>
    </row>
    <row r="729" spans="1:20" x14ac:dyDescent="0.3">
      <c r="A729" s="2">
        <v>728</v>
      </c>
      <c r="B729" s="2" t="s">
        <v>24</v>
      </c>
      <c r="C729" s="2">
        <v>32</v>
      </c>
      <c r="D729" s="2" t="s">
        <v>15</v>
      </c>
      <c r="E729" s="2">
        <v>65.2</v>
      </c>
      <c r="F729" s="2">
        <v>1.62</v>
      </c>
      <c r="G729" s="2">
        <v>186</v>
      </c>
      <c r="H729" s="2">
        <v>128</v>
      </c>
      <c r="I729" s="2">
        <v>63</v>
      </c>
      <c r="J729" s="2">
        <v>0.57999999999999996</v>
      </c>
      <c r="K729" s="2">
        <v>408</v>
      </c>
      <c r="L729" s="2" t="s">
        <v>19</v>
      </c>
      <c r="M729" s="2">
        <v>25.3</v>
      </c>
      <c r="N729" s="2">
        <v>3.4</v>
      </c>
      <c r="O729" s="2">
        <v>2</v>
      </c>
      <c r="P729" s="2">
        <v>1</v>
      </c>
      <c r="Q729" s="2">
        <v>24.84</v>
      </c>
      <c r="R729" s="2" t="str" cm="1">
        <f t="array" ref="R729">_xlfn.IFS(Q729&lt;18.5,"Underweight",
AND(Q729&gt;=18.5,Q729&lt;25),"Normal Weight",
AND(Q729&gt;=25,Q729&lt;30),"Overweight",
Q729&gt;=30,"Obesity")</f>
        <v>Normal Weight</v>
      </c>
      <c r="S729" s="2">
        <f t="shared" si="11"/>
        <v>703.44827586206907</v>
      </c>
      <c r="T729" s="2" t="str" cm="1">
        <f t="array" ref="T729">_xlfn.IFS(N729&lt;=2.5,"Low",N729&lt;=3,"Medium",N729&gt;3,"High")</f>
        <v>High</v>
      </c>
    </row>
    <row r="730" spans="1:20" x14ac:dyDescent="0.3">
      <c r="A730" s="2">
        <v>729</v>
      </c>
      <c r="B730" s="2" t="s">
        <v>28</v>
      </c>
      <c r="C730" s="2">
        <v>47</v>
      </c>
      <c r="D730" s="2" t="s">
        <v>15</v>
      </c>
      <c r="E730" s="2">
        <v>87.2</v>
      </c>
      <c r="F730" s="2">
        <v>1.64</v>
      </c>
      <c r="G730" s="2">
        <v>177</v>
      </c>
      <c r="H730" s="2">
        <v>165</v>
      </c>
      <c r="I730" s="2">
        <v>50</v>
      </c>
      <c r="J730" s="2">
        <v>2</v>
      </c>
      <c r="K730" s="2">
        <v>1634</v>
      </c>
      <c r="L730" s="2" t="s">
        <v>20</v>
      </c>
      <c r="M730" s="2">
        <v>15</v>
      </c>
      <c r="N730" s="2">
        <v>3.5</v>
      </c>
      <c r="O730" s="2">
        <v>4</v>
      </c>
      <c r="P730" s="2">
        <v>3</v>
      </c>
      <c r="Q730" s="2">
        <v>32.42</v>
      </c>
      <c r="R730" s="2" t="str" cm="1">
        <f t="array" ref="R730">_xlfn.IFS(Q730&lt;18.5,"Underweight",
AND(Q730&gt;=18.5,Q730&lt;25),"Normal Weight",
AND(Q730&gt;=25,Q730&lt;30),"Overweight",
Q730&gt;=30,"Obesity")</f>
        <v>Obesity</v>
      </c>
      <c r="S730" s="2">
        <f t="shared" si="11"/>
        <v>817</v>
      </c>
      <c r="T730" s="2" t="str" cm="1">
        <f t="array" ref="T730">_xlfn.IFS(N730&lt;=2.5,"Low",N730&lt;=3,"Medium",N730&gt;3,"High")</f>
        <v>High</v>
      </c>
    </row>
    <row r="731" spans="1:20" x14ac:dyDescent="0.3">
      <c r="A731" s="2">
        <v>730</v>
      </c>
      <c r="B731" s="2" t="s">
        <v>27</v>
      </c>
      <c r="C731" s="2">
        <v>59</v>
      </c>
      <c r="D731" s="2" t="s">
        <v>15</v>
      </c>
      <c r="E731" s="2">
        <v>96.7</v>
      </c>
      <c r="F731" s="2">
        <v>1.71</v>
      </c>
      <c r="G731" s="2">
        <v>183</v>
      </c>
      <c r="H731" s="2">
        <v>150</v>
      </c>
      <c r="I731" s="2">
        <v>62</v>
      </c>
      <c r="J731" s="2">
        <v>0.56999999999999995</v>
      </c>
      <c r="K731" s="2">
        <v>423</v>
      </c>
      <c r="L731" s="2" t="s">
        <v>17</v>
      </c>
      <c r="M731" s="2">
        <v>28.4</v>
      </c>
      <c r="N731" s="2">
        <v>2.9</v>
      </c>
      <c r="O731" s="2">
        <v>3</v>
      </c>
      <c r="P731" s="2">
        <v>1</v>
      </c>
      <c r="Q731" s="2">
        <v>33.07</v>
      </c>
      <c r="R731" s="2" t="str" cm="1">
        <f t="array" ref="R731">_xlfn.IFS(Q731&lt;18.5,"Underweight",
AND(Q731&gt;=18.5,Q731&lt;25),"Normal Weight",
AND(Q731&gt;=25,Q731&lt;30),"Overweight",
Q731&gt;=30,"Obesity")</f>
        <v>Obesity</v>
      </c>
      <c r="S731" s="2">
        <f t="shared" si="11"/>
        <v>742.1052631578948</v>
      </c>
      <c r="T731" s="2" t="str" cm="1">
        <f t="array" ref="T731">_xlfn.IFS(N731&lt;=2.5,"Low",N731&lt;=3,"Medium",N731&gt;3,"High")</f>
        <v>Medium</v>
      </c>
    </row>
    <row r="732" spans="1:20" x14ac:dyDescent="0.3">
      <c r="A732" s="2">
        <v>731</v>
      </c>
      <c r="B732" s="2" t="s">
        <v>24</v>
      </c>
      <c r="C732" s="2">
        <v>34</v>
      </c>
      <c r="D732" s="2" t="s">
        <v>16</v>
      </c>
      <c r="E732" s="2">
        <v>46.9</v>
      </c>
      <c r="F732" s="2">
        <v>1.61</v>
      </c>
      <c r="G732" s="2">
        <v>196</v>
      </c>
      <c r="H732" s="2">
        <v>161</v>
      </c>
      <c r="I732" s="2">
        <v>69</v>
      </c>
      <c r="J732" s="2">
        <v>1.02</v>
      </c>
      <c r="K732" s="2">
        <v>821</v>
      </c>
      <c r="L732" s="2" t="s">
        <v>20</v>
      </c>
      <c r="M732" s="2">
        <v>28.6</v>
      </c>
      <c r="N732" s="2">
        <v>1.7</v>
      </c>
      <c r="O732" s="2">
        <v>3</v>
      </c>
      <c r="P732" s="2">
        <v>2</v>
      </c>
      <c r="Q732" s="2">
        <v>18.09</v>
      </c>
      <c r="R732" s="2" t="str" cm="1">
        <f t="array" ref="R732">_xlfn.IFS(Q732&lt;18.5,"Underweight",
AND(Q732&gt;=18.5,Q732&lt;25),"Normal Weight",
AND(Q732&gt;=25,Q732&lt;30),"Overweight",
Q732&gt;=30,"Obesity")</f>
        <v>Underweight</v>
      </c>
      <c r="S732" s="2">
        <f t="shared" si="11"/>
        <v>804.9019607843137</v>
      </c>
      <c r="T732" s="2" t="str" cm="1">
        <f t="array" ref="T732">_xlfn.IFS(N732&lt;=2.5,"Low",N732&lt;=3,"Medium",N732&gt;3,"High")</f>
        <v>Low</v>
      </c>
    </row>
    <row r="733" spans="1:20" x14ac:dyDescent="0.3">
      <c r="A733" s="2">
        <v>732</v>
      </c>
      <c r="B733" s="2" t="s">
        <v>28</v>
      </c>
      <c r="C733" s="2">
        <v>22</v>
      </c>
      <c r="D733" s="2" t="s">
        <v>16</v>
      </c>
      <c r="E733" s="2">
        <v>72.099999999999994</v>
      </c>
      <c r="F733" s="2">
        <v>1.62</v>
      </c>
      <c r="G733" s="2">
        <v>183</v>
      </c>
      <c r="H733" s="2">
        <v>123</v>
      </c>
      <c r="I733" s="2">
        <v>59</v>
      </c>
      <c r="J733" s="2">
        <v>1.38</v>
      </c>
      <c r="K733" s="2">
        <v>849</v>
      </c>
      <c r="L733" s="2" t="s">
        <v>18</v>
      </c>
      <c r="M733" s="2">
        <v>25.1</v>
      </c>
      <c r="N733" s="2">
        <v>2.1</v>
      </c>
      <c r="O733" s="2">
        <v>3</v>
      </c>
      <c r="P733" s="2">
        <v>1</v>
      </c>
      <c r="Q733" s="2">
        <v>27.47</v>
      </c>
      <c r="R733" s="2" t="str" cm="1">
        <f t="array" ref="R733">_xlfn.IFS(Q733&lt;18.5,"Underweight",
AND(Q733&gt;=18.5,Q733&lt;25),"Normal Weight",
AND(Q733&gt;=25,Q733&lt;30),"Overweight",
Q733&gt;=30,"Obesity")</f>
        <v>Overweight</v>
      </c>
      <c r="S733" s="2">
        <f t="shared" si="11"/>
        <v>615.21739130434787</v>
      </c>
      <c r="T733" s="2" t="str" cm="1">
        <f t="array" ref="T733">_xlfn.IFS(N733&lt;=2.5,"Low",N733&lt;=3,"Medium",N733&gt;3,"High")</f>
        <v>Low</v>
      </c>
    </row>
    <row r="734" spans="1:20" x14ac:dyDescent="0.3">
      <c r="A734" s="2">
        <v>733</v>
      </c>
      <c r="B734" s="2" t="s">
        <v>26</v>
      </c>
      <c r="C734" s="2">
        <v>46</v>
      </c>
      <c r="D734" s="2" t="s">
        <v>16</v>
      </c>
      <c r="E734" s="2">
        <v>62.5</v>
      </c>
      <c r="F734" s="2">
        <v>1.54</v>
      </c>
      <c r="G734" s="2">
        <v>197</v>
      </c>
      <c r="H734" s="2">
        <v>125</v>
      </c>
      <c r="I734" s="2">
        <v>73</v>
      </c>
      <c r="J734" s="2">
        <v>1.61</v>
      </c>
      <c r="K734" s="2">
        <v>906</v>
      </c>
      <c r="L734" s="2" t="s">
        <v>20</v>
      </c>
      <c r="M734" s="2">
        <v>18.100000000000001</v>
      </c>
      <c r="N734" s="2">
        <v>2.7</v>
      </c>
      <c r="O734" s="2">
        <v>4</v>
      </c>
      <c r="P734" s="2">
        <v>3</v>
      </c>
      <c r="Q734" s="2">
        <v>26.35</v>
      </c>
      <c r="R734" s="2" t="str" cm="1">
        <f t="array" ref="R734">_xlfn.IFS(Q734&lt;18.5,"Underweight",
AND(Q734&gt;=18.5,Q734&lt;25),"Normal Weight",
AND(Q734&gt;=25,Q734&lt;30),"Overweight",
Q734&gt;=30,"Obesity")</f>
        <v>Overweight</v>
      </c>
      <c r="S734" s="2">
        <f t="shared" si="11"/>
        <v>562.73291925465833</v>
      </c>
      <c r="T734" s="2" t="str" cm="1">
        <f t="array" ref="T734">_xlfn.IFS(N734&lt;=2.5,"Low",N734&lt;=3,"Medium",N734&gt;3,"High")</f>
        <v>Medium</v>
      </c>
    </row>
    <row r="735" spans="1:20" x14ac:dyDescent="0.3">
      <c r="A735" s="2">
        <v>734</v>
      </c>
      <c r="B735" s="2" t="s">
        <v>30</v>
      </c>
      <c r="C735" s="2">
        <v>21</v>
      </c>
      <c r="D735" s="2" t="s">
        <v>15</v>
      </c>
      <c r="E735" s="2">
        <v>110.7</v>
      </c>
      <c r="F735" s="2">
        <v>1.69</v>
      </c>
      <c r="G735" s="2">
        <v>193</v>
      </c>
      <c r="H735" s="2">
        <v>133</v>
      </c>
      <c r="I735" s="2">
        <v>59</v>
      </c>
      <c r="J735" s="2">
        <v>1.06</v>
      </c>
      <c r="K735" s="2">
        <v>775</v>
      </c>
      <c r="L735" s="2" t="s">
        <v>17</v>
      </c>
      <c r="M735" s="2">
        <v>27</v>
      </c>
      <c r="N735" s="2">
        <v>2.7</v>
      </c>
      <c r="O735" s="2">
        <v>3</v>
      </c>
      <c r="P735" s="2">
        <v>1</v>
      </c>
      <c r="Q735" s="2">
        <v>38.76</v>
      </c>
      <c r="R735" s="2" t="str" cm="1">
        <f t="array" ref="R735">_xlfn.IFS(Q735&lt;18.5,"Underweight",
AND(Q735&gt;=18.5,Q735&lt;25),"Normal Weight",
AND(Q735&gt;=25,Q735&lt;30),"Overweight",
Q735&gt;=30,"Obesity")</f>
        <v>Obesity</v>
      </c>
      <c r="S735" s="2">
        <f t="shared" si="11"/>
        <v>731.13207547169804</v>
      </c>
      <c r="T735" s="2" t="str" cm="1">
        <f t="array" ref="T735">_xlfn.IFS(N735&lt;=2.5,"Low",N735&lt;=3,"Medium",N735&gt;3,"High")</f>
        <v>Medium</v>
      </c>
    </row>
    <row r="736" spans="1:20" x14ac:dyDescent="0.3">
      <c r="A736" s="2">
        <v>735</v>
      </c>
      <c r="B736" s="2" t="s">
        <v>21</v>
      </c>
      <c r="C736" s="2">
        <v>27</v>
      </c>
      <c r="D736" s="2" t="s">
        <v>15</v>
      </c>
      <c r="E736" s="2">
        <v>102.6</v>
      </c>
      <c r="F736" s="2">
        <v>1.83</v>
      </c>
      <c r="G736" s="2">
        <v>199</v>
      </c>
      <c r="H736" s="2">
        <v>123</v>
      </c>
      <c r="I736" s="2">
        <v>58</v>
      </c>
      <c r="J736" s="2">
        <v>1.41</v>
      </c>
      <c r="K736" s="2">
        <v>954</v>
      </c>
      <c r="L736" s="2" t="s">
        <v>18</v>
      </c>
      <c r="M736" s="2">
        <v>26.5</v>
      </c>
      <c r="N736" s="2">
        <v>3.5</v>
      </c>
      <c r="O736" s="2">
        <v>3</v>
      </c>
      <c r="P736" s="2">
        <v>2</v>
      </c>
      <c r="Q736" s="2">
        <v>30.64</v>
      </c>
      <c r="R736" s="2" t="str" cm="1">
        <f t="array" ref="R736">_xlfn.IFS(Q736&lt;18.5,"Underweight",
AND(Q736&gt;=18.5,Q736&lt;25),"Normal Weight",
AND(Q736&gt;=25,Q736&lt;30),"Overweight",
Q736&gt;=30,"Obesity")</f>
        <v>Obesity</v>
      </c>
      <c r="S736" s="2">
        <f t="shared" si="11"/>
        <v>676.59574468085111</v>
      </c>
      <c r="T736" s="2" t="str" cm="1">
        <f t="array" ref="T736">_xlfn.IFS(N736&lt;=2.5,"Low",N736&lt;=3,"Medium",N736&gt;3,"High")</f>
        <v>High</v>
      </c>
    </row>
    <row r="737" spans="1:20" x14ac:dyDescent="0.3">
      <c r="A737" s="2">
        <v>736</v>
      </c>
      <c r="B737" s="2" t="s">
        <v>21</v>
      </c>
      <c r="C737" s="2">
        <v>34</v>
      </c>
      <c r="D737" s="2" t="s">
        <v>16</v>
      </c>
      <c r="E737" s="2">
        <v>64.3</v>
      </c>
      <c r="F737" s="2">
        <v>1.62</v>
      </c>
      <c r="G737" s="2">
        <v>174</v>
      </c>
      <c r="H737" s="2">
        <v>145</v>
      </c>
      <c r="I737" s="2">
        <v>62</v>
      </c>
      <c r="J737" s="2">
        <v>1.76</v>
      </c>
      <c r="K737" s="2">
        <v>1276</v>
      </c>
      <c r="L737" s="2" t="s">
        <v>17</v>
      </c>
      <c r="M737" s="2">
        <v>19.8</v>
      </c>
      <c r="N737" s="2">
        <v>2.7</v>
      </c>
      <c r="O737" s="2">
        <v>5</v>
      </c>
      <c r="P737" s="2">
        <v>3</v>
      </c>
      <c r="Q737" s="2">
        <v>24.5</v>
      </c>
      <c r="R737" s="2" t="str" cm="1">
        <f t="array" ref="R737">_xlfn.IFS(Q737&lt;18.5,"Underweight",
AND(Q737&gt;=18.5,Q737&lt;25),"Normal Weight",
AND(Q737&gt;=25,Q737&lt;30),"Overweight",
Q737&gt;=30,"Obesity")</f>
        <v>Normal Weight</v>
      </c>
      <c r="S737" s="2">
        <f t="shared" si="11"/>
        <v>725</v>
      </c>
      <c r="T737" s="2" t="str" cm="1">
        <f t="array" ref="T737">_xlfn.IFS(N737&lt;=2.5,"Low",N737&lt;=3,"Medium",N737&gt;3,"High")</f>
        <v>Medium</v>
      </c>
    </row>
    <row r="738" spans="1:20" x14ac:dyDescent="0.3">
      <c r="A738" s="2">
        <v>737</v>
      </c>
      <c r="B738" s="2" t="s">
        <v>27</v>
      </c>
      <c r="C738" s="2">
        <v>27</v>
      </c>
      <c r="D738" s="2" t="s">
        <v>15</v>
      </c>
      <c r="E738" s="2">
        <v>80.7</v>
      </c>
      <c r="F738" s="2">
        <v>1.61</v>
      </c>
      <c r="G738" s="2">
        <v>170</v>
      </c>
      <c r="H738" s="2">
        <v>166</v>
      </c>
      <c r="I738" s="2">
        <v>52</v>
      </c>
      <c r="J738" s="2">
        <v>1.75</v>
      </c>
      <c r="K738" s="2">
        <v>1598</v>
      </c>
      <c r="L738" s="2" t="s">
        <v>20</v>
      </c>
      <c r="M738" s="2">
        <v>14.3</v>
      </c>
      <c r="N738" s="2">
        <v>3.5</v>
      </c>
      <c r="O738" s="2">
        <v>4</v>
      </c>
      <c r="P738" s="2">
        <v>3</v>
      </c>
      <c r="Q738" s="2">
        <v>31.13</v>
      </c>
      <c r="R738" s="2" t="str" cm="1">
        <f t="array" ref="R738">_xlfn.IFS(Q738&lt;18.5,"Underweight",
AND(Q738&gt;=18.5,Q738&lt;25),"Normal Weight",
AND(Q738&gt;=25,Q738&lt;30),"Overweight",
Q738&gt;=30,"Obesity")</f>
        <v>Obesity</v>
      </c>
      <c r="S738" s="2">
        <f t="shared" si="11"/>
        <v>913.14285714285711</v>
      </c>
      <c r="T738" s="2" t="str" cm="1">
        <f t="array" ref="T738">_xlfn.IFS(N738&lt;=2.5,"Low",N738&lt;=3,"Medium",N738&gt;3,"High")</f>
        <v>High</v>
      </c>
    </row>
    <row r="739" spans="1:20" x14ac:dyDescent="0.3">
      <c r="A739" s="2">
        <v>738</v>
      </c>
      <c r="B739" s="2" t="s">
        <v>23</v>
      </c>
      <c r="C739" s="2">
        <v>34</v>
      </c>
      <c r="D739" s="2" t="s">
        <v>15</v>
      </c>
      <c r="E739" s="2">
        <v>115.3</v>
      </c>
      <c r="F739" s="2">
        <v>1.81</v>
      </c>
      <c r="G739" s="2">
        <v>181</v>
      </c>
      <c r="H739" s="2">
        <v>167</v>
      </c>
      <c r="I739" s="2">
        <v>67</v>
      </c>
      <c r="J739" s="2">
        <v>1.36</v>
      </c>
      <c r="K739" s="2">
        <v>1249</v>
      </c>
      <c r="L739" s="2" t="s">
        <v>17</v>
      </c>
      <c r="M739" s="2">
        <v>24.5</v>
      </c>
      <c r="N739" s="2">
        <v>2.2000000000000002</v>
      </c>
      <c r="O739" s="2">
        <v>2</v>
      </c>
      <c r="P739" s="2">
        <v>1</v>
      </c>
      <c r="Q739" s="2">
        <v>35.19</v>
      </c>
      <c r="R739" s="2" t="str" cm="1">
        <f t="array" ref="R739">_xlfn.IFS(Q739&lt;18.5,"Underweight",
AND(Q739&gt;=18.5,Q739&lt;25),"Normal Weight",
AND(Q739&gt;=25,Q739&lt;30),"Overweight",
Q739&gt;=30,"Obesity")</f>
        <v>Obesity</v>
      </c>
      <c r="S739" s="2">
        <f t="shared" si="11"/>
        <v>918.38235294117635</v>
      </c>
      <c r="T739" s="2" t="str" cm="1">
        <f t="array" ref="T739">_xlfn.IFS(N739&lt;=2.5,"Low",N739&lt;=3,"Medium",N739&gt;3,"High")</f>
        <v>Low</v>
      </c>
    </row>
    <row r="740" spans="1:20" x14ac:dyDescent="0.3">
      <c r="A740" s="2">
        <v>739</v>
      </c>
      <c r="B740" s="2" t="s">
        <v>22</v>
      </c>
      <c r="C740" s="2">
        <v>37</v>
      </c>
      <c r="D740" s="2" t="s">
        <v>15</v>
      </c>
      <c r="E740" s="2">
        <v>87.8</v>
      </c>
      <c r="F740" s="2">
        <v>1.69</v>
      </c>
      <c r="G740" s="2">
        <v>183</v>
      </c>
      <c r="H740" s="2">
        <v>158</v>
      </c>
      <c r="I740" s="2">
        <v>69</v>
      </c>
      <c r="J740" s="2">
        <v>1.81</v>
      </c>
      <c r="K740" s="2">
        <v>1573</v>
      </c>
      <c r="L740" s="2" t="s">
        <v>18</v>
      </c>
      <c r="M740" s="2">
        <v>10.3</v>
      </c>
      <c r="N740" s="2">
        <v>3.5</v>
      </c>
      <c r="O740" s="2">
        <v>5</v>
      </c>
      <c r="P740" s="2">
        <v>3</v>
      </c>
      <c r="Q740" s="2">
        <v>30.74</v>
      </c>
      <c r="R740" s="2" t="str" cm="1">
        <f t="array" ref="R740">_xlfn.IFS(Q740&lt;18.5,"Underweight",
AND(Q740&gt;=18.5,Q740&lt;25),"Normal Weight",
AND(Q740&gt;=25,Q740&lt;30),"Overweight",
Q740&gt;=30,"Obesity")</f>
        <v>Obesity</v>
      </c>
      <c r="S740" s="2">
        <f t="shared" si="11"/>
        <v>869.06077348066299</v>
      </c>
      <c r="T740" s="2" t="str" cm="1">
        <f t="array" ref="T740">_xlfn.IFS(N740&lt;=2.5,"Low",N740&lt;=3,"Medium",N740&gt;3,"High")</f>
        <v>High</v>
      </c>
    </row>
    <row r="741" spans="1:20" x14ac:dyDescent="0.3">
      <c r="A741" s="2">
        <v>740</v>
      </c>
      <c r="B741" s="2" t="s">
        <v>23</v>
      </c>
      <c r="C741" s="2">
        <v>41</v>
      </c>
      <c r="D741" s="2" t="s">
        <v>15</v>
      </c>
      <c r="E741" s="2">
        <v>74.3</v>
      </c>
      <c r="F741" s="2">
        <v>1.61</v>
      </c>
      <c r="G741" s="2">
        <v>160</v>
      </c>
      <c r="H741" s="2">
        <v>136</v>
      </c>
      <c r="I741" s="2">
        <v>51</v>
      </c>
      <c r="J741" s="2">
        <v>1.06</v>
      </c>
      <c r="K741" s="2">
        <v>714</v>
      </c>
      <c r="L741" s="2" t="s">
        <v>20</v>
      </c>
      <c r="M741" s="2">
        <v>24.8</v>
      </c>
      <c r="N741" s="2">
        <v>3.5</v>
      </c>
      <c r="O741" s="2">
        <v>4</v>
      </c>
      <c r="P741" s="2">
        <v>2</v>
      </c>
      <c r="Q741" s="2">
        <v>28.66</v>
      </c>
      <c r="R741" s="2" t="str" cm="1">
        <f t="array" ref="R741">_xlfn.IFS(Q741&lt;18.5,"Underweight",
AND(Q741&gt;=18.5,Q741&lt;25),"Normal Weight",
AND(Q741&gt;=25,Q741&lt;30),"Overweight",
Q741&gt;=30,"Obesity")</f>
        <v>Overweight</v>
      </c>
      <c r="S741" s="2">
        <f t="shared" si="11"/>
        <v>673.58490566037733</v>
      </c>
      <c r="T741" s="2" t="str" cm="1">
        <f t="array" ref="T741">_xlfn.IFS(N741&lt;=2.5,"Low",N741&lt;=3,"Medium",N741&gt;3,"High")</f>
        <v>High</v>
      </c>
    </row>
    <row r="742" spans="1:20" x14ac:dyDescent="0.3">
      <c r="A742" s="2">
        <v>741</v>
      </c>
      <c r="B742" s="2" t="s">
        <v>22</v>
      </c>
      <c r="C742" s="2">
        <v>22</v>
      </c>
      <c r="D742" s="2" t="s">
        <v>16</v>
      </c>
      <c r="E742" s="2">
        <v>78.5</v>
      </c>
      <c r="F742" s="2">
        <v>1.7</v>
      </c>
      <c r="G742" s="2">
        <v>177</v>
      </c>
      <c r="H742" s="2">
        <v>138</v>
      </c>
      <c r="I742" s="2">
        <v>66</v>
      </c>
      <c r="J742" s="2">
        <v>1.36</v>
      </c>
      <c r="K742" s="2">
        <v>938</v>
      </c>
      <c r="L742" s="2" t="s">
        <v>20</v>
      </c>
      <c r="M742" s="2">
        <v>31.9</v>
      </c>
      <c r="N742" s="2">
        <v>2.1</v>
      </c>
      <c r="O742" s="2">
        <v>4</v>
      </c>
      <c r="P742" s="2">
        <v>2</v>
      </c>
      <c r="Q742" s="2">
        <v>27.16</v>
      </c>
      <c r="R742" s="2" t="str" cm="1">
        <f t="array" ref="R742">_xlfn.IFS(Q742&lt;18.5,"Underweight",
AND(Q742&gt;=18.5,Q742&lt;25),"Normal Weight",
AND(Q742&gt;=25,Q742&lt;30),"Overweight",
Q742&gt;=30,"Obesity")</f>
        <v>Overweight</v>
      </c>
      <c r="S742" s="2">
        <f t="shared" si="11"/>
        <v>689.7058823529411</v>
      </c>
      <c r="T742" s="2" t="str" cm="1">
        <f t="array" ref="T742">_xlfn.IFS(N742&lt;=2.5,"Low",N742&lt;=3,"Medium",N742&gt;3,"High")</f>
        <v>Low</v>
      </c>
    </row>
    <row r="743" spans="1:20" x14ac:dyDescent="0.3">
      <c r="A743" s="2">
        <v>742</v>
      </c>
      <c r="B743" s="2" t="s">
        <v>23</v>
      </c>
      <c r="C743" s="2">
        <v>51</v>
      </c>
      <c r="D743" s="2" t="s">
        <v>16</v>
      </c>
      <c r="E743" s="2">
        <v>77.3</v>
      </c>
      <c r="F743" s="2">
        <v>1.58</v>
      </c>
      <c r="G743" s="2">
        <v>171</v>
      </c>
      <c r="H743" s="2">
        <v>168</v>
      </c>
      <c r="I743" s="2">
        <v>68</v>
      </c>
      <c r="J743" s="2">
        <v>0.97</v>
      </c>
      <c r="K743" s="2">
        <v>733</v>
      </c>
      <c r="L743" s="2" t="s">
        <v>19</v>
      </c>
      <c r="M743" s="2">
        <v>31.1</v>
      </c>
      <c r="N743" s="2">
        <v>2</v>
      </c>
      <c r="O743" s="2">
        <v>2</v>
      </c>
      <c r="P743" s="2">
        <v>1</v>
      </c>
      <c r="Q743" s="2">
        <v>30.96</v>
      </c>
      <c r="R743" s="2" t="str" cm="1">
        <f t="array" ref="R743">_xlfn.IFS(Q743&lt;18.5,"Underweight",
AND(Q743&gt;=18.5,Q743&lt;25),"Normal Weight",
AND(Q743&gt;=25,Q743&lt;30),"Overweight",
Q743&gt;=30,"Obesity")</f>
        <v>Obesity</v>
      </c>
      <c r="S743" s="2">
        <f t="shared" si="11"/>
        <v>755.67010309278351</v>
      </c>
      <c r="T743" s="2" t="str" cm="1">
        <f t="array" ref="T743">_xlfn.IFS(N743&lt;=2.5,"Low",N743&lt;=3,"Medium",N743&gt;3,"High")</f>
        <v>Low</v>
      </c>
    </row>
    <row r="744" spans="1:20" x14ac:dyDescent="0.3">
      <c r="A744" s="2">
        <v>743</v>
      </c>
      <c r="B744" s="2" t="s">
        <v>30</v>
      </c>
      <c r="C744" s="2">
        <v>23</v>
      </c>
      <c r="D744" s="2" t="s">
        <v>16</v>
      </c>
      <c r="E744" s="2">
        <v>64.5</v>
      </c>
      <c r="F744" s="2">
        <v>1.7</v>
      </c>
      <c r="G744" s="2">
        <v>187</v>
      </c>
      <c r="H744" s="2">
        <v>125</v>
      </c>
      <c r="I744" s="2">
        <v>72</v>
      </c>
      <c r="J744" s="2">
        <v>0.51</v>
      </c>
      <c r="K744" s="2">
        <v>319</v>
      </c>
      <c r="L744" s="2" t="s">
        <v>19</v>
      </c>
      <c r="M744" s="2">
        <v>30.4</v>
      </c>
      <c r="N744" s="2">
        <v>1.7</v>
      </c>
      <c r="O744" s="2">
        <v>2</v>
      </c>
      <c r="P744" s="2">
        <v>1</v>
      </c>
      <c r="Q744" s="2">
        <v>22.32</v>
      </c>
      <c r="R744" s="2" t="str" cm="1">
        <f t="array" ref="R744">_xlfn.IFS(Q744&lt;18.5,"Underweight",
AND(Q744&gt;=18.5,Q744&lt;25),"Normal Weight",
AND(Q744&gt;=25,Q744&lt;30),"Overweight",
Q744&gt;=30,"Obesity")</f>
        <v>Normal Weight</v>
      </c>
      <c r="S744" s="2">
        <f t="shared" si="11"/>
        <v>625.49019607843138</v>
      </c>
      <c r="T744" s="2" t="str" cm="1">
        <f t="array" ref="T744">_xlfn.IFS(N744&lt;=2.5,"Low",N744&lt;=3,"Medium",N744&gt;3,"High")</f>
        <v>Low</v>
      </c>
    </row>
    <row r="745" spans="1:20" x14ac:dyDescent="0.3">
      <c r="A745" s="2">
        <v>744</v>
      </c>
      <c r="B745" s="2" t="s">
        <v>26</v>
      </c>
      <c r="C745" s="2">
        <v>19</v>
      </c>
      <c r="D745" s="2" t="s">
        <v>15</v>
      </c>
      <c r="E745" s="2">
        <v>72</v>
      </c>
      <c r="F745" s="2">
        <v>1.94</v>
      </c>
      <c r="G745" s="2">
        <v>199</v>
      </c>
      <c r="H745" s="2">
        <v>148</v>
      </c>
      <c r="I745" s="2">
        <v>62</v>
      </c>
      <c r="J745" s="2">
        <v>1.17</v>
      </c>
      <c r="K745" s="2">
        <v>952</v>
      </c>
      <c r="L745" s="2" t="s">
        <v>17</v>
      </c>
      <c r="M745" s="2">
        <v>24.7</v>
      </c>
      <c r="N745" s="2">
        <v>3.2</v>
      </c>
      <c r="O745" s="2">
        <v>3</v>
      </c>
      <c r="P745" s="2">
        <v>2</v>
      </c>
      <c r="Q745" s="2">
        <v>19.13</v>
      </c>
      <c r="R745" s="2" t="str" cm="1">
        <f t="array" ref="R745">_xlfn.IFS(Q745&lt;18.5,"Underweight",
AND(Q745&gt;=18.5,Q745&lt;25),"Normal Weight",
AND(Q745&gt;=25,Q745&lt;30),"Overweight",
Q745&gt;=30,"Obesity")</f>
        <v>Normal Weight</v>
      </c>
      <c r="S745" s="2">
        <f t="shared" si="11"/>
        <v>813.67521367521374</v>
      </c>
      <c r="T745" s="2" t="str" cm="1">
        <f t="array" ref="T745">_xlfn.IFS(N745&lt;=2.5,"Low",N745&lt;=3,"Medium",N745&gt;3,"High")</f>
        <v>High</v>
      </c>
    </row>
    <row r="746" spans="1:20" x14ac:dyDescent="0.3">
      <c r="A746" s="2">
        <v>745</v>
      </c>
      <c r="B746" s="2" t="s">
        <v>26</v>
      </c>
      <c r="C746" s="2">
        <v>30</v>
      </c>
      <c r="D746" s="2" t="s">
        <v>16</v>
      </c>
      <c r="E746" s="2">
        <v>77.900000000000006</v>
      </c>
      <c r="F746" s="2">
        <v>1.77</v>
      </c>
      <c r="G746" s="2">
        <v>166</v>
      </c>
      <c r="H746" s="2">
        <v>130</v>
      </c>
      <c r="I746" s="2">
        <v>62</v>
      </c>
      <c r="J746" s="2">
        <v>1.41</v>
      </c>
      <c r="K746" s="2">
        <v>916</v>
      </c>
      <c r="L746" s="2" t="s">
        <v>19</v>
      </c>
      <c r="M746" s="2">
        <v>27.9</v>
      </c>
      <c r="N746" s="2">
        <v>2.6</v>
      </c>
      <c r="O746" s="2">
        <v>4</v>
      </c>
      <c r="P746" s="2">
        <v>2</v>
      </c>
      <c r="Q746" s="2">
        <v>24.87</v>
      </c>
      <c r="R746" s="2" t="str" cm="1">
        <f t="array" ref="R746">_xlfn.IFS(Q746&lt;18.5,"Underweight",
AND(Q746&gt;=18.5,Q746&lt;25),"Normal Weight",
AND(Q746&gt;=25,Q746&lt;30),"Overweight",
Q746&gt;=30,"Obesity")</f>
        <v>Normal Weight</v>
      </c>
      <c r="S746" s="2">
        <f t="shared" si="11"/>
        <v>649.64539007092208</v>
      </c>
      <c r="T746" s="2" t="str" cm="1">
        <f t="array" ref="T746">_xlfn.IFS(N746&lt;=2.5,"Low",N746&lt;=3,"Medium",N746&gt;3,"High")</f>
        <v>Medium</v>
      </c>
    </row>
    <row r="747" spans="1:20" x14ac:dyDescent="0.3">
      <c r="A747" s="2">
        <v>746</v>
      </c>
      <c r="B747" s="2" t="s">
        <v>28</v>
      </c>
      <c r="C747" s="2">
        <v>28</v>
      </c>
      <c r="D747" s="2" t="s">
        <v>16</v>
      </c>
      <c r="E747" s="2">
        <v>69.599999999999994</v>
      </c>
      <c r="F747" s="2">
        <v>1.58</v>
      </c>
      <c r="G747" s="2">
        <v>182</v>
      </c>
      <c r="H747" s="2">
        <v>135</v>
      </c>
      <c r="I747" s="2">
        <v>50</v>
      </c>
      <c r="J747" s="2">
        <v>1.49</v>
      </c>
      <c r="K747" s="2">
        <v>1006</v>
      </c>
      <c r="L747" s="2" t="s">
        <v>19</v>
      </c>
      <c r="M747" s="2">
        <v>27.8</v>
      </c>
      <c r="N747" s="2">
        <v>2</v>
      </c>
      <c r="O747" s="2">
        <v>3</v>
      </c>
      <c r="P747" s="2">
        <v>2</v>
      </c>
      <c r="Q747" s="2">
        <v>27.88</v>
      </c>
      <c r="R747" s="2" t="str" cm="1">
        <f t="array" ref="R747">_xlfn.IFS(Q747&lt;18.5,"Underweight",
AND(Q747&gt;=18.5,Q747&lt;25),"Normal Weight",
AND(Q747&gt;=25,Q747&lt;30),"Overweight",
Q747&gt;=30,"Obesity")</f>
        <v>Overweight</v>
      </c>
      <c r="S747" s="2">
        <f t="shared" si="11"/>
        <v>675.16778523489938</v>
      </c>
      <c r="T747" s="2" t="str" cm="1">
        <f t="array" ref="T747">_xlfn.IFS(N747&lt;=2.5,"Low",N747&lt;=3,"Medium",N747&gt;3,"High")</f>
        <v>Low</v>
      </c>
    </row>
    <row r="748" spans="1:20" x14ac:dyDescent="0.3">
      <c r="A748" s="2">
        <v>747</v>
      </c>
      <c r="B748" s="2" t="s">
        <v>25</v>
      </c>
      <c r="C748" s="2">
        <v>40</v>
      </c>
      <c r="D748" s="2" t="s">
        <v>15</v>
      </c>
      <c r="E748" s="2">
        <v>68.900000000000006</v>
      </c>
      <c r="F748" s="2">
        <v>1.99</v>
      </c>
      <c r="G748" s="2">
        <v>180</v>
      </c>
      <c r="H748" s="2">
        <v>149</v>
      </c>
      <c r="I748" s="2">
        <v>51</v>
      </c>
      <c r="J748" s="2">
        <v>1.1599999999999999</v>
      </c>
      <c r="K748" s="2">
        <v>951</v>
      </c>
      <c r="L748" s="2" t="s">
        <v>19</v>
      </c>
      <c r="M748" s="2">
        <v>25</v>
      </c>
      <c r="N748" s="2">
        <v>2.4</v>
      </c>
      <c r="O748" s="2">
        <v>4</v>
      </c>
      <c r="P748" s="2">
        <v>2</v>
      </c>
      <c r="Q748" s="2">
        <v>17.399999999999999</v>
      </c>
      <c r="R748" s="2" t="str" cm="1">
        <f t="array" ref="R748">_xlfn.IFS(Q748&lt;18.5,"Underweight",
AND(Q748&gt;=18.5,Q748&lt;25),"Normal Weight",
AND(Q748&gt;=25,Q748&lt;30),"Overweight",
Q748&gt;=30,"Obesity")</f>
        <v>Underweight</v>
      </c>
      <c r="S748" s="2">
        <f t="shared" si="11"/>
        <v>819.82758620689663</v>
      </c>
      <c r="T748" s="2" t="str" cm="1">
        <f t="array" ref="T748">_xlfn.IFS(N748&lt;=2.5,"Low",N748&lt;=3,"Medium",N748&gt;3,"High")</f>
        <v>Low</v>
      </c>
    </row>
    <row r="749" spans="1:20" x14ac:dyDescent="0.3">
      <c r="A749" s="2">
        <v>748</v>
      </c>
      <c r="B749" s="2" t="s">
        <v>26</v>
      </c>
      <c r="C749" s="2">
        <v>33</v>
      </c>
      <c r="D749" s="2" t="s">
        <v>15</v>
      </c>
      <c r="E749" s="2">
        <v>45.9</v>
      </c>
      <c r="F749" s="2">
        <v>1.89</v>
      </c>
      <c r="G749" s="2">
        <v>193</v>
      </c>
      <c r="H749" s="2">
        <v>144</v>
      </c>
      <c r="I749" s="2">
        <v>50</v>
      </c>
      <c r="J749" s="2">
        <v>1.45</v>
      </c>
      <c r="K749" s="2">
        <v>1148</v>
      </c>
      <c r="L749" s="2" t="s">
        <v>19</v>
      </c>
      <c r="M749" s="2">
        <v>21.6</v>
      </c>
      <c r="N749" s="2">
        <v>2.9</v>
      </c>
      <c r="O749" s="2">
        <v>3</v>
      </c>
      <c r="P749" s="2">
        <v>2</v>
      </c>
      <c r="Q749" s="2">
        <v>12.85</v>
      </c>
      <c r="R749" s="2" t="str" cm="1">
        <f t="array" ref="R749">_xlfn.IFS(Q749&lt;18.5,"Underweight",
AND(Q749&gt;=18.5,Q749&lt;25),"Normal Weight",
AND(Q749&gt;=25,Q749&lt;30),"Overweight",
Q749&gt;=30,"Obesity")</f>
        <v>Underweight</v>
      </c>
      <c r="S749" s="2">
        <f t="shared" si="11"/>
        <v>791.72413793103453</v>
      </c>
      <c r="T749" s="2" t="str" cm="1">
        <f t="array" ref="T749">_xlfn.IFS(N749&lt;=2.5,"Low",N749&lt;=3,"Medium",N749&gt;3,"High")</f>
        <v>Medium</v>
      </c>
    </row>
    <row r="750" spans="1:20" x14ac:dyDescent="0.3">
      <c r="A750" s="2">
        <v>749</v>
      </c>
      <c r="B750" s="2" t="s">
        <v>26</v>
      </c>
      <c r="C750" s="2">
        <v>48</v>
      </c>
      <c r="D750" s="2" t="s">
        <v>16</v>
      </c>
      <c r="E750" s="2">
        <v>68.2</v>
      </c>
      <c r="F750" s="2">
        <v>1.69</v>
      </c>
      <c r="G750" s="2">
        <v>170</v>
      </c>
      <c r="H750" s="2">
        <v>159</v>
      </c>
      <c r="I750" s="2">
        <v>73</v>
      </c>
      <c r="J750" s="2">
        <v>0.75</v>
      </c>
      <c r="K750" s="2">
        <v>537</v>
      </c>
      <c r="L750" s="2" t="s">
        <v>18</v>
      </c>
      <c r="M750" s="2">
        <v>28.4</v>
      </c>
      <c r="N750" s="2">
        <v>2.5</v>
      </c>
      <c r="O750" s="2">
        <v>3</v>
      </c>
      <c r="P750" s="2">
        <v>1</v>
      </c>
      <c r="Q750" s="2">
        <v>23.88</v>
      </c>
      <c r="R750" s="2" t="str" cm="1">
        <f t="array" ref="R750">_xlfn.IFS(Q750&lt;18.5,"Underweight",
AND(Q750&gt;=18.5,Q750&lt;25),"Normal Weight",
AND(Q750&gt;=25,Q750&lt;30),"Overweight",
Q750&gt;=30,"Obesity")</f>
        <v>Normal Weight</v>
      </c>
      <c r="S750" s="2">
        <f t="shared" si="11"/>
        <v>716</v>
      </c>
      <c r="T750" s="2" t="str" cm="1">
        <f t="array" ref="T750">_xlfn.IFS(N750&lt;=2.5,"Low",N750&lt;=3,"Medium",N750&gt;3,"High")</f>
        <v>Low</v>
      </c>
    </row>
    <row r="751" spans="1:20" x14ac:dyDescent="0.3">
      <c r="A751" s="2">
        <v>750</v>
      </c>
      <c r="B751" s="2" t="s">
        <v>24</v>
      </c>
      <c r="C751" s="2">
        <v>28</v>
      </c>
      <c r="D751" s="2" t="s">
        <v>16</v>
      </c>
      <c r="E751" s="2">
        <v>79.599999999999994</v>
      </c>
      <c r="F751" s="2">
        <v>1.59</v>
      </c>
      <c r="G751" s="2">
        <v>181</v>
      </c>
      <c r="H751" s="2">
        <v>130</v>
      </c>
      <c r="I751" s="2">
        <v>54</v>
      </c>
      <c r="J751" s="2">
        <v>1.49</v>
      </c>
      <c r="K751" s="2">
        <v>968</v>
      </c>
      <c r="L751" s="2" t="s">
        <v>18</v>
      </c>
      <c r="M751" s="2">
        <v>28.2</v>
      </c>
      <c r="N751" s="2">
        <v>1.5</v>
      </c>
      <c r="O751" s="2">
        <v>3</v>
      </c>
      <c r="P751" s="2">
        <v>2</v>
      </c>
      <c r="Q751" s="2">
        <v>31.49</v>
      </c>
      <c r="R751" s="2" t="str" cm="1">
        <f t="array" ref="R751">_xlfn.IFS(Q751&lt;18.5,"Underweight",
AND(Q751&gt;=18.5,Q751&lt;25),"Normal Weight",
AND(Q751&gt;=25,Q751&lt;30),"Overweight",
Q751&gt;=30,"Obesity")</f>
        <v>Obesity</v>
      </c>
      <c r="S751" s="2">
        <f t="shared" si="11"/>
        <v>649.66442953020135</v>
      </c>
      <c r="T751" s="2" t="str" cm="1">
        <f t="array" ref="T751">_xlfn.IFS(N751&lt;=2.5,"Low",N751&lt;=3,"Medium",N751&gt;3,"High")</f>
        <v>Low</v>
      </c>
    </row>
    <row r="752" spans="1:20" x14ac:dyDescent="0.3">
      <c r="A752" s="2">
        <v>751</v>
      </c>
      <c r="B752" s="2" t="s">
        <v>24</v>
      </c>
      <c r="C752" s="2">
        <v>33</v>
      </c>
      <c r="D752" s="2" t="s">
        <v>16</v>
      </c>
      <c r="E752" s="2">
        <v>53.6</v>
      </c>
      <c r="F752" s="2">
        <v>1.52</v>
      </c>
      <c r="G752" s="2">
        <v>194</v>
      </c>
      <c r="H752" s="2">
        <v>126</v>
      </c>
      <c r="I752" s="2">
        <v>73</v>
      </c>
      <c r="J752" s="2">
        <v>1.02</v>
      </c>
      <c r="K752" s="2">
        <v>643</v>
      </c>
      <c r="L752" s="2" t="s">
        <v>19</v>
      </c>
      <c r="M752" s="2">
        <v>30.9</v>
      </c>
      <c r="N752" s="2">
        <v>2.2999999999999998</v>
      </c>
      <c r="O752" s="2">
        <v>2</v>
      </c>
      <c r="P752" s="2">
        <v>1</v>
      </c>
      <c r="Q752" s="2">
        <v>23.2</v>
      </c>
      <c r="R752" s="2" t="str" cm="1">
        <f t="array" ref="R752">_xlfn.IFS(Q752&lt;18.5,"Underweight",
AND(Q752&gt;=18.5,Q752&lt;25),"Normal Weight",
AND(Q752&gt;=25,Q752&lt;30),"Overweight",
Q752&gt;=30,"Obesity")</f>
        <v>Normal Weight</v>
      </c>
      <c r="S752" s="2">
        <f t="shared" si="11"/>
        <v>630.39215686274508</v>
      </c>
      <c r="T752" s="2" t="str" cm="1">
        <f t="array" ref="T752">_xlfn.IFS(N752&lt;=2.5,"Low",N752&lt;=3,"Medium",N752&gt;3,"High")</f>
        <v>Low</v>
      </c>
    </row>
    <row r="753" spans="1:20" x14ac:dyDescent="0.3">
      <c r="A753" s="2">
        <v>752</v>
      </c>
      <c r="B753" s="2" t="s">
        <v>28</v>
      </c>
      <c r="C753" s="2">
        <v>25</v>
      </c>
      <c r="D753" s="2" t="s">
        <v>16</v>
      </c>
      <c r="E753" s="2">
        <v>57.7</v>
      </c>
      <c r="F753" s="2">
        <v>1.58</v>
      </c>
      <c r="G753" s="2">
        <v>188</v>
      </c>
      <c r="H753" s="2">
        <v>145</v>
      </c>
      <c r="I753" s="2">
        <v>52</v>
      </c>
      <c r="J753" s="2">
        <v>1.36</v>
      </c>
      <c r="K753" s="2">
        <v>986</v>
      </c>
      <c r="L753" s="2" t="s">
        <v>17</v>
      </c>
      <c r="M753" s="2">
        <v>25.7</v>
      </c>
      <c r="N753" s="2">
        <v>2.2000000000000002</v>
      </c>
      <c r="O753" s="2">
        <v>3</v>
      </c>
      <c r="P753" s="2">
        <v>2</v>
      </c>
      <c r="Q753" s="2">
        <v>23.11</v>
      </c>
      <c r="R753" s="2" t="str" cm="1">
        <f t="array" ref="R753">_xlfn.IFS(Q753&lt;18.5,"Underweight",
AND(Q753&gt;=18.5,Q753&lt;25),"Normal Weight",
AND(Q753&gt;=25,Q753&lt;30),"Overweight",
Q753&gt;=30,"Obesity")</f>
        <v>Normal Weight</v>
      </c>
      <c r="S753" s="2">
        <f t="shared" si="11"/>
        <v>725</v>
      </c>
      <c r="T753" s="2" t="str" cm="1">
        <f t="array" ref="T753">_xlfn.IFS(N753&lt;=2.5,"Low",N753&lt;=3,"Medium",N753&gt;3,"High")</f>
        <v>Low</v>
      </c>
    </row>
    <row r="754" spans="1:20" x14ac:dyDescent="0.3">
      <c r="A754" s="2">
        <v>753</v>
      </c>
      <c r="B754" s="2" t="s">
        <v>25</v>
      </c>
      <c r="C754" s="2">
        <v>21</v>
      </c>
      <c r="D754" s="2" t="s">
        <v>15</v>
      </c>
      <c r="E754" s="2">
        <v>74.2</v>
      </c>
      <c r="F754" s="2">
        <v>1.93</v>
      </c>
      <c r="G754" s="2">
        <v>187</v>
      </c>
      <c r="H754" s="2">
        <v>141</v>
      </c>
      <c r="I754" s="2">
        <v>56</v>
      </c>
      <c r="J754" s="2">
        <v>1.32</v>
      </c>
      <c r="K754" s="2">
        <v>1024</v>
      </c>
      <c r="L754" s="2" t="s">
        <v>18</v>
      </c>
      <c r="M754" s="2">
        <v>28.3</v>
      </c>
      <c r="N754" s="2">
        <v>2.5</v>
      </c>
      <c r="O754" s="2">
        <v>3</v>
      </c>
      <c r="P754" s="2">
        <v>2</v>
      </c>
      <c r="Q754" s="2">
        <v>19.920000000000002</v>
      </c>
      <c r="R754" s="2" t="str" cm="1">
        <f t="array" ref="R754">_xlfn.IFS(Q754&lt;18.5,"Underweight",
AND(Q754&gt;=18.5,Q754&lt;25),"Normal Weight",
AND(Q754&gt;=25,Q754&lt;30),"Overweight",
Q754&gt;=30,"Obesity")</f>
        <v>Normal Weight</v>
      </c>
      <c r="S754" s="2">
        <f t="shared" si="11"/>
        <v>775.75757575757575</v>
      </c>
      <c r="T754" s="2" t="str" cm="1">
        <f t="array" ref="T754">_xlfn.IFS(N754&lt;=2.5,"Low",N754&lt;=3,"Medium",N754&gt;3,"High")</f>
        <v>Low</v>
      </c>
    </row>
    <row r="755" spans="1:20" x14ac:dyDescent="0.3">
      <c r="A755" s="2">
        <v>754</v>
      </c>
      <c r="B755" s="2" t="s">
        <v>27</v>
      </c>
      <c r="C755" s="2">
        <v>57</v>
      </c>
      <c r="D755" s="2" t="s">
        <v>16</v>
      </c>
      <c r="E755" s="2">
        <v>64.400000000000006</v>
      </c>
      <c r="F755" s="2">
        <v>1.56</v>
      </c>
      <c r="G755" s="2">
        <v>177</v>
      </c>
      <c r="H755" s="2">
        <v>144</v>
      </c>
      <c r="I755" s="2">
        <v>73</v>
      </c>
      <c r="J755" s="2">
        <v>1.52</v>
      </c>
      <c r="K755" s="2">
        <v>985</v>
      </c>
      <c r="L755" s="2" t="s">
        <v>19</v>
      </c>
      <c r="M755" s="2">
        <v>17.8</v>
      </c>
      <c r="N755" s="2">
        <v>2.7</v>
      </c>
      <c r="O755" s="2">
        <v>5</v>
      </c>
      <c r="P755" s="2">
        <v>3</v>
      </c>
      <c r="Q755" s="2">
        <v>26.46</v>
      </c>
      <c r="R755" s="2" t="str" cm="1">
        <f t="array" ref="R755">_xlfn.IFS(Q755&lt;18.5,"Underweight",
AND(Q755&gt;=18.5,Q755&lt;25),"Normal Weight",
AND(Q755&gt;=25,Q755&lt;30),"Overweight",
Q755&gt;=30,"Obesity")</f>
        <v>Overweight</v>
      </c>
      <c r="S755" s="2">
        <f t="shared" si="11"/>
        <v>648.02631578947364</v>
      </c>
      <c r="T755" s="2" t="str" cm="1">
        <f t="array" ref="T755">_xlfn.IFS(N755&lt;=2.5,"Low",N755&lt;=3,"Medium",N755&gt;3,"High")</f>
        <v>Medium</v>
      </c>
    </row>
    <row r="756" spans="1:20" x14ac:dyDescent="0.3">
      <c r="A756" s="2">
        <v>755</v>
      </c>
      <c r="B756" s="2" t="s">
        <v>24</v>
      </c>
      <c r="C756" s="2">
        <v>21</v>
      </c>
      <c r="D756" s="2" t="s">
        <v>16</v>
      </c>
      <c r="E756" s="2">
        <v>54.9</v>
      </c>
      <c r="F756" s="2">
        <v>1.78</v>
      </c>
      <c r="G756" s="2">
        <v>173</v>
      </c>
      <c r="H756" s="2">
        <v>138</v>
      </c>
      <c r="I756" s="2">
        <v>71</v>
      </c>
      <c r="J756" s="2">
        <v>0.55000000000000004</v>
      </c>
      <c r="K756" s="2">
        <v>380</v>
      </c>
      <c r="L756" s="2" t="s">
        <v>18</v>
      </c>
      <c r="M756" s="2">
        <v>31.7</v>
      </c>
      <c r="N756" s="2">
        <v>2</v>
      </c>
      <c r="O756" s="2">
        <v>2</v>
      </c>
      <c r="P756" s="2">
        <v>1</v>
      </c>
      <c r="Q756" s="2">
        <v>17.329999999999998</v>
      </c>
      <c r="R756" s="2" t="str" cm="1">
        <f t="array" ref="R756">_xlfn.IFS(Q756&lt;18.5,"Underweight",
AND(Q756&gt;=18.5,Q756&lt;25),"Normal Weight",
AND(Q756&gt;=25,Q756&lt;30),"Overweight",
Q756&gt;=30,"Obesity")</f>
        <v>Underweight</v>
      </c>
      <c r="S756" s="2">
        <f t="shared" si="11"/>
        <v>690.90909090909088</v>
      </c>
      <c r="T756" s="2" t="str" cm="1">
        <f t="array" ref="T756">_xlfn.IFS(N756&lt;=2.5,"Low",N756&lt;=3,"Medium",N756&gt;3,"High")</f>
        <v>Low</v>
      </c>
    </row>
    <row r="757" spans="1:20" x14ac:dyDescent="0.3">
      <c r="A757" s="2">
        <v>756</v>
      </c>
      <c r="B757" s="2" t="s">
        <v>27</v>
      </c>
      <c r="C757" s="2">
        <v>42</v>
      </c>
      <c r="D757" s="2" t="s">
        <v>15</v>
      </c>
      <c r="E757" s="2">
        <v>50.3</v>
      </c>
      <c r="F757" s="2">
        <v>1.64</v>
      </c>
      <c r="G757" s="2">
        <v>177</v>
      </c>
      <c r="H757" s="2">
        <v>150</v>
      </c>
      <c r="I757" s="2">
        <v>62</v>
      </c>
      <c r="J757" s="2">
        <v>0.63</v>
      </c>
      <c r="K757" s="2">
        <v>468</v>
      </c>
      <c r="L757" s="2" t="s">
        <v>20</v>
      </c>
      <c r="M757" s="2">
        <v>27</v>
      </c>
      <c r="N757" s="2">
        <v>2.4</v>
      </c>
      <c r="O757" s="2">
        <v>3</v>
      </c>
      <c r="P757" s="2">
        <v>1</v>
      </c>
      <c r="Q757" s="2">
        <v>18.7</v>
      </c>
      <c r="R757" s="2" t="str" cm="1">
        <f t="array" ref="R757">_xlfn.IFS(Q757&lt;18.5,"Underweight",
AND(Q757&gt;=18.5,Q757&lt;25),"Normal Weight",
AND(Q757&gt;=25,Q757&lt;30),"Overweight",
Q757&gt;=30,"Obesity")</f>
        <v>Normal Weight</v>
      </c>
      <c r="S757" s="2">
        <f t="shared" si="11"/>
        <v>742.85714285714289</v>
      </c>
      <c r="T757" s="2" t="str" cm="1">
        <f t="array" ref="T757">_xlfn.IFS(N757&lt;=2.5,"Low",N757&lt;=3,"Medium",N757&gt;3,"High")</f>
        <v>Low</v>
      </c>
    </row>
    <row r="758" spans="1:20" x14ac:dyDescent="0.3">
      <c r="A758" s="2">
        <v>757</v>
      </c>
      <c r="B758" s="2" t="s">
        <v>29</v>
      </c>
      <c r="C758" s="2">
        <v>20</v>
      </c>
      <c r="D758" s="2" t="s">
        <v>16</v>
      </c>
      <c r="E758" s="2">
        <v>46.5</v>
      </c>
      <c r="F758" s="2">
        <v>1.68</v>
      </c>
      <c r="G758" s="2">
        <v>187</v>
      </c>
      <c r="H758" s="2">
        <v>145</v>
      </c>
      <c r="I758" s="2">
        <v>72</v>
      </c>
      <c r="J758" s="2">
        <v>0.91</v>
      </c>
      <c r="K758" s="2">
        <v>660</v>
      </c>
      <c r="L758" s="2" t="s">
        <v>18</v>
      </c>
      <c r="M758" s="2">
        <v>27.9</v>
      </c>
      <c r="N758" s="2">
        <v>2.4</v>
      </c>
      <c r="O758" s="2">
        <v>2</v>
      </c>
      <c r="P758" s="2">
        <v>1</v>
      </c>
      <c r="Q758" s="2">
        <v>16.48</v>
      </c>
      <c r="R758" s="2" t="str" cm="1">
        <f t="array" ref="R758">_xlfn.IFS(Q758&lt;18.5,"Underweight",
AND(Q758&gt;=18.5,Q758&lt;25),"Normal Weight",
AND(Q758&gt;=25,Q758&lt;30),"Overweight",
Q758&gt;=30,"Obesity")</f>
        <v>Underweight</v>
      </c>
      <c r="S758" s="2">
        <f t="shared" si="11"/>
        <v>725.27472527472526</v>
      </c>
      <c r="T758" s="2" t="str" cm="1">
        <f t="array" ref="T758">_xlfn.IFS(N758&lt;=2.5,"Low",N758&lt;=3,"Medium",N758&gt;3,"High")</f>
        <v>Low</v>
      </c>
    </row>
    <row r="759" spans="1:20" x14ac:dyDescent="0.3">
      <c r="A759" s="2">
        <v>758</v>
      </c>
      <c r="B759" s="2" t="s">
        <v>24</v>
      </c>
      <c r="C759" s="2">
        <v>49</v>
      </c>
      <c r="D759" s="2" t="s">
        <v>15</v>
      </c>
      <c r="E759" s="2">
        <v>57.8</v>
      </c>
      <c r="F759" s="2">
        <v>1.99</v>
      </c>
      <c r="G759" s="2">
        <v>183</v>
      </c>
      <c r="H759" s="2">
        <v>161</v>
      </c>
      <c r="I759" s="2">
        <v>67</v>
      </c>
      <c r="J759" s="2">
        <v>0.93</v>
      </c>
      <c r="K759" s="2">
        <v>741</v>
      </c>
      <c r="L759" s="2" t="s">
        <v>18</v>
      </c>
      <c r="M759" s="2">
        <v>24.7</v>
      </c>
      <c r="N759" s="2">
        <v>3.1</v>
      </c>
      <c r="O759" s="2">
        <v>3</v>
      </c>
      <c r="P759" s="2">
        <v>1</v>
      </c>
      <c r="Q759" s="2">
        <v>14.6</v>
      </c>
      <c r="R759" s="2" t="str" cm="1">
        <f t="array" ref="R759">_xlfn.IFS(Q759&lt;18.5,"Underweight",
AND(Q759&gt;=18.5,Q759&lt;25),"Normal Weight",
AND(Q759&gt;=25,Q759&lt;30),"Overweight",
Q759&gt;=30,"Obesity")</f>
        <v>Underweight</v>
      </c>
      <c r="S759" s="2">
        <f t="shared" si="11"/>
        <v>796.77419354838707</v>
      </c>
      <c r="T759" s="2" t="str" cm="1">
        <f t="array" ref="T759">_xlfn.IFS(N759&lt;=2.5,"Low",N759&lt;=3,"Medium",N759&gt;3,"High")</f>
        <v>High</v>
      </c>
    </row>
    <row r="760" spans="1:20" x14ac:dyDescent="0.3">
      <c r="A760" s="2">
        <v>759</v>
      </c>
      <c r="B760" s="2" t="s">
        <v>30</v>
      </c>
      <c r="C760" s="2">
        <v>20</v>
      </c>
      <c r="D760" s="2" t="s">
        <v>15</v>
      </c>
      <c r="E760" s="2">
        <v>83</v>
      </c>
      <c r="F760" s="2">
        <v>1.8</v>
      </c>
      <c r="G760" s="2">
        <v>167</v>
      </c>
      <c r="H760" s="2">
        <v>160</v>
      </c>
      <c r="I760" s="2">
        <v>73</v>
      </c>
      <c r="J760" s="2">
        <v>0.79</v>
      </c>
      <c r="K760" s="2">
        <v>695</v>
      </c>
      <c r="L760" s="2" t="s">
        <v>17</v>
      </c>
      <c r="M760" s="2">
        <v>29.6</v>
      </c>
      <c r="N760" s="2">
        <v>2.9</v>
      </c>
      <c r="O760" s="2">
        <v>2</v>
      </c>
      <c r="P760" s="2">
        <v>1</v>
      </c>
      <c r="Q760" s="2">
        <v>25.62</v>
      </c>
      <c r="R760" s="2" t="str" cm="1">
        <f t="array" ref="R760">_xlfn.IFS(Q760&lt;18.5,"Underweight",
AND(Q760&gt;=18.5,Q760&lt;25),"Normal Weight",
AND(Q760&gt;=25,Q760&lt;30),"Overweight",
Q760&gt;=30,"Obesity")</f>
        <v>Overweight</v>
      </c>
      <c r="S760" s="2">
        <f t="shared" si="11"/>
        <v>879.74683544303798</v>
      </c>
      <c r="T760" s="2" t="str" cm="1">
        <f t="array" ref="T760">_xlfn.IFS(N760&lt;=2.5,"Low",N760&lt;=3,"Medium",N760&gt;3,"High")</f>
        <v>Medium</v>
      </c>
    </row>
    <row r="761" spans="1:20" x14ac:dyDescent="0.3">
      <c r="A761" s="2">
        <v>760</v>
      </c>
      <c r="B761" s="2" t="s">
        <v>25</v>
      </c>
      <c r="C761" s="2">
        <v>44</v>
      </c>
      <c r="D761" s="2" t="s">
        <v>15</v>
      </c>
      <c r="E761" s="2">
        <v>82.5</v>
      </c>
      <c r="F761" s="2">
        <v>1.79</v>
      </c>
      <c r="G761" s="2">
        <v>167</v>
      </c>
      <c r="H761" s="2">
        <v>155</v>
      </c>
      <c r="I761" s="2">
        <v>70</v>
      </c>
      <c r="J761" s="2">
        <v>1.51</v>
      </c>
      <c r="K761" s="2">
        <v>1159</v>
      </c>
      <c r="L761" s="2" t="s">
        <v>18</v>
      </c>
      <c r="M761" s="2">
        <v>13.8</v>
      </c>
      <c r="N761" s="2">
        <v>3.5</v>
      </c>
      <c r="O761" s="2">
        <v>5</v>
      </c>
      <c r="P761" s="2">
        <v>3</v>
      </c>
      <c r="Q761" s="2">
        <v>25.75</v>
      </c>
      <c r="R761" s="2" t="str" cm="1">
        <f t="array" ref="R761">_xlfn.IFS(Q761&lt;18.5,"Underweight",
AND(Q761&gt;=18.5,Q761&lt;25),"Normal Weight",
AND(Q761&gt;=25,Q761&lt;30),"Overweight",
Q761&gt;=30,"Obesity")</f>
        <v>Overweight</v>
      </c>
      <c r="S761" s="2">
        <f t="shared" si="11"/>
        <v>767.5496688741722</v>
      </c>
      <c r="T761" s="2" t="str" cm="1">
        <f t="array" ref="T761">_xlfn.IFS(N761&lt;=2.5,"Low",N761&lt;=3,"Medium",N761&gt;3,"High")</f>
        <v>High</v>
      </c>
    </row>
    <row r="762" spans="1:20" x14ac:dyDescent="0.3">
      <c r="A762" s="2">
        <v>761</v>
      </c>
      <c r="B762" s="2" t="s">
        <v>28</v>
      </c>
      <c r="C762" s="2">
        <v>46</v>
      </c>
      <c r="D762" s="2" t="s">
        <v>16</v>
      </c>
      <c r="E762" s="2">
        <v>66.5</v>
      </c>
      <c r="F762" s="2">
        <v>1.73</v>
      </c>
      <c r="G762" s="2">
        <v>163</v>
      </c>
      <c r="H762" s="2">
        <v>142</v>
      </c>
      <c r="I762" s="2">
        <v>56</v>
      </c>
      <c r="J762" s="2">
        <v>1.1100000000000001</v>
      </c>
      <c r="K762" s="2">
        <v>709</v>
      </c>
      <c r="L762" s="2" t="s">
        <v>17</v>
      </c>
      <c r="M762" s="2">
        <v>34.700000000000003</v>
      </c>
      <c r="N762" s="2">
        <v>2</v>
      </c>
      <c r="O762" s="2">
        <v>3</v>
      </c>
      <c r="P762" s="2">
        <v>1</v>
      </c>
      <c r="Q762" s="2">
        <v>22.22</v>
      </c>
      <c r="R762" s="2" t="str" cm="1">
        <f t="array" ref="R762">_xlfn.IFS(Q762&lt;18.5,"Underweight",
AND(Q762&gt;=18.5,Q762&lt;25),"Normal Weight",
AND(Q762&gt;=25,Q762&lt;30),"Overweight",
Q762&gt;=30,"Obesity")</f>
        <v>Normal Weight</v>
      </c>
      <c r="S762" s="2">
        <f t="shared" si="11"/>
        <v>638.73873873873868</v>
      </c>
      <c r="T762" s="2" t="str" cm="1">
        <f t="array" ref="T762">_xlfn.IFS(N762&lt;=2.5,"Low",N762&lt;=3,"Medium",N762&gt;3,"High")</f>
        <v>Low</v>
      </c>
    </row>
    <row r="763" spans="1:20" x14ac:dyDescent="0.3">
      <c r="A763" s="2">
        <v>762</v>
      </c>
      <c r="B763" s="2" t="s">
        <v>29</v>
      </c>
      <c r="C763" s="2">
        <v>49</v>
      </c>
      <c r="D763" s="2" t="s">
        <v>16</v>
      </c>
      <c r="E763" s="2">
        <v>70.2</v>
      </c>
      <c r="F763" s="2">
        <v>1.67</v>
      </c>
      <c r="G763" s="2">
        <v>186</v>
      </c>
      <c r="H763" s="2">
        <v>166</v>
      </c>
      <c r="I763" s="2">
        <v>50</v>
      </c>
      <c r="J763" s="2">
        <v>0.93</v>
      </c>
      <c r="K763" s="2">
        <v>695</v>
      </c>
      <c r="L763" s="2" t="s">
        <v>20</v>
      </c>
      <c r="M763" s="2">
        <v>32.5</v>
      </c>
      <c r="N763" s="2">
        <v>1.8</v>
      </c>
      <c r="O763" s="2">
        <v>3</v>
      </c>
      <c r="P763" s="2">
        <v>1</v>
      </c>
      <c r="Q763" s="2">
        <v>25.17</v>
      </c>
      <c r="R763" s="2" t="str" cm="1">
        <f t="array" ref="R763">_xlfn.IFS(Q763&lt;18.5,"Underweight",
AND(Q763&gt;=18.5,Q763&lt;25),"Normal Weight",
AND(Q763&gt;=25,Q763&lt;30),"Overweight",
Q763&gt;=30,"Obesity")</f>
        <v>Overweight</v>
      </c>
      <c r="S763" s="2">
        <f t="shared" si="11"/>
        <v>747.31182795698919</v>
      </c>
      <c r="T763" s="2" t="str" cm="1">
        <f t="array" ref="T763">_xlfn.IFS(N763&lt;=2.5,"Low",N763&lt;=3,"Medium",N763&gt;3,"High")</f>
        <v>Low</v>
      </c>
    </row>
    <row r="764" spans="1:20" x14ac:dyDescent="0.3">
      <c r="A764" s="2">
        <v>763</v>
      </c>
      <c r="B764" s="2" t="s">
        <v>25</v>
      </c>
      <c r="C764" s="2">
        <v>36</v>
      </c>
      <c r="D764" s="2" t="s">
        <v>15</v>
      </c>
      <c r="E764" s="2">
        <v>121.9</v>
      </c>
      <c r="F764" s="2">
        <v>1.93</v>
      </c>
      <c r="G764" s="2">
        <v>195</v>
      </c>
      <c r="H764" s="2">
        <v>132</v>
      </c>
      <c r="I764" s="2">
        <v>54</v>
      </c>
      <c r="J764" s="2">
        <v>1.49</v>
      </c>
      <c r="K764" s="2">
        <v>1082</v>
      </c>
      <c r="L764" s="2" t="s">
        <v>19</v>
      </c>
      <c r="M764" s="2">
        <v>21.8</v>
      </c>
      <c r="N764" s="2">
        <v>3.4</v>
      </c>
      <c r="O764" s="2">
        <v>3</v>
      </c>
      <c r="P764" s="2">
        <v>2</v>
      </c>
      <c r="Q764" s="2">
        <v>32.729999999999997</v>
      </c>
      <c r="R764" s="2" t="str" cm="1">
        <f t="array" ref="R764">_xlfn.IFS(Q764&lt;18.5,"Underweight",
AND(Q764&gt;=18.5,Q764&lt;25),"Normal Weight",
AND(Q764&gt;=25,Q764&lt;30),"Overweight",
Q764&gt;=30,"Obesity")</f>
        <v>Obesity</v>
      </c>
      <c r="S764" s="2">
        <f t="shared" si="11"/>
        <v>726.17449664429535</v>
      </c>
      <c r="T764" s="2" t="str" cm="1">
        <f t="array" ref="T764">_xlfn.IFS(N764&lt;=2.5,"Low",N764&lt;=3,"Medium",N764&gt;3,"High")</f>
        <v>High</v>
      </c>
    </row>
    <row r="765" spans="1:20" x14ac:dyDescent="0.3">
      <c r="A765" s="2">
        <v>764</v>
      </c>
      <c r="B765" s="2" t="s">
        <v>30</v>
      </c>
      <c r="C765" s="2">
        <v>38</v>
      </c>
      <c r="D765" s="2" t="s">
        <v>16</v>
      </c>
      <c r="E765" s="2">
        <v>70.3</v>
      </c>
      <c r="F765" s="2">
        <v>1.52</v>
      </c>
      <c r="G765" s="2">
        <v>164</v>
      </c>
      <c r="H765" s="2">
        <v>144</v>
      </c>
      <c r="I765" s="2">
        <v>66</v>
      </c>
      <c r="J765" s="2">
        <v>1.19</v>
      </c>
      <c r="K765" s="2">
        <v>857</v>
      </c>
      <c r="L765" s="2" t="s">
        <v>17</v>
      </c>
      <c r="M765" s="2">
        <v>25.6</v>
      </c>
      <c r="N765" s="2">
        <v>2</v>
      </c>
      <c r="O765" s="2">
        <v>4</v>
      </c>
      <c r="P765" s="2">
        <v>2</v>
      </c>
      <c r="Q765" s="2">
        <v>30.43</v>
      </c>
      <c r="R765" s="2" t="str" cm="1">
        <f t="array" ref="R765">_xlfn.IFS(Q765&lt;18.5,"Underweight",
AND(Q765&gt;=18.5,Q765&lt;25),"Normal Weight",
AND(Q765&gt;=25,Q765&lt;30),"Overweight",
Q765&gt;=30,"Obesity")</f>
        <v>Obesity</v>
      </c>
      <c r="S765" s="2">
        <f t="shared" si="11"/>
        <v>720.1680672268908</v>
      </c>
      <c r="T765" s="2" t="str" cm="1">
        <f t="array" ref="T765">_xlfn.IFS(N765&lt;=2.5,"Low",N765&lt;=3,"Medium",N765&gt;3,"High")</f>
        <v>Low</v>
      </c>
    </row>
    <row r="766" spans="1:20" x14ac:dyDescent="0.3">
      <c r="A766" s="2">
        <v>765</v>
      </c>
      <c r="B766" s="2" t="s">
        <v>25</v>
      </c>
      <c r="C766" s="2">
        <v>22</v>
      </c>
      <c r="D766" s="2" t="s">
        <v>16</v>
      </c>
      <c r="E766" s="2">
        <v>40.299999999999997</v>
      </c>
      <c r="F766" s="2">
        <v>1.56</v>
      </c>
      <c r="G766" s="2">
        <v>192</v>
      </c>
      <c r="H766" s="2">
        <v>121</v>
      </c>
      <c r="I766" s="2">
        <v>57</v>
      </c>
      <c r="J766" s="2">
        <v>1.45</v>
      </c>
      <c r="K766" s="2">
        <v>877</v>
      </c>
      <c r="L766" s="2" t="s">
        <v>18</v>
      </c>
      <c r="M766" s="2">
        <v>30.8</v>
      </c>
      <c r="N766" s="2">
        <v>2.1</v>
      </c>
      <c r="O766" s="2">
        <v>4</v>
      </c>
      <c r="P766" s="2">
        <v>2</v>
      </c>
      <c r="Q766" s="2">
        <v>16.559999999999999</v>
      </c>
      <c r="R766" s="2" t="str" cm="1">
        <f t="array" ref="R766">_xlfn.IFS(Q766&lt;18.5,"Underweight",
AND(Q766&gt;=18.5,Q766&lt;25),"Normal Weight",
AND(Q766&gt;=25,Q766&lt;30),"Overweight",
Q766&gt;=30,"Obesity")</f>
        <v>Underweight</v>
      </c>
      <c r="S766" s="2">
        <f t="shared" si="11"/>
        <v>604.82758620689663</v>
      </c>
      <c r="T766" s="2" t="str" cm="1">
        <f t="array" ref="T766">_xlfn.IFS(N766&lt;=2.5,"Low",N766&lt;=3,"Medium",N766&gt;3,"High")</f>
        <v>Low</v>
      </c>
    </row>
    <row r="767" spans="1:20" x14ac:dyDescent="0.3">
      <c r="A767" s="2">
        <v>766</v>
      </c>
      <c r="B767" s="2" t="s">
        <v>30</v>
      </c>
      <c r="C767" s="2">
        <v>35</v>
      </c>
      <c r="D767" s="2" t="s">
        <v>15</v>
      </c>
      <c r="E767" s="2">
        <v>101.4</v>
      </c>
      <c r="F767" s="2">
        <v>1.76</v>
      </c>
      <c r="G767" s="2">
        <v>193</v>
      </c>
      <c r="H767" s="2">
        <v>121</v>
      </c>
      <c r="I767" s="2">
        <v>64</v>
      </c>
      <c r="J767" s="2">
        <v>0.84</v>
      </c>
      <c r="K767" s="2">
        <v>559</v>
      </c>
      <c r="L767" s="2" t="s">
        <v>18</v>
      </c>
      <c r="M767" s="2">
        <v>23.6</v>
      </c>
      <c r="N767" s="2">
        <v>2.9</v>
      </c>
      <c r="O767" s="2">
        <v>2</v>
      </c>
      <c r="P767" s="2">
        <v>1</v>
      </c>
      <c r="Q767" s="2">
        <v>32.74</v>
      </c>
      <c r="R767" s="2" t="str" cm="1">
        <f t="array" ref="R767">_xlfn.IFS(Q767&lt;18.5,"Underweight",
AND(Q767&gt;=18.5,Q767&lt;25),"Normal Weight",
AND(Q767&gt;=25,Q767&lt;30),"Overweight",
Q767&gt;=30,"Obesity")</f>
        <v>Obesity</v>
      </c>
      <c r="S767" s="2">
        <f t="shared" si="11"/>
        <v>665.47619047619048</v>
      </c>
      <c r="T767" s="2" t="str" cm="1">
        <f t="array" ref="T767">_xlfn.IFS(N767&lt;=2.5,"Low",N767&lt;=3,"Medium",N767&gt;3,"High")</f>
        <v>Medium</v>
      </c>
    </row>
    <row r="768" spans="1:20" x14ac:dyDescent="0.3">
      <c r="A768" s="2">
        <v>767</v>
      </c>
      <c r="B768" s="2" t="s">
        <v>30</v>
      </c>
      <c r="C768" s="2">
        <v>45</v>
      </c>
      <c r="D768" s="2" t="s">
        <v>15</v>
      </c>
      <c r="E768" s="2">
        <v>79.2</v>
      </c>
      <c r="F768" s="2">
        <v>1.95</v>
      </c>
      <c r="G768" s="2">
        <v>189</v>
      </c>
      <c r="H768" s="2">
        <v>135</v>
      </c>
      <c r="I768" s="2">
        <v>69</v>
      </c>
      <c r="J768" s="2">
        <v>1.47</v>
      </c>
      <c r="K768" s="2">
        <v>982</v>
      </c>
      <c r="L768" s="2" t="s">
        <v>17</v>
      </c>
      <c r="M768" s="2">
        <v>22.8</v>
      </c>
      <c r="N768" s="2">
        <v>2.8</v>
      </c>
      <c r="O768" s="2">
        <v>3</v>
      </c>
      <c r="P768" s="2">
        <v>2</v>
      </c>
      <c r="Q768" s="2">
        <v>20.83</v>
      </c>
      <c r="R768" s="2" t="str" cm="1">
        <f t="array" ref="R768">_xlfn.IFS(Q768&lt;18.5,"Underweight",
AND(Q768&gt;=18.5,Q768&lt;25),"Normal Weight",
AND(Q768&gt;=25,Q768&lt;30),"Overweight",
Q768&gt;=30,"Obesity")</f>
        <v>Normal Weight</v>
      </c>
      <c r="S768" s="2">
        <f t="shared" si="11"/>
        <v>668.02721088435374</v>
      </c>
      <c r="T768" s="2" t="str" cm="1">
        <f t="array" ref="T768">_xlfn.IFS(N768&lt;=2.5,"Low",N768&lt;=3,"Medium",N768&gt;3,"High")</f>
        <v>Medium</v>
      </c>
    </row>
    <row r="769" spans="1:20" x14ac:dyDescent="0.3">
      <c r="A769" s="2">
        <v>768</v>
      </c>
      <c r="B769" s="2" t="s">
        <v>27</v>
      </c>
      <c r="C769" s="2">
        <v>59</v>
      </c>
      <c r="D769" s="2" t="s">
        <v>16</v>
      </c>
      <c r="E769" s="2">
        <v>75.8</v>
      </c>
      <c r="F769" s="2">
        <v>1.77</v>
      </c>
      <c r="G769" s="2">
        <v>167</v>
      </c>
      <c r="H769" s="2">
        <v>128</v>
      </c>
      <c r="I769" s="2">
        <v>53</v>
      </c>
      <c r="J769" s="2">
        <v>1.46</v>
      </c>
      <c r="K769" s="2">
        <v>841</v>
      </c>
      <c r="L769" s="2" t="s">
        <v>20</v>
      </c>
      <c r="M769" s="2">
        <v>33.1</v>
      </c>
      <c r="N769" s="2">
        <v>1.8</v>
      </c>
      <c r="O769" s="2">
        <v>3</v>
      </c>
      <c r="P769" s="2">
        <v>1</v>
      </c>
      <c r="Q769" s="2">
        <v>24.19</v>
      </c>
      <c r="R769" s="2" t="str" cm="1">
        <f t="array" ref="R769">_xlfn.IFS(Q769&lt;18.5,"Underweight",
AND(Q769&gt;=18.5,Q769&lt;25),"Normal Weight",
AND(Q769&gt;=25,Q769&lt;30),"Overweight",
Q769&gt;=30,"Obesity")</f>
        <v>Normal Weight</v>
      </c>
      <c r="S769" s="2">
        <f t="shared" si="11"/>
        <v>576.02739726027403</v>
      </c>
      <c r="T769" s="2" t="str" cm="1">
        <f t="array" ref="T769">_xlfn.IFS(N769&lt;=2.5,"Low",N769&lt;=3,"Medium",N769&gt;3,"High")</f>
        <v>Low</v>
      </c>
    </row>
    <row r="770" spans="1:20" x14ac:dyDescent="0.3">
      <c r="A770" s="2">
        <v>769</v>
      </c>
      <c r="B770" s="2" t="s">
        <v>23</v>
      </c>
      <c r="C770" s="2">
        <v>39</v>
      </c>
      <c r="D770" s="2" t="s">
        <v>15</v>
      </c>
      <c r="E770" s="2">
        <v>71.7</v>
      </c>
      <c r="F770" s="2">
        <v>1.88</v>
      </c>
      <c r="G770" s="2">
        <v>198</v>
      </c>
      <c r="H770" s="2">
        <v>147</v>
      </c>
      <c r="I770" s="2">
        <v>51</v>
      </c>
      <c r="J770" s="2">
        <v>0.55000000000000004</v>
      </c>
      <c r="K770" s="2">
        <v>445</v>
      </c>
      <c r="L770" s="2" t="s">
        <v>19</v>
      </c>
      <c r="M770" s="2">
        <v>23.7</v>
      </c>
      <c r="N770" s="2">
        <v>2.2000000000000002</v>
      </c>
      <c r="O770" s="2">
        <v>2</v>
      </c>
      <c r="P770" s="2">
        <v>1</v>
      </c>
      <c r="Q770" s="2">
        <v>20.29</v>
      </c>
      <c r="R770" s="2" t="str" cm="1">
        <f t="array" ref="R770">_xlfn.IFS(Q770&lt;18.5,"Underweight",
AND(Q770&gt;=18.5,Q770&lt;25),"Normal Weight",
AND(Q770&gt;=25,Q770&lt;30),"Overweight",
Q770&gt;=30,"Obesity")</f>
        <v>Normal Weight</v>
      </c>
      <c r="S770" s="2">
        <f t="shared" si="11"/>
        <v>809.09090909090901</v>
      </c>
      <c r="T770" s="2" t="str" cm="1">
        <f t="array" ref="T770">_xlfn.IFS(N770&lt;=2.5,"Low",N770&lt;=3,"Medium",N770&gt;3,"High")</f>
        <v>Low</v>
      </c>
    </row>
    <row r="771" spans="1:20" x14ac:dyDescent="0.3">
      <c r="A771" s="2">
        <v>770</v>
      </c>
      <c r="B771" s="2" t="s">
        <v>29</v>
      </c>
      <c r="C771" s="2">
        <v>38</v>
      </c>
      <c r="D771" s="2" t="s">
        <v>16</v>
      </c>
      <c r="E771" s="2">
        <v>57.7</v>
      </c>
      <c r="F771" s="2">
        <v>1.56</v>
      </c>
      <c r="G771" s="2">
        <v>185</v>
      </c>
      <c r="H771" s="2">
        <v>132</v>
      </c>
      <c r="I771" s="2">
        <v>54</v>
      </c>
      <c r="J771" s="2">
        <v>1.64</v>
      </c>
      <c r="K771" s="2">
        <v>1082</v>
      </c>
      <c r="L771" s="2" t="s">
        <v>18</v>
      </c>
      <c r="M771" s="2">
        <v>16.600000000000001</v>
      </c>
      <c r="N771" s="2">
        <v>2.7</v>
      </c>
      <c r="O771" s="2">
        <v>5</v>
      </c>
      <c r="P771" s="2">
        <v>3</v>
      </c>
      <c r="Q771" s="2">
        <v>23.71</v>
      </c>
      <c r="R771" s="2" t="str" cm="1">
        <f t="array" ref="R771">_xlfn.IFS(Q771&lt;18.5,"Underweight",
AND(Q771&gt;=18.5,Q771&lt;25),"Normal Weight",
AND(Q771&gt;=25,Q771&lt;30),"Overweight",
Q771&gt;=30,"Obesity")</f>
        <v>Normal Weight</v>
      </c>
      <c r="S771" s="2">
        <f t="shared" ref="S771:S834" si="12">K771/J771</f>
        <v>659.7560975609756</v>
      </c>
      <c r="T771" s="2" t="str" cm="1">
        <f t="array" ref="T771">_xlfn.IFS(N771&lt;=2.5,"Low",N771&lt;=3,"Medium",N771&gt;3,"High")</f>
        <v>Medium</v>
      </c>
    </row>
    <row r="772" spans="1:20" x14ac:dyDescent="0.3">
      <c r="A772" s="2">
        <v>771</v>
      </c>
      <c r="B772" s="2" t="s">
        <v>25</v>
      </c>
      <c r="C772" s="2">
        <v>23</v>
      </c>
      <c r="D772" s="2" t="s">
        <v>16</v>
      </c>
      <c r="E772" s="2">
        <v>47.4</v>
      </c>
      <c r="F772" s="2">
        <v>1.6</v>
      </c>
      <c r="G772" s="2">
        <v>196</v>
      </c>
      <c r="H772" s="2">
        <v>154</v>
      </c>
      <c r="I772" s="2">
        <v>50</v>
      </c>
      <c r="J772" s="2">
        <v>0.76</v>
      </c>
      <c r="K772" s="2">
        <v>585</v>
      </c>
      <c r="L772" s="2" t="s">
        <v>20</v>
      </c>
      <c r="M772" s="2">
        <v>33.5</v>
      </c>
      <c r="N772" s="2">
        <v>1.6</v>
      </c>
      <c r="O772" s="2">
        <v>3</v>
      </c>
      <c r="P772" s="2">
        <v>1</v>
      </c>
      <c r="Q772" s="2">
        <v>18.52</v>
      </c>
      <c r="R772" s="2" t="str" cm="1">
        <f t="array" ref="R772">_xlfn.IFS(Q772&lt;18.5,"Underweight",
AND(Q772&gt;=18.5,Q772&lt;25),"Normal Weight",
AND(Q772&gt;=25,Q772&lt;30),"Overweight",
Q772&gt;=30,"Obesity")</f>
        <v>Normal Weight</v>
      </c>
      <c r="S772" s="2">
        <f t="shared" si="12"/>
        <v>769.73684210526312</v>
      </c>
      <c r="T772" s="2" t="str" cm="1">
        <f t="array" ref="T772">_xlfn.IFS(N772&lt;=2.5,"Low",N772&lt;=3,"Medium",N772&gt;3,"High")</f>
        <v>Low</v>
      </c>
    </row>
    <row r="773" spans="1:20" x14ac:dyDescent="0.3">
      <c r="A773" s="2">
        <v>772</v>
      </c>
      <c r="B773" s="2" t="s">
        <v>22</v>
      </c>
      <c r="C773" s="2">
        <v>18</v>
      </c>
      <c r="D773" s="2" t="s">
        <v>16</v>
      </c>
      <c r="E773" s="2">
        <v>57.2</v>
      </c>
      <c r="F773" s="2">
        <v>1.75</v>
      </c>
      <c r="G773" s="2">
        <v>193</v>
      </c>
      <c r="H773" s="2">
        <v>160</v>
      </c>
      <c r="I773" s="2">
        <v>74</v>
      </c>
      <c r="J773" s="2">
        <v>1.29</v>
      </c>
      <c r="K773" s="2">
        <v>1032</v>
      </c>
      <c r="L773" s="2" t="s">
        <v>19</v>
      </c>
      <c r="M773" s="2">
        <v>33.5</v>
      </c>
      <c r="N773" s="2">
        <v>2.4</v>
      </c>
      <c r="O773" s="2">
        <v>3</v>
      </c>
      <c r="P773" s="2">
        <v>2</v>
      </c>
      <c r="Q773" s="2">
        <v>18.68</v>
      </c>
      <c r="R773" s="2" t="str" cm="1">
        <f t="array" ref="R773">_xlfn.IFS(Q773&lt;18.5,"Underweight",
AND(Q773&gt;=18.5,Q773&lt;25),"Normal Weight",
AND(Q773&gt;=25,Q773&lt;30),"Overweight",
Q773&gt;=30,"Obesity")</f>
        <v>Normal Weight</v>
      </c>
      <c r="S773" s="2">
        <f t="shared" si="12"/>
        <v>800</v>
      </c>
      <c r="T773" s="2" t="str" cm="1">
        <f t="array" ref="T773">_xlfn.IFS(N773&lt;=2.5,"Low",N773&lt;=3,"Medium",N773&gt;3,"High")</f>
        <v>Low</v>
      </c>
    </row>
    <row r="774" spans="1:20" x14ac:dyDescent="0.3">
      <c r="A774" s="2">
        <v>773</v>
      </c>
      <c r="B774" s="2" t="s">
        <v>29</v>
      </c>
      <c r="C774" s="2">
        <v>22</v>
      </c>
      <c r="D774" s="2" t="s">
        <v>16</v>
      </c>
      <c r="E774" s="2">
        <v>44.8</v>
      </c>
      <c r="F774" s="2">
        <v>1.72</v>
      </c>
      <c r="G774" s="2">
        <v>166</v>
      </c>
      <c r="H774" s="2">
        <v>132</v>
      </c>
      <c r="I774" s="2">
        <v>54</v>
      </c>
      <c r="J774" s="2">
        <v>1.48</v>
      </c>
      <c r="K774" s="2">
        <v>977</v>
      </c>
      <c r="L774" s="2" t="s">
        <v>19</v>
      </c>
      <c r="M774" s="2">
        <v>28.6</v>
      </c>
      <c r="N774" s="2">
        <v>1.8</v>
      </c>
      <c r="O774" s="2">
        <v>4</v>
      </c>
      <c r="P774" s="2">
        <v>2</v>
      </c>
      <c r="Q774" s="2">
        <v>15.14</v>
      </c>
      <c r="R774" s="2" t="str" cm="1">
        <f t="array" ref="R774">_xlfn.IFS(Q774&lt;18.5,"Underweight",
AND(Q774&gt;=18.5,Q774&lt;25),"Normal Weight",
AND(Q774&gt;=25,Q774&lt;30),"Overweight",
Q774&gt;=30,"Obesity")</f>
        <v>Underweight</v>
      </c>
      <c r="S774" s="2">
        <f t="shared" si="12"/>
        <v>660.1351351351351</v>
      </c>
      <c r="T774" s="2" t="str" cm="1">
        <f t="array" ref="T774">_xlfn.IFS(N774&lt;=2.5,"Low",N774&lt;=3,"Medium",N774&gt;3,"High")</f>
        <v>Low</v>
      </c>
    </row>
    <row r="775" spans="1:20" x14ac:dyDescent="0.3">
      <c r="A775" s="2">
        <v>774</v>
      </c>
      <c r="B775" s="2" t="s">
        <v>23</v>
      </c>
      <c r="C775" s="2">
        <v>58</v>
      </c>
      <c r="D775" s="2" t="s">
        <v>15</v>
      </c>
      <c r="E775" s="2">
        <v>90.2</v>
      </c>
      <c r="F775" s="2">
        <v>1.72</v>
      </c>
      <c r="G775" s="2">
        <v>199</v>
      </c>
      <c r="H775" s="2">
        <v>150</v>
      </c>
      <c r="I775" s="2">
        <v>55</v>
      </c>
      <c r="J775" s="2">
        <v>0.9</v>
      </c>
      <c r="K775" s="2">
        <v>668</v>
      </c>
      <c r="L775" s="2" t="s">
        <v>18</v>
      </c>
      <c r="M775" s="2">
        <v>28.3</v>
      </c>
      <c r="N775" s="2">
        <v>2.1</v>
      </c>
      <c r="O775" s="2">
        <v>2</v>
      </c>
      <c r="P775" s="2">
        <v>1</v>
      </c>
      <c r="Q775" s="2">
        <v>30.49</v>
      </c>
      <c r="R775" s="2" t="str" cm="1">
        <f t="array" ref="R775">_xlfn.IFS(Q775&lt;18.5,"Underweight",
AND(Q775&gt;=18.5,Q775&lt;25),"Normal Weight",
AND(Q775&gt;=25,Q775&lt;30),"Overweight",
Q775&gt;=30,"Obesity")</f>
        <v>Obesity</v>
      </c>
      <c r="S775" s="2">
        <f t="shared" si="12"/>
        <v>742.22222222222217</v>
      </c>
      <c r="T775" s="2" t="str" cm="1">
        <f t="array" ref="T775">_xlfn.IFS(N775&lt;=2.5,"Low",N775&lt;=3,"Medium",N775&gt;3,"High")</f>
        <v>Low</v>
      </c>
    </row>
    <row r="776" spans="1:20" x14ac:dyDescent="0.3">
      <c r="A776" s="2">
        <v>775</v>
      </c>
      <c r="B776" s="2" t="s">
        <v>29</v>
      </c>
      <c r="C776" s="2">
        <v>29</v>
      </c>
      <c r="D776" s="2" t="s">
        <v>15</v>
      </c>
      <c r="E776" s="2">
        <v>84.9</v>
      </c>
      <c r="F776" s="2">
        <v>1.72</v>
      </c>
      <c r="G776" s="2">
        <v>187</v>
      </c>
      <c r="H776" s="2">
        <v>140</v>
      </c>
      <c r="I776" s="2">
        <v>51</v>
      </c>
      <c r="J776" s="2">
        <v>1.79</v>
      </c>
      <c r="K776" s="2">
        <v>1378</v>
      </c>
      <c r="L776" s="2" t="s">
        <v>17</v>
      </c>
      <c r="M776" s="2">
        <v>14.3</v>
      </c>
      <c r="N776" s="2">
        <v>3.5</v>
      </c>
      <c r="O776" s="2">
        <v>4</v>
      </c>
      <c r="P776" s="2">
        <v>3</v>
      </c>
      <c r="Q776" s="2">
        <v>28.7</v>
      </c>
      <c r="R776" s="2" t="str" cm="1">
        <f t="array" ref="R776">_xlfn.IFS(Q776&lt;18.5,"Underweight",
AND(Q776&gt;=18.5,Q776&lt;25),"Normal Weight",
AND(Q776&gt;=25,Q776&lt;30),"Overweight",
Q776&gt;=30,"Obesity")</f>
        <v>Overweight</v>
      </c>
      <c r="S776" s="2">
        <f t="shared" si="12"/>
        <v>769.8324022346369</v>
      </c>
      <c r="T776" s="2" t="str" cm="1">
        <f t="array" ref="T776">_xlfn.IFS(N776&lt;=2.5,"Low",N776&lt;=3,"Medium",N776&gt;3,"High")</f>
        <v>High</v>
      </c>
    </row>
    <row r="777" spans="1:20" x14ac:dyDescent="0.3">
      <c r="A777" s="2">
        <v>776</v>
      </c>
      <c r="B777" s="2" t="s">
        <v>26</v>
      </c>
      <c r="C777" s="2">
        <v>43</v>
      </c>
      <c r="D777" s="2" t="s">
        <v>15</v>
      </c>
      <c r="E777" s="2">
        <v>95.7</v>
      </c>
      <c r="F777" s="2">
        <v>1.77</v>
      </c>
      <c r="G777" s="2">
        <v>198</v>
      </c>
      <c r="H777" s="2">
        <v>151</v>
      </c>
      <c r="I777" s="2">
        <v>50</v>
      </c>
      <c r="J777" s="2">
        <v>1.08</v>
      </c>
      <c r="K777" s="2">
        <v>807</v>
      </c>
      <c r="L777" s="2" t="s">
        <v>18</v>
      </c>
      <c r="M777" s="2">
        <v>24.2</v>
      </c>
      <c r="N777" s="2">
        <v>3.4</v>
      </c>
      <c r="O777" s="2">
        <v>3</v>
      </c>
      <c r="P777" s="2">
        <v>1</v>
      </c>
      <c r="Q777" s="2">
        <v>30.55</v>
      </c>
      <c r="R777" s="2" t="str" cm="1">
        <f t="array" ref="R777">_xlfn.IFS(Q777&lt;18.5,"Underweight",
AND(Q777&gt;=18.5,Q777&lt;25),"Normal Weight",
AND(Q777&gt;=25,Q777&lt;30),"Overweight",
Q777&gt;=30,"Obesity")</f>
        <v>Obesity</v>
      </c>
      <c r="S777" s="2">
        <f t="shared" si="12"/>
        <v>747.22222222222217</v>
      </c>
      <c r="T777" s="2" t="str" cm="1">
        <f t="array" ref="T777">_xlfn.IFS(N777&lt;=2.5,"Low",N777&lt;=3,"Medium",N777&gt;3,"High")</f>
        <v>High</v>
      </c>
    </row>
    <row r="778" spans="1:20" x14ac:dyDescent="0.3">
      <c r="A778" s="2">
        <v>777</v>
      </c>
      <c r="B778" s="2" t="s">
        <v>22</v>
      </c>
      <c r="C778" s="2">
        <v>51</v>
      </c>
      <c r="D778" s="2" t="s">
        <v>15</v>
      </c>
      <c r="E778" s="2">
        <v>59</v>
      </c>
      <c r="F778" s="2">
        <v>1.65</v>
      </c>
      <c r="G778" s="2">
        <v>198</v>
      </c>
      <c r="H778" s="2">
        <v>153</v>
      </c>
      <c r="I778" s="2">
        <v>53</v>
      </c>
      <c r="J778" s="2">
        <v>1.22</v>
      </c>
      <c r="K778" s="2">
        <v>924</v>
      </c>
      <c r="L778" s="2" t="s">
        <v>18</v>
      </c>
      <c r="M778" s="2">
        <v>20.7</v>
      </c>
      <c r="N778" s="2">
        <v>2.2999999999999998</v>
      </c>
      <c r="O778" s="2">
        <v>3</v>
      </c>
      <c r="P778" s="2">
        <v>2</v>
      </c>
      <c r="Q778" s="2">
        <v>21.67</v>
      </c>
      <c r="R778" s="2" t="str" cm="1">
        <f t="array" ref="R778">_xlfn.IFS(Q778&lt;18.5,"Underweight",
AND(Q778&gt;=18.5,Q778&lt;25),"Normal Weight",
AND(Q778&gt;=25,Q778&lt;30),"Overweight",
Q778&gt;=30,"Obesity")</f>
        <v>Normal Weight</v>
      </c>
      <c r="S778" s="2">
        <f t="shared" si="12"/>
        <v>757.37704918032784</v>
      </c>
      <c r="T778" s="2" t="str" cm="1">
        <f t="array" ref="T778">_xlfn.IFS(N778&lt;=2.5,"Low",N778&lt;=3,"Medium",N778&gt;3,"High")</f>
        <v>Low</v>
      </c>
    </row>
    <row r="779" spans="1:20" x14ac:dyDescent="0.3">
      <c r="A779" s="2">
        <v>778</v>
      </c>
      <c r="B779" s="2" t="s">
        <v>23</v>
      </c>
      <c r="C779" s="2">
        <v>31</v>
      </c>
      <c r="D779" s="2" t="s">
        <v>16</v>
      </c>
      <c r="E779" s="2">
        <v>60.5</v>
      </c>
      <c r="F779" s="2">
        <v>1.77</v>
      </c>
      <c r="G779" s="2">
        <v>187</v>
      </c>
      <c r="H779" s="2">
        <v>127</v>
      </c>
      <c r="I779" s="2">
        <v>56</v>
      </c>
      <c r="J779" s="2">
        <v>1.72</v>
      </c>
      <c r="K779" s="2">
        <v>1092</v>
      </c>
      <c r="L779" s="2" t="s">
        <v>18</v>
      </c>
      <c r="M779" s="2">
        <v>15</v>
      </c>
      <c r="N779" s="2">
        <v>2.7</v>
      </c>
      <c r="O779" s="2">
        <v>4</v>
      </c>
      <c r="P779" s="2">
        <v>3</v>
      </c>
      <c r="Q779" s="2">
        <v>19.309999999999999</v>
      </c>
      <c r="R779" s="2" t="str" cm="1">
        <f t="array" ref="R779">_xlfn.IFS(Q779&lt;18.5,"Underweight",
AND(Q779&gt;=18.5,Q779&lt;25),"Normal Weight",
AND(Q779&gt;=25,Q779&lt;30),"Overweight",
Q779&gt;=30,"Obesity")</f>
        <v>Normal Weight</v>
      </c>
      <c r="S779" s="2">
        <f t="shared" si="12"/>
        <v>634.88372093023258</v>
      </c>
      <c r="T779" s="2" t="str" cm="1">
        <f t="array" ref="T779">_xlfn.IFS(N779&lt;=2.5,"Low",N779&lt;=3,"Medium",N779&gt;3,"High")</f>
        <v>Medium</v>
      </c>
    </row>
    <row r="780" spans="1:20" x14ac:dyDescent="0.3">
      <c r="A780" s="2">
        <v>779</v>
      </c>
      <c r="B780" s="2" t="s">
        <v>27</v>
      </c>
      <c r="C780" s="2">
        <v>43</v>
      </c>
      <c r="D780" s="2" t="s">
        <v>16</v>
      </c>
      <c r="E780" s="2">
        <v>53.8</v>
      </c>
      <c r="F780" s="2">
        <v>1.72</v>
      </c>
      <c r="G780" s="2">
        <v>173</v>
      </c>
      <c r="H780" s="2">
        <v>160</v>
      </c>
      <c r="I780" s="2">
        <v>71</v>
      </c>
      <c r="J780" s="2">
        <v>1.03</v>
      </c>
      <c r="K780" s="2">
        <v>742</v>
      </c>
      <c r="L780" s="2" t="s">
        <v>20</v>
      </c>
      <c r="M780" s="2">
        <v>30.2</v>
      </c>
      <c r="N780" s="2">
        <v>2.2999999999999998</v>
      </c>
      <c r="O780" s="2">
        <v>4</v>
      </c>
      <c r="P780" s="2">
        <v>2</v>
      </c>
      <c r="Q780" s="2">
        <v>18.190000000000001</v>
      </c>
      <c r="R780" s="2" t="str" cm="1">
        <f t="array" ref="R780">_xlfn.IFS(Q780&lt;18.5,"Underweight",
AND(Q780&gt;=18.5,Q780&lt;25),"Normal Weight",
AND(Q780&gt;=25,Q780&lt;30),"Overweight",
Q780&gt;=30,"Obesity")</f>
        <v>Underweight</v>
      </c>
      <c r="S780" s="2">
        <f t="shared" si="12"/>
        <v>720.38834951456306</v>
      </c>
      <c r="T780" s="2" t="str" cm="1">
        <f t="array" ref="T780">_xlfn.IFS(N780&lt;=2.5,"Low",N780&lt;=3,"Medium",N780&gt;3,"High")</f>
        <v>Low</v>
      </c>
    </row>
    <row r="781" spans="1:20" x14ac:dyDescent="0.3">
      <c r="A781" s="2">
        <v>780</v>
      </c>
      <c r="B781" s="2" t="s">
        <v>25</v>
      </c>
      <c r="C781" s="2">
        <v>44</v>
      </c>
      <c r="D781" s="2" t="s">
        <v>15</v>
      </c>
      <c r="E781" s="2">
        <v>86.6</v>
      </c>
      <c r="F781" s="2">
        <v>1.97</v>
      </c>
      <c r="G781" s="2">
        <v>197</v>
      </c>
      <c r="H781" s="2">
        <v>167</v>
      </c>
      <c r="I781" s="2">
        <v>50</v>
      </c>
      <c r="J781" s="2">
        <v>1.66</v>
      </c>
      <c r="K781" s="2">
        <v>1372</v>
      </c>
      <c r="L781" s="2" t="s">
        <v>17</v>
      </c>
      <c r="M781" s="2">
        <v>11.7</v>
      </c>
      <c r="N781" s="2">
        <v>3.5</v>
      </c>
      <c r="O781" s="2">
        <v>5</v>
      </c>
      <c r="P781" s="2">
        <v>3</v>
      </c>
      <c r="Q781" s="2">
        <v>22.31</v>
      </c>
      <c r="R781" s="2" t="str" cm="1">
        <f t="array" ref="R781">_xlfn.IFS(Q781&lt;18.5,"Underweight",
AND(Q781&gt;=18.5,Q781&lt;25),"Normal Weight",
AND(Q781&gt;=25,Q781&lt;30),"Overweight",
Q781&gt;=30,"Obesity")</f>
        <v>Normal Weight</v>
      </c>
      <c r="S781" s="2">
        <f t="shared" si="12"/>
        <v>826.50602409638554</v>
      </c>
      <c r="T781" s="2" t="str" cm="1">
        <f t="array" ref="T781">_xlfn.IFS(N781&lt;=2.5,"Low",N781&lt;=3,"Medium",N781&gt;3,"High")</f>
        <v>High</v>
      </c>
    </row>
    <row r="782" spans="1:20" x14ac:dyDescent="0.3">
      <c r="A782" s="2">
        <v>781</v>
      </c>
      <c r="B782" s="2" t="s">
        <v>21</v>
      </c>
      <c r="C782" s="2">
        <v>26</v>
      </c>
      <c r="D782" s="2" t="s">
        <v>16</v>
      </c>
      <c r="E782" s="2">
        <v>72.8</v>
      </c>
      <c r="F782" s="2">
        <v>1.67</v>
      </c>
      <c r="G782" s="2">
        <v>163</v>
      </c>
      <c r="H782" s="2">
        <v>121</v>
      </c>
      <c r="I782" s="2">
        <v>50</v>
      </c>
      <c r="J782" s="2">
        <v>1.37</v>
      </c>
      <c r="K782" s="2">
        <v>829</v>
      </c>
      <c r="L782" s="2" t="s">
        <v>20</v>
      </c>
      <c r="M782" s="2">
        <v>35</v>
      </c>
      <c r="N782" s="2">
        <v>1.9</v>
      </c>
      <c r="O782" s="2">
        <v>2</v>
      </c>
      <c r="P782" s="2">
        <v>1</v>
      </c>
      <c r="Q782" s="2">
        <v>26.1</v>
      </c>
      <c r="R782" s="2" t="str" cm="1">
        <f t="array" ref="R782">_xlfn.IFS(Q782&lt;18.5,"Underweight",
AND(Q782&gt;=18.5,Q782&lt;25),"Normal Weight",
AND(Q782&gt;=25,Q782&lt;30),"Overweight",
Q782&gt;=30,"Obesity")</f>
        <v>Overweight</v>
      </c>
      <c r="S782" s="2">
        <f t="shared" si="12"/>
        <v>605.1094890510949</v>
      </c>
      <c r="T782" s="2" t="str" cm="1">
        <f t="array" ref="T782">_xlfn.IFS(N782&lt;=2.5,"Low",N782&lt;=3,"Medium",N782&gt;3,"High")</f>
        <v>Low</v>
      </c>
    </row>
    <row r="783" spans="1:20" x14ac:dyDescent="0.3">
      <c r="A783" s="2">
        <v>782</v>
      </c>
      <c r="B783" s="2" t="s">
        <v>23</v>
      </c>
      <c r="C783" s="2">
        <v>43</v>
      </c>
      <c r="D783" s="2" t="s">
        <v>16</v>
      </c>
      <c r="E783" s="2">
        <v>66.3</v>
      </c>
      <c r="F783" s="2">
        <v>1.77</v>
      </c>
      <c r="G783" s="2">
        <v>177</v>
      </c>
      <c r="H783" s="2">
        <v>157</v>
      </c>
      <c r="I783" s="2">
        <v>57</v>
      </c>
      <c r="J783" s="2">
        <v>1.48</v>
      </c>
      <c r="K783" s="2">
        <v>1046</v>
      </c>
      <c r="L783" s="2" t="s">
        <v>18</v>
      </c>
      <c r="M783" s="2">
        <v>32.700000000000003</v>
      </c>
      <c r="N783" s="2">
        <v>1.7</v>
      </c>
      <c r="O783" s="2">
        <v>4</v>
      </c>
      <c r="P783" s="2">
        <v>2</v>
      </c>
      <c r="Q783" s="2">
        <v>21.16</v>
      </c>
      <c r="R783" s="2" t="str" cm="1">
        <f t="array" ref="R783">_xlfn.IFS(Q783&lt;18.5,"Underweight",
AND(Q783&gt;=18.5,Q783&lt;25),"Normal Weight",
AND(Q783&gt;=25,Q783&lt;30),"Overweight",
Q783&gt;=30,"Obesity")</f>
        <v>Normal Weight</v>
      </c>
      <c r="S783" s="2">
        <f t="shared" si="12"/>
        <v>706.75675675675677</v>
      </c>
      <c r="T783" s="2" t="str" cm="1">
        <f t="array" ref="T783">_xlfn.IFS(N783&lt;=2.5,"Low",N783&lt;=3,"Medium",N783&gt;3,"High")</f>
        <v>Low</v>
      </c>
    </row>
    <row r="784" spans="1:20" x14ac:dyDescent="0.3">
      <c r="A784" s="2">
        <v>783</v>
      </c>
      <c r="B784" s="2" t="s">
        <v>28</v>
      </c>
      <c r="C784" s="2">
        <v>39</v>
      </c>
      <c r="D784" s="2" t="s">
        <v>16</v>
      </c>
      <c r="E784" s="2">
        <v>56</v>
      </c>
      <c r="F784" s="2">
        <v>1.6</v>
      </c>
      <c r="G784" s="2">
        <v>184</v>
      </c>
      <c r="H784" s="2">
        <v>151</v>
      </c>
      <c r="I784" s="2">
        <v>69</v>
      </c>
      <c r="J784" s="2">
        <v>0.89</v>
      </c>
      <c r="K784" s="2">
        <v>672</v>
      </c>
      <c r="L784" s="2" t="s">
        <v>17</v>
      </c>
      <c r="M784" s="2">
        <v>32.6</v>
      </c>
      <c r="N784" s="2">
        <v>2</v>
      </c>
      <c r="O784" s="2">
        <v>2</v>
      </c>
      <c r="P784" s="2">
        <v>1</v>
      </c>
      <c r="Q784" s="2">
        <v>21.87</v>
      </c>
      <c r="R784" s="2" t="str" cm="1">
        <f t="array" ref="R784">_xlfn.IFS(Q784&lt;18.5,"Underweight",
AND(Q784&gt;=18.5,Q784&lt;25),"Normal Weight",
AND(Q784&gt;=25,Q784&lt;30),"Overweight",
Q784&gt;=30,"Obesity")</f>
        <v>Normal Weight</v>
      </c>
      <c r="S784" s="2">
        <f t="shared" si="12"/>
        <v>755.05617977528084</v>
      </c>
      <c r="T784" s="2" t="str" cm="1">
        <f t="array" ref="T784">_xlfn.IFS(N784&lt;=2.5,"Low",N784&lt;=3,"Medium",N784&gt;3,"High")</f>
        <v>Low</v>
      </c>
    </row>
    <row r="785" spans="1:20" x14ac:dyDescent="0.3">
      <c r="A785" s="2">
        <v>784</v>
      </c>
      <c r="B785" s="2" t="s">
        <v>25</v>
      </c>
      <c r="C785" s="2">
        <v>47</v>
      </c>
      <c r="D785" s="2" t="s">
        <v>15</v>
      </c>
      <c r="E785" s="2">
        <v>45.9</v>
      </c>
      <c r="F785" s="2">
        <v>1.93</v>
      </c>
      <c r="G785" s="2">
        <v>166</v>
      </c>
      <c r="H785" s="2">
        <v>159</v>
      </c>
      <c r="I785" s="2">
        <v>65</v>
      </c>
      <c r="J785" s="2">
        <v>1.29</v>
      </c>
      <c r="K785" s="2">
        <v>1015</v>
      </c>
      <c r="L785" s="2" t="s">
        <v>19</v>
      </c>
      <c r="M785" s="2">
        <v>29.6</v>
      </c>
      <c r="N785" s="2">
        <v>2</v>
      </c>
      <c r="O785" s="2">
        <v>3</v>
      </c>
      <c r="P785" s="2">
        <v>2</v>
      </c>
      <c r="Q785" s="2">
        <v>12.32</v>
      </c>
      <c r="R785" s="2" t="str" cm="1">
        <f t="array" ref="R785">_xlfn.IFS(Q785&lt;18.5,"Underweight",
AND(Q785&gt;=18.5,Q785&lt;25),"Normal Weight",
AND(Q785&gt;=25,Q785&lt;30),"Overweight",
Q785&gt;=30,"Obesity")</f>
        <v>Underweight</v>
      </c>
      <c r="S785" s="2">
        <f t="shared" si="12"/>
        <v>786.82170542635652</v>
      </c>
      <c r="T785" s="2" t="str" cm="1">
        <f t="array" ref="T785">_xlfn.IFS(N785&lt;=2.5,"Low",N785&lt;=3,"Medium",N785&gt;3,"High")</f>
        <v>Low</v>
      </c>
    </row>
    <row r="786" spans="1:20" x14ac:dyDescent="0.3">
      <c r="A786" s="2">
        <v>785</v>
      </c>
      <c r="B786" s="2" t="s">
        <v>23</v>
      </c>
      <c r="C786" s="2">
        <v>34</v>
      </c>
      <c r="D786" s="2" t="s">
        <v>15</v>
      </c>
      <c r="E786" s="2">
        <v>88</v>
      </c>
      <c r="F786" s="2">
        <v>1.64</v>
      </c>
      <c r="G786" s="2">
        <v>197</v>
      </c>
      <c r="H786" s="2">
        <v>147</v>
      </c>
      <c r="I786" s="2">
        <v>70</v>
      </c>
      <c r="J786" s="2">
        <v>1.9</v>
      </c>
      <c r="K786" s="2">
        <v>1536</v>
      </c>
      <c r="L786" s="2" t="s">
        <v>17</v>
      </c>
      <c r="M786" s="2">
        <v>14.4</v>
      </c>
      <c r="N786" s="2">
        <v>3.5</v>
      </c>
      <c r="O786" s="2">
        <v>4</v>
      </c>
      <c r="P786" s="2">
        <v>3</v>
      </c>
      <c r="Q786" s="2">
        <v>32.72</v>
      </c>
      <c r="R786" s="2" t="str" cm="1">
        <f t="array" ref="R786">_xlfn.IFS(Q786&lt;18.5,"Underweight",
AND(Q786&gt;=18.5,Q786&lt;25),"Normal Weight",
AND(Q786&gt;=25,Q786&lt;30),"Overweight",
Q786&gt;=30,"Obesity")</f>
        <v>Obesity</v>
      </c>
      <c r="S786" s="2">
        <f t="shared" si="12"/>
        <v>808.42105263157896</v>
      </c>
      <c r="T786" s="2" t="str" cm="1">
        <f t="array" ref="T786">_xlfn.IFS(N786&lt;=2.5,"Low",N786&lt;=3,"Medium",N786&gt;3,"High")</f>
        <v>High</v>
      </c>
    </row>
    <row r="787" spans="1:20" x14ac:dyDescent="0.3">
      <c r="A787" s="2">
        <v>786</v>
      </c>
      <c r="B787" s="2" t="s">
        <v>26</v>
      </c>
      <c r="C787" s="2">
        <v>43</v>
      </c>
      <c r="D787" s="2" t="s">
        <v>15</v>
      </c>
      <c r="E787" s="2">
        <v>94</v>
      </c>
      <c r="F787" s="2">
        <v>1.79</v>
      </c>
      <c r="G787" s="2">
        <v>187</v>
      </c>
      <c r="H787" s="2">
        <v>156</v>
      </c>
      <c r="I787" s="2">
        <v>62</v>
      </c>
      <c r="J787" s="2">
        <v>1.31</v>
      </c>
      <c r="K787" s="2">
        <v>1012</v>
      </c>
      <c r="L787" s="2" t="s">
        <v>18</v>
      </c>
      <c r="M787" s="2">
        <v>23.2</v>
      </c>
      <c r="N787" s="2">
        <v>3.4</v>
      </c>
      <c r="O787" s="2">
        <v>2</v>
      </c>
      <c r="P787" s="2">
        <v>1</v>
      </c>
      <c r="Q787" s="2">
        <v>29.34</v>
      </c>
      <c r="R787" s="2" t="str" cm="1">
        <f t="array" ref="R787">_xlfn.IFS(Q787&lt;18.5,"Underweight",
AND(Q787&gt;=18.5,Q787&lt;25),"Normal Weight",
AND(Q787&gt;=25,Q787&lt;30),"Overweight",
Q787&gt;=30,"Obesity")</f>
        <v>Overweight</v>
      </c>
      <c r="S787" s="2">
        <f t="shared" si="12"/>
        <v>772.51908396946567</v>
      </c>
      <c r="T787" s="2" t="str" cm="1">
        <f t="array" ref="T787">_xlfn.IFS(N787&lt;=2.5,"Low",N787&lt;=3,"Medium",N787&gt;3,"High")</f>
        <v>High</v>
      </c>
    </row>
    <row r="788" spans="1:20" x14ac:dyDescent="0.3">
      <c r="A788" s="2">
        <v>787</v>
      </c>
      <c r="B788" s="2" t="s">
        <v>21</v>
      </c>
      <c r="C788" s="2">
        <v>53</v>
      </c>
      <c r="D788" s="2" t="s">
        <v>16</v>
      </c>
      <c r="E788" s="2">
        <v>44.7</v>
      </c>
      <c r="F788" s="2">
        <v>1.79</v>
      </c>
      <c r="G788" s="2">
        <v>164</v>
      </c>
      <c r="H788" s="2">
        <v>160</v>
      </c>
      <c r="I788" s="2">
        <v>72</v>
      </c>
      <c r="J788" s="2">
        <v>1.34</v>
      </c>
      <c r="K788" s="2">
        <v>965</v>
      </c>
      <c r="L788" s="2" t="s">
        <v>17</v>
      </c>
      <c r="M788" s="2">
        <v>26.7</v>
      </c>
      <c r="N788" s="2">
        <v>2.1</v>
      </c>
      <c r="O788" s="2">
        <v>3</v>
      </c>
      <c r="P788" s="2">
        <v>2</v>
      </c>
      <c r="Q788" s="2">
        <v>13.95</v>
      </c>
      <c r="R788" s="2" t="str" cm="1">
        <f t="array" ref="R788">_xlfn.IFS(Q788&lt;18.5,"Underweight",
AND(Q788&gt;=18.5,Q788&lt;25),"Normal Weight",
AND(Q788&gt;=25,Q788&lt;30),"Overweight",
Q788&gt;=30,"Obesity")</f>
        <v>Underweight</v>
      </c>
      <c r="S788" s="2">
        <f t="shared" si="12"/>
        <v>720.14925373134326</v>
      </c>
      <c r="T788" s="2" t="str" cm="1">
        <f t="array" ref="T788">_xlfn.IFS(N788&lt;=2.5,"Low",N788&lt;=3,"Medium",N788&gt;3,"High")</f>
        <v>Low</v>
      </c>
    </row>
    <row r="789" spans="1:20" x14ac:dyDescent="0.3">
      <c r="A789" s="2">
        <v>788</v>
      </c>
      <c r="B789" s="2" t="s">
        <v>26</v>
      </c>
      <c r="C789" s="2">
        <v>18</v>
      </c>
      <c r="D789" s="2" t="s">
        <v>15</v>
      </c>
      <c r="E789" s="2">
        <v>63.2</v>
      </c>
      <c r="F789" s="2">
        <v>1.63</v>
      </c>
      <c r="G789" s="2">
        <v>162</v>
      </c>
      <c r="H789" s="2">
        <v>120</v>
      </c>
      <c r="I789" s="2">
        <v>73</v>
      </c>
      <c r="J789" s="2">
        <v>0.66</v>
      </c>
      <c r="K789" s="2">
        <v>436</v>
      </c>
      <c r="L789" s="2" t="s">
        <v>19</v>
      </c>
      <c r="M789" s="2">
        <v>27.5</v>
      </c>
      <c r="N789" s="2">
        <v>2.2000000000000002</v>
      </c>
      <c r="O789" s="2">
        <v>3</v>
      </c>
      <c r="P789" s="2">
        <v>1</v>
      </c>
      <c r="Q789" s="2">
        <v>23.79</v>
      </c>
      <c r="R789" s="2" t="str" cm="1">
        <f t="array" ref="R789">_xlfn.IFS(Q789&lt;18.5,"Underweight",
AND(Q789&gt;=18.5,Q789&lt;25),"Normal Weight",
AND(Q789&gt;=25,Q789&lt;30),"Overweight",
Q789&gt;=30,"Obesity")</f>
        <v>Normal Weight</v>
      </c>
      <c r="S789" s="2">
        <f t="shared" si="12"/>
        <v>660.60606060606062</v>
      </c>
      <c r="T789" s="2" t="str" cm="1">
        <f t="array" ref="T789">_xlfn.IFS(N789&lt;=2.5,"Low",N789&lt;=3,"Medium",N789&gt;3,"High")</f>
        <v>Low</v>
      </c>
    </row>
    <row r="790" spans="1:20" x14ac:dyDescent="0.3">
      <c r="A790" s="2">
        <v>789</v>
      </c>
      <c r="B790" s="2" t="s">
        <v>21</v>
      </c>
      <c r="C790" s="2">
        <v>25</v>
      </c>
      <c r="D790" s="2" t="s">
        <v>15</v>
      </c>
      <c r="E790" s="2">
        <v>95.6</v>
      </c>
      <c r="F790" s="2">
        <v>1.9</v>
      </c>
      <c r="G790" s="2">
        <v>190</v>
      </c>
      <c r="H790" s="2">
        <v>160</v>
      </c>
      <c r="I790" s="2">
        <v>72</v>
      </c>
      <c r="J790" s="2">
        <v>1.47</v>
      </c>
      <c r="K790" s="2">
        <v>1294</v>
      </c>
      <c r="L790" s="2" t="s">
        <v>19</v>
      </c>
      <c r="M790" s="2">
        <v>23.8</v>
      </c>
      <c r="N790" s="2">
        <v>2.4</v>
      </c>
      <c r="O790" s="2">
        <v>4</v>
      </c>
      <c r="P790" s="2">
        <v>2</v>
      </c>
      <c r="Q790" s="2">
        <v>26.48</v>
      </c>
      <c r="R790" s="2" t="str" cm="1">
        <f t="array" ref="R790">_xlfn.IFS(Q790&lt;18.5,"Underweight",
AND(Q790&gt;=18.5,Q790&lt;25),"Normal Weight",
AND(Q790&gt;=25,Q790&lt;30),"Overweight",
Q790&gt;=30,"Obesity")</f>
        <v>Overweight</v>
      </c>
      <c r="S790" s="2">
        <f t="shared" si="12"/>
        <v>880.27210884353747</v>
      </c>
      <c r="T790" s="2" t="str" cm="1">
        <f t="array" ref="T790">_xlfn.IFS(N790&lt;=2.5,"Low",N790&lt;=3,"Medium",N790&gt;3,"High")</f>
        <v>Low</v>
      </c>
    </row>
    <row r="791" spans="1:20" x14ac:dyDescent="0.3">
      <c r="A791" s="2">
        <v>790</v>
      </c>
      <c r="B791" s="2" t="s">
        <v>28</v>
      </c>
      <c r="C791" s="2">
        <v>52</v>
      </c>
      <c r="D791" s="2" t="s">
        <v>15</v>
      </c>
      <c r="E791" s="2">
        <v>47.8</v>
      </c>
      <c r="F791" s="2">
        <v>1.86</v>
      </c>
      <c r="G791" s="2">
        <v>179</v>
      </c>
      <c r="H791" s="2">
        <v>129</v>
      </c>
      <c r="I791" s="2">
        <v>67</v>
      </c>
      <c r="J791" s="2">
        <v>1.01</v>
      </c>
      <c r="K791" s="2">
        <v>645</v>
      </c>
      <c r="L791" s="2" t="s">
        <v>17</v>
      </c>
      <c r="M791" s="2">
        <v>24.7</v>
      </c>
      <c r="N791" s="2">
        <v>2.8</v>
      </c>
      <c r="O791" s="2">
        <v>3</v>
      </c>
      <c r="P791" s="2">
        <v>2</v>
      </c>
      <c r="Q791" s="2">
        <v>13.82</v>
      </c>
      <c r="R791" s="2" t="str" cm="1">
        <f t="array" ref="R791">_xlfn.IFS(Q791&lt;18.5,"Underweight",
AND(Q791&gt;=18.5,Q791&lt;25),"Normal Weight",
AND(Q791&gt;=25,Q791&lt;30),"Overweight",
Q791&gt;=30,"Obesity")</f>
        <v>Underweight</v>
      </c>
      <c r="S791" s="2">
        <f t="shared" si="12"/>
        <v>638.61386138613864</v>
      </c>
      <c r="T791" s="2" t="str" cm="1">
        <f t="array" ref="T791">_xlfn.IFS(N791&lt;=2.5,"Low",N791&lt;=3,"Medium",N791&gt;3,"High")</f>
        <v>Medium</v>
      </c>
    </row>
    <row r="792" spans="1:20" x14ac:dyDescent="0.3">
      <c r="A792" s="2">
        <v>791</v>
      </c>
      <c r="B792" s="2" t="s">
        <v>25</v>
      </c>
      <c r="C792" s="2">
        <v>32</v>
      </c>
      <c r="D792" s="2" t="s">
        <v>15</v>
      </c>
      <c r="E792" s="2">
        <v>85.3</v>
      </c>
      <c r="F792" s="2">
        <v>1.64</v>
      </c>
      <c r="G792" s="2">
        <v>178</v>
      </c>
      <c r="H792" s="2">
        <v>123</v>
      </c>
      <c r="I792" s="2">
        <v>69</v>
      </c>
      <c r="J792" s="2">
        <v>1.77</v>
      </c>
      <c r="K792" s="2">
        <v>1197</v>
      </c>
      <c r="L792" s="2" t="s">
        <v>19</v>
      </c>
      <c r="M792" s="2">
        <v>13.2</v>
      </c>
      <c r="N792" s="2">
        <v>3.5</v>
      </c>
      <c r="O792" s="2">
        <v>4</v>
      </c>
      <c r="P792" s="2">
        <v>3</v>
      </c>
      <c r="Q792" s="2">
        <v>31.71</v>
      </c>
      <c r="R792" s="2" t="str" cm="1">
        <f t="array" ref="R792">_xlfn.IFS(Q792&lt;18.5,"Underweight",
AND(Q792&gt;=18.5,Q792&lt;25),"Normal Weight",
AND(Q792&gt;=25,Q792&lt;30),"Overweight",
Q792&gt;=30,"Obesity")</f>
        <v>Obesity</v>
      </c>
      <c r="S792" s="2">
        <f t="shared" si="12"/>
        <v>676.27118644067798</v>
      </c>
      <c r="T792" s="2" t="str" cm="1">
        <f t="array" ref="T792">_xlfn.IFS(N792&lt;=2.5,"Low",N792&lt;=3,"Medium",N792&gt;3,"High")</f>
        <v>High</v>
      </c>
    </row>
    <row r="793" spans="1:20" x14ac:dyDescent="0.3">
      <c r="A793" s="2">
        <v>792</v>
      </c>
      <c r="B793" s="2" t="s">
        <v>27</v>
      </c>
      <c r="C793" s="2">
        <v>39</v>
      </c>
      <c r="D793" s="2" t="s">
        <v>15</v>
      </c>
      <c r="E793" s="2">
        <v>59.7</v>
      </c>
      <c r="F793" s="2">
        <v>1.83</v>
      </c>
      <c r="G793" s="2">
        <v>170</v>
      </c>
      <c r="H793" s="2">
        <v>154</v>
      </c>
      <c r="I793" s="2">
        <v>59</v>
      </c>
      <c r="J793" s="2">
        <v>1.35</v>
      </c>
      <c r="K793" s="2">
        <v>1143</v>
      </c>
      <c r="L793" s="2" t="s">
        <v>20</v>
      </c>
      <c r="M793" s="2">
        <v>29.1</v>
      </c>
      <c r="N793" s="2">
        <v>2.2999999999999998</v>
      </c>
      <c r="O793" s="2">
        <v>4</v>
      </c>
      <c r="P793" s="2">
        <v>2</v>
      </c>
      <c r="Q793" s="2">
        <v>17.829999999999998</v>
      </c>
      <c r="R793" s="2" t="str" cm="1">
        <f t="array" ref="R793">_xlfn.IFS(Q793&lt;18.5,"Underweight",
AND(Q793&gt;=18.5,Q793&lt;25),"Normal Weight",
AND(Q793&gt;=25,Q793&lt;30),"Overweight",
Q793&gt;=30,"Obesity")</f>
        <v>Underweight</v>
      </c>
      <c r="S793" s="2">
        <f t="shared" si="12"/>
        <v>846.66666666666663</v>
      </c>
      <c r="T793" s="2" t="str" cm="1">
        <f t="array" ref="T793">_xlfn.IFS(N793&lt;=2.5,"Low",N793&lt;=3,"Medium",N793&gt;3,"High")</f>
        <v>Low</v>
      </c>
    </row>
    <row r="794" spans="1:20" x14ac:dyDescent="0.3">
      <c r="A794" s="2">
        <v>793</v>
      </c>
      <c r="B794" s="2" t="s">
        <v>26</v>
      </c>
      <c r="C794" s="2">
        <v>31</v>
      </c>
      <c r="D794" s="2" t="s">
        <v>15</v>
      </c>
      <c r="E794" s="2">
        <v>70.2</v>
      </c>
      <c r="F794" s="2">
        <v>1.98</v>
      </c>
      <c r="G794" s="2">
        <v>199</v>
      </c>
      <c r="H794" s="2">
        <v>129</v>
      </c>
      <c r="I794" s="2">
        <v>61</v>
      </c>
      <c r="J794" s="2">
        <v>0.71</v>
      </c>
      <c r="K794" s="2">
        <v>504</v>
      </c>
      <c r="L794" s="2" t="s">
        <v>17</v>
      </c>
      <c r="M794" s="2">
        <v>24.2</v>
      </c>
      <c r="N794" s="2">
        <v>2.5</v>
      </c>
      <c r="O794" s="2">
        <v>2</v>
      </c>
      <c r="P794" s="2">
        <v>1</v>
      </c>
      <c r="Q794" s="2">
        <v>17.91</v>
      </c>
      <c r="R794" s="2" t="str" cm="1">
        <f t="array" ref="R794">_xlfn.IFS(Q794&lt;18.5,"Underweight",
AND(Q794&gt;=18.5,Q794&lt;25),"Normal Weight",
AND(Q794&gt;=25,Q794&lt;30),"Overweight",
Q794&gt;=30,"Obesity")</f>
        <v>Underweight</v>
      </c>
      <c r="S794" s="2">
        <f t="shared" si="12"/>
        <v>709.85915492957747</v>
      </c>
      <c r="T794" s="2" t="str" cm="1">
        <f t="array" ref="T794">_xlfn.IFS(N794&lt;=2.5,"Low",N794&lt;=3,"Medium",N794&gt;3,"High")</f>
        <v>Low</v>
      </c>
    </row>
    <row r="795" spans="1:20" x14ac:dyDescent="0.3">
      <c r="A795" s="2">
        <v>794</v>
      </c>
      <c r="B795" s="2" t="s">
        <v>26</v>
      </c>
      <c r="C795" s="2">
        <v>43</v>
      </c>
      <c r="D795" s="2" t="s">
        <v>16</v>
      </c>
      <c r="E795" s="2">
        <v>72.7</v>
      </c>
      <c r="F795" s="2">
        <v>1.8</v>
      </c>
      <c r="G795" s="2">
        <v>162</v>
      </c>
      <c r="H795" s="2">
        <v>166</v>
      </c>
      <c r="I795" s="2">
        <v>50</v>
      </c>
      <c r="J795" s="2">
        <v>0.79</v>
      </c>
      <c r="K795" s="2">
        <v>590</v>
      </c>
      <c r="L795" s="2" t="s">
        <v>19</v>
      </c>
      <c r="M795" s="2">
        <v>32.799999999999997</v>
      </c>
      <c r="N795" s="2">
        <v>2.1</v>
      </c>
      <c r="O795" s="2">
        <v>3</v>
      </c>
      <c r="P795" s="2">
        <v>1</v>
      </c>
      <c r="Q795" s="2">
        <v>22.44</v>
      </c>
      <c r="R795" s="2" t="str" cm="1">
        <f t="array" ref="R795">_xlfn.IFS(Q795&lt;18.5,"Underweight",
AND(Q795&gt;=18.5,Q795&lt;25),"Normal Weight",
AND(Q795&gt;=25,Q795&lt;30),"Overweight",
Q795&gt;=30,"Obesity")</f>
        <v>Normal Weight</v>
      </c>
      <c r="S795" s="2">
        <f t="shared" si="12"/>
        <v>746.83544303797464</v>
      </c>
      <c r="T795" s="2" t="str" cm="1">
        <f t="array" ref="T795">_xlfn.IFS(N795&lt;=2.5,"Low",N795&lt;=3,"Medium",N795&gt;3,"High")</f>
        <v>Low</v>
      </c>
    </row>
    <row r="796" spans="1:20" x14ac:dyDescent="0.3">
      <c r="A796" s="2">
        <v>795</v>
      </c>
      <c r="B796" s="2" t="s">
        <v>30</v>
      </c>
      <c r="C796" s="2">
        <v>45</v>
      </c>
      <c r="D796" s="2" t="s">
        <v>16</v>
      </c>
      <c r="E796" s="2">
        <v>50.4</v>
      </c>
      <c r="F796" s="2">
        <v>1.79</v>
      </c>
      <c r="G796" s="2">
        <v>182</v>
      </c>
      <c r="H796" s="2">
        <v>130</v>
      </c>
      <c r="I796" s="2">
        <v>59</v>
      </c>
      <c r="J796" s="2">
        <v>0.74</v>
      </c>
      <c r="K796" s="2">
        <v>433</v>
      </c>
      <c r="L796" s="2" t="s">
        <v>19</v>
      </c>
      <c r="M796" s="2">
        <v>27.7</v>
      </c>
      <c r="N796" s="2">
        <v>2.5</v>
      </c>
      <c r="O796" s="2">
        <v>2</v>
      </c>
      <c r="P796" s="2">
        <v>1</v>
      </c>
      <c r="Q796" s="2">
        <v>15.73</v>
      </c>
      <c r="R796" s="2" t="str" cm="1">
        <f t="array" ref="R796">_xlfn.IFS(Q796&lt;18.5,"Underweight",
AND(Q796&gt;=18.5,Q796&lt;25),"Normal Weight",
AND(Q796&gt;=25,Q796&lt;30),"Overweight",
Q796&gt;=30,"Obesity")</f>
        <v>Underweight</v>
      </c>
      <c r="S796" s="2">
        <f t="shared" si="12"/>
        <v>585.1351351351351</v>
      </c>
      <c r="T796" s="2" t="str" cm="1">
        <f t="array" ref="T796">_xlfn.IFS(N796&lt;=2.5,"Low",N796&lt;=3,"Medium",N796&gt;3,"High")</f>
        <v>Low</v>
      </c>
    </row>
    <row r="797" spans="1:20" x14ac:dyDescent="0.3">
      <c r="A797" s="2">
        <v>796</v>
      </c>
      <c r="B797" s="2" t="s">
        <v>21</v>
      </c>
      <c r="C797" s="2">
        <v>40</v>
      </c>
      <c r="D797" s="2" t="s">
        <v>15</v>
      </c>
      <c r="E797" s="2">
        <v>81.7</v>
      </c>
      <c r="F797" s="2">
        <v>1.74</v>
      </c>
      <c r="G797" s="2">
        <v>166</v>
      </c>
      <c r="H797" s="2">
        <v>133</v>
      </c>
      <c r="I797" s="2">
        <v>58</v>
      </c>
      <c r="J797" s="2">
        <v>0.91</v>
      </c>
      <c r="K797" s="2">
        <v>666</v>
      </c>
      <c r="L797" s="2" t="s">
        <v>17</v>
      </c>
      <c r="M797" s="2">
        <v>27</v>
      </c>
      <c r="N797" s="2">
        <v>2.7</v>
      </c>
      <c r="O797" s="2">
        <v>2</v>
      </c>
      <c r="P797" s="2">
        <v>1</v>
      </c>
      <c r="Q797" s="2">
        <v>26.99</v>
      </c>
      <c r="R797" s="2" t="str" cm="1">
        <f t="array" ref="R797">_xlfn.IFS(Q797&lt;18.5,"Underweight",
AND(Q797&gt;=18.5,Q797&lt;25),"Normal Weight",
AND(Q797&gt;=25,Q797&lt;30),"Overweight",
Q797&gt;=30,"Obesity")</f>
        <v>Overweight</v>
      </c>
      <c r="S797" s="2">
        <f t="shared" si="12"/>
        <v>731.86813186813185</v>
      </c>
      <c r="T797" s="2" t="str" cm="1">
        <f t="array" ref="T797">_xlfn.IFS(N797&lt;=2.5,"Low",N797&lt;=3,"Medium",N797&gt;3,"High")</f>
        <v>Medium</v>
      </c>
    </row>
    <row r="798" spans="1:20" x14ac:dyDescent="0.3">
      <c r="A798" s="2">
        <v>797</v>
      </c>
      <c r="B798" s="2" t="s">
        <v>24</v>
      </c>
      <c r="C798" s="2">
        <v>31</v>
      </c>
      <c r="D798" s="2" t="s">
        <v>15</v>
      </c>
      <c r="E798" s="2">
        <v>49.3</v>
      </c>
      <c r="F798" s="2">
        <v>1.62</v>
      </c>
      <c r="G798" s="2">
        <v>182</v>
      </c>
      <c r="H798" s="2">
        <v>157</v>
      </c>
      <c r="I798" s="2">
        <v>52</v>
      </c>
      <c r="J798" s="2">
        <v>0.56000000000000005</v>
      </c>
      <c r="K798" s="2">
        <v>484</v>
      </c>
      <c r="L798" s="2" t="s">
        <v>20</v>
      </c>
      <c r="M798" s="2">
        <v>20</v>
      </c>
      <c r="N798" s="2">
        <v>3.2</v>
      </c>
      <c r="O798" s="2">
        <v>2</v>
      </c>
      <c r="P798" s="2">
        <v>1</v>
      </c>
      <c r="Q798" s="2">
        <v>18.79</v>
      </c>
      <c r="R798" s="2" t="str" cm="1">
        <f t="array" ref="R798">_xlfn.IFS(Q798&lt;18.5,"Underweight",
AND(Q798&gt;=18.5,Q798&lt;25),"Normal Weight",
AND(Q798&gt;=25,Q798&lt;30),"Overweight",
Q798&gt;=30,"Obesity")</f>
        <v>Normal Weight</v>
      </c>
      <c r="S798" s="2">
        <f t="shared" si="12"/>
        <v>864.28571428571422</v>
      </c>
      <c r="T798" s="2" t="str" cm="1">
        <f t="array" ref="T798">_xlfn.IFS(N798&lt;=2.5,"Low",N798&lt;=3,"Medium",N798&gt;3,"High")</f>
        <v>High</v>
      </c>
    </row>
    <row r="799" spans="1:20" x14ac:dyDescent="0.3">
      <c r="A799" s="2">
        <v>798</v>
      </c>
      <c r="B799" s="2" t="s">
        <v>25</v>
      </c>
      <c r="C799" s="2">
        <v>41</v>
      </c>
      <c r="D799" s="2" t="s">
        <v>16</v>
      </c>
      <c r="E799" s="2">
        <v>61.9</v>
      </c>
      <c r="F799" s="2">
        <v>1.64</v>
      </c>
      <c r="G799" s="2">
        <v>166</v>
      </c>
      <c r="H799" s="2">
        <v>131</v>
      </c>
      <c r="I799" s="2">
        <v>68</v>
      </c>
      <c r="J799" s="2">
        <v>1.93</v>
      </c>
      <c r="K799" s="2">
        <v>1138</v>
      </c>
      <c r="L799" s="2" t="s">
        <v>17</v>
      </c>
      <c r="M799" s="2">
        <v>19.399999999999999</v>
      </c>
      <c r="N799" s="2">
        <v>2.7</v>
      </c>
      <c r="O799" s="2">
        <v>4</v>
      </c>
      <c r="P799" s="2">
        <v>3</v>
      </c>
      <c r="Q799" s="2">
        <v>23.01</v>
      </c>
      <c r="R799" s="2" t="str" cm="1">
        <f t="array" ref="R799">_xlfn.IFS(Q799&lt;18.5,"Underweight",
AND(Q799&gt;=18.5,Q799&lt;25),"Normal Weight",
AND(Q799&gt;=25,Q799&lt;30),"Overweight",
Q799&gt;=30,"Obesity")</f>
        <v>Normal Weight</v>
      </c>
      <c r="S799" s="2">
        <f t="shared" si="12"/>
        <v>589.63730569948189</v>
      </c>
      <c r="T799" s="2" t="str" cm="1">
        <f t="array" ref="T799">_xlfn.IFS(N799&lt;=2.5,"Low",N799&lt;=3,"Medium",N799&gt;3,"High")</f>
        <v>Medium</v>
      </c>
    </row>
    <row r="800" spans="1:20" x14ac:dyDescent="0.3">
      <c r="A800" s="2">
        <v>799</v>
      </c>
      <c r="B800" s="2" t="s">
        <v>21</v>
      </c>
      <c r="C800" s="2">
        <v>19</v>
      </c>
      <c r="D800" s="2" t="s">
        <v>16</v>
      </c>
      <c r="E800" s="2">
        <v>49.1</v>
      </c>
      <c r="F800" s="2">
        <v>1.68</v>
      </c>
      <c r="G800" s="2">
        <v>193</v>
      </c>
      <c r="H800" s="2">
        <v>164</v>
      </c>
      <c r="I800" s="2">
        <v>58</v>
      </c>
      <c r="J800" s="2">
        <v>1.42</v>
      </c>
      <c r="K800" s="2">
        <v>1164</v>
      </c>
      <c r="L800" s="2" t="s">
        <v>19</v>
      </c>
      <c r="M800" s="2">
        <v>25.3</v>
      </c>
      <c r="N800" s="2">
        <v>2.6</v>
      </c>
      <c r="O800" s="2">
        <v>4</v>
      </c>
      <c r="P800" s="2">
        <v>2</v>
      </c>
      <c r="Q800" s="2">
        <v>17.399999999999999</v>
      </c>
      <c r="R800" s="2" t="str" cm="1">
        <f t="array" ref="R800">_xlfn.IFS(Q800&lt;18.5,"Underweight",
AND(Q800&gt;=18.5,Q800&lt;25),"Normal Weight",
AND(Q800&gt;=25,Q800&lt;30),"Overweight",
Q800&gt;=30,"Obesity")</f>
        <v>Underweight</v>
      </c>
      <c r="S800" s="2">
        <f t="shared" si="12"/>
        <v>819.71830985915494</v>
      </c>
      <c r="T800" s="2" t="str" cm="1">
        <f t="array" ref="T800">_xlfn.IFS(N800&lt;=2.5,"Low",N800&lt;=3,"Medium",N800&gt;3,"High")</f>
        <v>Medium</v>
      </c>
    </row>
    <row r="801" spans="1:20" x14ac:dyDescent="0.3">
      <c r="A801" s="2">
        <v>800</v>
      </c>
      <c r="B801" s="2" t="s">
        <v>30</v>
      </c>
      <c r="C801" s="2">
        <v>43</v>
      </c>
      <c r="D801" s="2" t="s">
        <v>15</v>
      </c>
      <c r="E801" s="2">
        <v>66.5</v>
      </c>
      <c r="F801" s="2">
        <v>1.83</v>
      </c>
      <c r="G801" s="2">
        <v>178</v>
      </c>
      <c r="H801" s="2">
        <v>136</v>
      </c>
      <c r="I801" s="2">
        <v>59</v>
      </c>
      <c r="J801" s="2">
        <v>1.1100000000000001</v>
      </c>
      <c r="K801" s="2">
        <v>747</v>
      </c>
      <c r="L801" s="2" t="s">
        <v>17</v>
      </c>
      <c r="M801" s="2">
        <v>27.1</v>
      </c>
      <c r="N801" s="2">
        <v>2.4</v>
      </c>
      <c r="O801" s="2">
        <v>3</v>
      </c>
      <c r="P801" s="2">
        <v>2</v>
      </c>
      <c r="Q801" s="2">
        <v>19.86</v>
      </c>
      <c r="R801" s="2" t="str" cm="1">
        <f t="array" ref="R801">_xlfn.IFS(Q801&lt;18.5,"Underweight",
AND(Q801&gt;=18.5,Q801&lt;25),"Normal Weight",
AND(Q801&gt;=25,Q801&lt;30),"Overweight",
Q801&gt;=30,"Obesity")</f>
        <v>Normal Weight</v>
      </c>
      <c r="S801" s="2">
        <f t="shared" si="12"/>
        <v>672.97297297297291</v>
      </c>
      <c r="T801" s="2" t="str" cm="1">
        <f t="array" ref="T801">_xlfn.IFS(N801&lt;=2.5,"Low",N801&lt;=3,"Medium",N801&gt;3,"High")</f>
        <v>Low</v>
      </c>
    </row>
    <row r="802" spans="1:20" x14ac:dyDescent="0.3">
      <c r="A802" s="2">
        <v>801</v>
      </c>
      <c r="B802" s="2" t="s">
        <v>29</v>
      </c>
      <c r="C802" s="2">
        <v>31</v>
      </c>
      <c r="D802" s="2" t="s">
        <v>15</v>
      </c>
      <c r="E802" s="2">
        <v>75.5</v>
      </c>
      <c r="F802" s="2">
        <v>1.93</v>
      </c>
      <c r="G802" s="2">
        <v>168</v>
      </c>
      <c r="H802" s="2">
        <v>135</v>
      </c>
      <c r="I802" s="2">
        <v>68</v>
      </c>
      <c r="J802" s="2">
        <v>0.6</v>
      </c>
      <c r="K802" s="2">
        <v>446</v>
      </c>
      <c r="L802" s="2" t="s">
        <v>19</v>
      </c>
      <c r="M802" s="2">
        <v>20.5</v>
      </c>
      <c r="N802" s="2">
        <v>3.4</v>
      </c>
      <c r="O802" s="2">
        <v>2</v>
      </c>
      <c r="P802" s="2">
        <v>1</v>
      </c>
      <c r="Q802" s="2">
        <v>20.27</v>
      </c>
      <c r="R802" s="2" t="str" cm="1">
        <f t="array" ref="R802">_xlfn.IFS(Q802&lt;18.5,"Underweight",
AND(Q802&gt;=18.5,Q802&lt;25),"Normal Weight",
AND(Q802&gt;=25,Q802&lt;30),"Overweight",
Q802&gt;=30,"Obesity")</f>
        <v>Normal Weight</v>
      </c>
      <c r="S802" s="2">
        <f t="shared" si="12"/>
        <v>743.33333333333337</v>
      </c>
      <c r="T802" s="2" t="str" cm="1">
        <f t="array" ref="T802">_xlfn.IFS(N802&lt;=2.5,"Low",N802&lt;=3,"Medium",N802&gt;3,"High")</f>
        <v>High</v>
      </c>
    </row>
    <row r="803" spans="1:20" x14ac:dyDescent="0.3">
      <c r="A803" s="2">
        <v>802</v>
      </c>
      <c r="B803" s="2" t="s">
        <v>21</v>
      </c>
      <c r="C803" s="2">
        <v>24</v>
      </c>
      <c r="D803" s="2" t="s">
        <v>15</v>
      </c>
      <c r="E803" s="2">
        <v>88.2</v>
      </c>
      <c r="F803" s="2">
        <v>1.79</v>
      </c>
      <c r="G803" s="2">
        <v>177</v>
      </c>
      <c r="H803" s="2">
        <v>154</v>
      </c>
      <c r="I803" s="2">
        <v>65</v>
      </c>
      <c r="J803" s="2">
        <v>1.76</v>
      </c>
      <c r="K803" s="2">
        <v>1491</v>
      </c>
      <c r="L803" s="2" t="s">
        <v>18</v>
      </c>
      <c r="M803" s="2">
        <v>11.3</v>
      </c>
      <c r="N803" s="2">
        <v>3.5</v>
      </c>
      <c r="O803" s="2">
        <v>4</v>
      </c>
      <c r="P803" s="2">
        <v>3</v>
      </c>
      <c r="Q803" s="2">
        <v>27.53</v>
      </c>
      <c r="R803" s="2" t="str" cm="1">
        <f t="array" ref="R803">_xlfn.IFS(Q803&lt;18.5,"Underweight",
AND(Q803&gt;=18.5,Q803&lt;25),"Normal Weight",
AND(Q803&gt;=25,Q803&lt;30),"Overweight",
Q803&gt;=30,"Obesity")</f>
        <v>Overweight</v>
      </c>
      <c r="S803" s="2">
        <f t="shared" si="12"/>
        <v>847.15909090909088</v>
      </c>
      <c r="T803" s="2" t="str" cm="1">
        <f t="array" ref="T803">_xlfn.IFS(N803&lt;=2.5,"Low",N803&lt;=3,"Medium",N803&gt;3,"High")</f>
        <v>High</v>
      </c>
    </row>
    <row r="804" spans="1:20" x14ac:dyDescent="0.3">
      <c r="A804" s="2">
        <v>803</v>
      </c>
      <c r="B804" s="2" t="s">
        <v>27</v>
      </c>
      <c r="C804" s="2">
        <v>20</v>
      </c>
      <c r="D804" s="2" t="s">
        <v>15</v>
      </c>
      <c r="E804" s="2">
        <v>74.8</v>
      </c>
      <c r="F804" s="2">
        <v>1.75</v>
      </c>
      <c r="G804" s="2">
        <v>184</v>
      </c>
      <c r="H804" s="2">
        <v>121</v>
      </c>
      <c r="I804" s="2">
        <v>73</v>
      </c>
      <c r="J804" s="2">
        <v>1.33</v>
      </c>
      <c r="K804" s="2">
        <v>885</v>
      </c>
      <c r="L804" s="2" t="s">
        <v>17</v>
      </c>
      <c r="M804" s="2">
        <v>25</v>
      </c>
      <c r="N804" s="2">
        <v>3.3</v>
      </c>
      <c r="O804" s="2">
        <v>3</v>
      </c>
      <c r="P804" s="2">
        <v>2</v>
      </c>
      <c r="Q804" s="2">
        <v>24.42</v>
      </c>
      <c r="R804" s="2" t="str" cm="1">
        <f t="array" ref="R804">_xlfn.IFS(Q804&lt;18.5,"Underweight",
AND(Q804&gt;=18.5,Q804&lt;25),"Normal Weight",
AND(Q804&gt;=25,Q804&lt;30),"Overweight",
Q804&gt;=30,"Obesity")</f>
        <v>Normal Weight</v>
      </c>
      <c r="S804" s="2">
        <f t="shared" si="12"/>
        <v>665.41353383458647</v>
      </c>
      <c r="T804" s="2" t="str" cm="1">
        <f t="array" ref="T804">_xlfn.IFS(N804&lt;=2.5,"Low",N804&lt;=3,"Medium",N804&gt;3,"High")</f>
        <v>High</v>
      </c>
    </row>
    <row r="805" spans="1:20" x14ac:dyDescent="0.3">
      <c r="A805" s="2">
        <v>804</v>
      </c>
      <c r="B805" s="2" t="s">
        <v>25</v>
      </c>
      <c r="C805" s="2">
        <v>40</v>
      </c>
      <c r="D805" s="2" t="s">
        <v>16</v>
      </c>
      <c r="E805" s="2">
        <v>72.2</v>
      </c>
      <c r="F805" s="2">
        <v>1.6</v>
      </c>
      <c r="G805" s="2">
        <v>173</v>
      </c>
      <c r="H805" s="2">
        <v>130</v>
      </c>
      <c r="I805" s="2">
        <v>67</v>
      </c>
      <c r="J805" s="2">
        <v>0.87</v>
      </c>
      <c r="K805" s="2">
        <v>566</v>
      </c>
      <c r="L805" s="2" t="s">
        <v>17</v>
      </c>
      <c r="M805" s="2">
        <v>29.2</v>
      </c>
      <c r="N805" s="2">
        <v>1.9</v>
      </c>
      <c r="O805" s="2">
        <v>3</v>
      </c>
      <c r="P805" s="2">
        <v>1</v>
      </c>
      <c r="Q805" s="2">
        <v>28.2</v>
      </c>
      <c r="R805" s="2" t="str" cm="1">
        <f t="array" ref="R805">_xlfn.IFS(Q805&lt;18.5,"Underweight",
AND(Q805&gt;=18.5,Q805&lt;25),"Normal Weight",
AND(Q805&gt;=25,Q805&lt;30),"Overweight",
Q805&gt;=30,"Obesity")</f>
        <v>Overweight</v>
      </c>
      <c r="S805" s="2">
        <f t="shared" si="12"/>
        <v>650.57471264367814</v>
      </c>
      <c r="T805" s="2" t="str" cm="1">
        <f t="array" ref="T805">_xlfn.IFS(N805&lt;=2.5,"Low",N805&lt;=3,"Medium",N805&gt;3,"High")</f>
        <v>Low</v>
      </c>
    </row>
    <row r="806" spans="1:20" x14ac:dyDescent="0.3">
      <c r="A806" s="2">
        <v>805</v>
      </c>
      <c r="B806" s="2" t="s">
        <v>30</v>
      </c>
      <c r="C806" s="2">
        <v>35</v>
      </c>
      <c r="D806" s="2" t="s">
        <v>15</v>
      </c>
      <c r="E806" s="2">
        <v>62.8</v>
      </c>
      <c r="F806" s="2">
        <v>1.63</v>
      </c>
      <c r="G806" s="2">
        <v>184</v>
      </c>
      <c r="H806" s="2">
        <v>160</v>
      </c>
      <c r="I806" s="2">
        <v>63</v>
      </c>
      <c r="J806" s="2">
        <v>1.41</v>
      </c>
      <c r="K806" s="2">
        <v>1241</v>
      </c>
      <c r="L806" s="2" t="s">
        <v>19</v>
      </c>
      <c r="M806" s="2">
        <v>21.9</v>
      </c>
      <c r="N806" s="2">
        <v>3.7</v>
      </c>
      <c r="O806" s="2">
        <v>4</v>
      </c>
      <c r="P806" s="2">
        <v>2</v>
      </c>
      <c r="Q806" s="2">
        <v>23.64</v>
      </c>
      <c r="R806" s="2" t="str" cm="1">
        <f t="array" ref="R806">_xlfn.IFS(Q806&lt;18.5,"Underweight",
AND(Q806&gt;=18.5,Q806&lt;25),"Normal Weight",
AND(Q806&gt;=25,Q806&lt;30),"Overweight",
Q806&gt;=30,"Obesity")</f>
        <v>Normal Weight</v>
      </c>
      <c r="S806" s="2">
        <f t="shared" si="12"/>
        <v>880.14184397163126</v>
      </c>
      <c r="T806" s="2" t="str" cm="1">
        <f t="array" ref="T806">_xlfn.IFS(N806&lt;=2.5,"Low",N806&lt;=3,"Medium",N806&gt;3,"High")</f>
        <v>High</v>
      </c>
    </row>
    <row r="807" spans="1:20" x14ac:dyDescent="0.3">
      <c r="A807" s="2">
        <v>806</v>
      </c>
      <c r="B807" s="2" t="s">
        <v>29</v>
      </c>
      <c r="C807" s="2">
        <v>55</v>
      </c>
      <c r="D807" s="2" t="s">
        <v>15</v>
      </c>
      <c r="E807" s="2">
        <v>84.7</v>
      </c>
      <c r="F807" s="2">
        <v>1.79</v>
      </c>
      <c r="G807" s="2">
        <v>178</v>
      </c>
      <c r="H807" s="2">
        <v>122</v>
      </c>
      <c r="I807" s="2">
        <v>52</v>
      </c>
      <c r="J807" s="2">
        <v>1.19</v>
      </c>
      <c r="K807" s="2">
        <v>719</v>
      </c>
      <c r="L807" s="2" t="s">
        <v>19</v>
      </c>
      <c r="M807" s="2">
        <v>23.3</v>
      </c>
      <c r="N807" s="2">
        <v>2.4</v>
      </c>
      <c r="O807" s="2">
        <v>3</v>
      </c>
      <c r="P807" s="2">
        <v>2</v>
      </c>
      <c r="Q807" s="2">
        <v>26.43</v>
      </c>
      <c r="R807" s="2" t="str" cm="1">
        <f t="array" ref="R807">_xlfn.IFS(Q807&lt;18.5,"Underweight",
AND(Q807&gt;=18.5,Q807&lt;25),"Normal Weight",
AND(Q807&gt;=25,Q807&lt;30),"Overweight",
Q807&gt;=30,"Obesity")</f>
        <v>Overweight</v>
      </c>
      <c r="S807" s="2">
        <f t="shared" si="12"/>
        <v>604.20168067226894</v>
      </c>
      <c r="T807" s="2" t="str" cm="1">
        <f t="array" ref="T807">_xlfn.IFS(N807&lt;=2.5,"Low",N807&lt;=3,"Medium",N807&gt;3,"High")</f>
        <v>Low</v>
      </c>
    </row>
    <row r="808" spans="1:20" x14ac:dyDescent="0.3">
      <c r="A808" s="2">
        <v>807</v>
      </c>
      <c r="B808" s="2" t="s">
        <v>22</v>
      </c>
      <c r="C808" s="2">
        <v>52</v>
      </c>
      <c r="D808" s="2" t="s">
        <v>15</v>
      </c>
      <c r="E808" s="2">
        <v>116.5</v>
      </c>
      <c r="F808" s="2">
        <v>1.69</v>
      </c>
      <c r="G808" s="2">
        <v>198</v>
      </c>
      <c r="H808" s="2">
        <v>148</v>
      </c>
      <c r="I808" s="2">
        <v>51</v>
      </c>
      <c r="J808" s="2">
        <v>0.53</v>
      </c>
      <c r="K808" s="2">
        <v>388</v>
      </c>
      <c r="L808" s="2" t="s">
        <v>19</v>
      </c>
      <c r="M808" s="2">
        <v>27.3</v>
      </c>
      <c r="N808" s="2">
        <v>2.4</v>
      </c>
      <c r="O808" s="2">
        <v>2</v>
      </c>
      <c r="P808" s="2">
        <v>1</v>
      </c>
      <c r="Q808" s="2">
        <v>40.79</v>
      </c>
      <c r="R808" s="2" t="str" cm="1">
        <f t="array" ref="R808">_xlfn.IFS(Q808&lt;18.5,"Underweight",
AND(Q808&gt;=18.5,Q808&lt;25),"Normal Weight",
AND(Q808&gt;=25,Q808&lt;30),"Overweight",
Q808&gt;=30,"Obesity")</f>
        <v>Obesity</v>
      </c>
      <c r="S808" s="2">
        <f t="shared" si="12"/>
        <v>732.07547169811312</v>
      </c>
      <c r="T808" s="2" t="str" cm="1">
        <f t="array" ref="T808">_xlfn.IFS(N808&lt;=2.5,"Low",N808&lt;=3,"Medium",N808&gt;3,"High")</f>
        <v>Low</v>
      </c>
    </row>
    <row r="809" spans="1:20" x14ac:dyDescent="0.3">
      <c r="A809" s="2">
        <v>808</v>
      </c>
      <c r="B809" s="2" t="s">
        <v>30</v>
      </c>
      <c r="C809" s="2">
        <v>32</v>
      </c>
      <c r="D809" s="2" t="s">
        <v>15</v>
      </c>
      <c r="E809" s="2">
        <v>77.400000000000006</v>
      </c>
      <c r="F809" s="2">
        <v>1.92</v>
      </c>
      <c r="G809" s="2">
        <v>174</v>
      </c>
      <c r="H809" s="2">
        <v>137</v>
      </c>
      <c r="I809" s="2">
        <v>50</v>
      </c>
      <c r="J809" s="2">
        <v>1.39</v>
      </c>
      <c r="K809" s="2">
        <v>1047</v>
      </c>
      <c r="L809" s="2" t="s">
        <v>19</v>
      </c>
      <c r="M809" s="2">
        <v>26.7</v>
      </c>
      <c r="N809" s="2">
        <v>3.3</v>
      </c>
      <c r="O809" s="2">
        <v>3</v>
      </c>
      <c r="P809" s="2">
        <v>2</v>
      </c>
      <c r="Q809" s="2">
        <v>21</v>
      </c>
      <c r="R809" s="2" t="str" cm="1">
        <f t="array" ref="R809">_xlfn.IFS(Q809&lt;18.5,"Underweight",
AND(Q809&gt;=18.5,Q809&lt;25),"Normal Weight",
AND(Q809&gt;=25,Q809&lt;30),"Overweight",
Q809&gt;=30,"Obesity")</f>
        <v>Normal Weight</v>
      </c>
      <c r="S809" s="2">
        <f t="shared" si="12"/>
        <v>753.23741007194246</v>
      </c>
      <c r="T809" s="2" t="str" cm="1">
        <f t="array" ref="T809">_xlfn.IFS(N809&lt;=2.5,"Low",N809&lt;=3,"Medium",N809&gt;3,"High")</f>
        <v>High</v>
      </c>
    </row>
    <row r="810" spans="1:20" x14ac:dyDescent="0.3">
      <c r="A810" s="2">
        <v>809</v>
      </c>
      <c r="B810" s="2" t="s">
        <v>22</v>
      </c>
      <c r="C810" s="2">
        <v>42</v>
      </c>
      <c r="D810" s="2" t="s">
        <v>16</v>
      </c>
      <c r="E810" s="2">
        <v>72.900000000000006</v>
      </c>
      <c r="F810" s="2">
        <v>1.62</v>
      </c>
      <c r="G810" s="2">
        <v>175</v>
      </c>
      <c r="H810" s="2">
        <v>139</v>
      </c>
      <c r="I810" s="2">
        <v>67</v>
      </c>
      <c r="J810" s="2">
        <v>1.17</v>
      </c>
      <c r="K810" s="2">
        <v>732</v>
      </c>
      <c r="L810" s="2" t="s">
        <v>17</v>
      </c>
      <c r="M810" s="2">
        <v>25.7</v>
      </c>
      <c r="N810" s="2">
        <v>2</v>
      </c>
      <c r="O810" s="2">
        <v>4</v>
      </c>
      <c r="P810" s="2">
        <v>2</v>
      </c>
      <c r="Q810" s="2">
        <v>27.78</v>
      </c>
      <c r="R810" s="2" t="str" cm="1">
        <f t="array" ref="R810">_xlfn.IFS(Q810&lt;18.5,"Underweight",
AND(Q810&gt;=18.5,Q810&lt;25),"Normal Weight",
AND(Q810&gt;=25,Q810&lt;30),"Overweight",
Q810&gt;=30,"Obesity")</f>
        <v>Overweight</v>
      </c>
      <c r="S810" s="2">
        <f t="shared" si="12"/>
        <v>625.64102564102564</v>
      </c>
      <c r="T810" s="2" t="str" cm="1">
        <f t="array" ref="T810">_xlfn.IFS(N810&lt;=2.5,"Low",N810&lt;=3,"Medium",N810&gt;3,"High")</f>
        <v>Low</v>
      </c>
    </row>
    <row r="811" spans="1:20" x14ac:dyDescent="0.3">
      <c r="A811" s="2">
        <v>810</v>
      </c>
      <c r="B811" s="2" t="s">
        <v>25</v>
      </c>
      <c r="C811" s="2">
        <v>54</v>
      </c>
      <c r="D811" s="2" t="s">
        <v>16</v>
      </c>
      <c r="E811" s="2">
        <v>58.4</v>
      </c>
      <c r="F811" s="2">
        <v>1.59</v>
      </c>
      <c r="G811" s="2">
        <v>186</v>
      </c>
      <c r="H811" s="2">
        <v>166</v>
      </c>
      <c r="I811" s="2">
        <v>73</v>
      </c>
      <c r="J811" s="2">
        <v>1.08</v>
      </c>
      <c r="K811" s="2">
        <v>807</v>
      </c>
      <c r="L811" s="2" t="s">
        <v>19</v>
      </c>
      <c r="M811" s="2">
        <v>32.5</v>
      </c>
      <c r="N811" s="2">
        <v>1.9</v>
      </c>
      <c r="O811" s="2">
        <v>2</v>
      </c>
      <c r="P811" s="2">
        <v>1</v>
      </c>
      <c r="Q811" s="2">
        <v>23.1</v>
      </c>
      <c r="R811" s="2" t="str" cm="1">
        <f t="array" ref="R811">_xlfn.IFS(Q811&lt;18.5,"Underweight",
AND(Q811&gt;=18.5,Q811&lt;25),"Normal Weight",
AND(Q811&gt;=25,Q811&lt;30),"Overweight",
Q811&gt;=30,"Obesity")</f>
        <v>Normal Weight</v>
      </c>
      <c r="S811" s="2">
        <f t="shared" si="12"/>
        <v>747.22222222222217</v>
      </c>
      <c r="T811" s="2" t="str" cm="1">
        <f t="array" ref="T811">_xlfn.IFS(N811&lt;=2.5,"Low",N811&lt;=3,"Medium",N811&gt;3,"High")</f>
        <v>Low</v>
      </c>
    </row>
    <row r="812" spans="1:20" x14ac:dyDescent="0.3">
      <c r="A812" s="2">
        <v>811</v>
      </c>
      <c r="B812" s="2" t="s">
        <v>26</v>
      </c>
      <c r="C812" s="2">
        <v>45</v>
      </c>
      <c r="D812" s="2" t="s">
        <v>16</v>
      </c>
      <c r="E812" s="2">
        <v>64.3</v>
      </c>
      <c r="F812" s="2">
        <v>1.54</v>
      </c>
      <c r="G812" s="2">
        <v>199</v>
      </c>
      <c r="H812" s="2">
        <v>133</v>
      </c>
      <c r="I812" s="2">
        <v>58</v>
      </c>
      <c r="J812" s="2">
        <v>1.67</v>
      </c>
      <c r="K812" s="2">
        <v>999</v>
      </c>
      <c r="L812" s="2" t="s">
        <v>17</v>
      </c>
      <c r="M812" s="2">
        <v>15.3</v>
      </c>
      <c r="N812" s="2">
        <v>2.7</v>
      </c>
      <c r="O812" s="2">
        <v>4</v>
      </c>
      <c r="P812" s="2">
        <v>3</v>
      </c>
      <c r="Q812" s="2">
        <v>27.11</v>
      </c>
      <c r="R812" s="2" t="str" cm="1">
        <f t="array" ref="R812">_xlfn.IFS(Q812&lt;18.5,"Underweight",
AND(Q812&gt;=18.5,Q812&lt;25),"Normal Weight",
AND(Q812&gt;=25,Q812&lt;30),"Overweight",
Q812&gt;=30,"Obesity")</f>
        <v>Overweight</v>
      </c>
      <c r="S812" s="2">
        <f t="shared" si="12"/>
        <v>598.20359281437129</v>
      </c>
      <c r="T812" s="2" t="str" cm="1">
        <f t="array" ref="T812">_xlfn.IFS(N812&lt;=2.5,"Low",N812&lt;=3,"Medium",N812&gt;3,"High")</f>
        <v>Medium</v>
      </c>
    </row>
    <row r="813" spans="1:20" x14ac:dyDescent="0.3">
      <c r="A813" s="2">
        <v>812</v>
      </c>
      <c r="B813" s="2" t="s">
        <v>30</v>
      </c>
      <c r="C813" s="2">
        <v>27</v>
      </c>
      <c r="D813" s="2" t="s">
        <v>15</v>
      </c>
      <c r="E813" s="2">
        <v>89.3</v>
      </c>
      <c r="F813" s="2">
        <v>1.87</v>
      </c>
      <c r="G813" s="2">
        <v>169</v>
      </c>
      <c r="H813" s="2">
        <v>153</v>
      </c>
      <c r="I813" s="2">
        <v>62</v>
      </c>
      <c r="J813" s="2">
        <v>1.62</v>
      </c>
      <c r="K813" s="2">
        <v>1363</v>
      </c>
      <c r="L813" s="2" t="s">
        <v>20</v>
      </c>
      <c r="M813" s="2">
        <v>12.7</v>
      </c>
      <c r="N813" s="2">
        <v>3.5</v>
      </c>
      <c r="O813" s="2">
        <v>5</v>
      </c>
      <c r="P813" s="2">
        <v>3</v>
      </c>
      <c r="Q813" s="2">
        <v>25.54</v>
      </c>
      <c r="R813" s="2" t="str" cm="1">
        <f t="array" ref="R813">_xlfn.IFS(Q813&lt;18.5,"Underweight",
AND(Q813&gt;=18.5,Q813&lt;25),"Normal Weight",
AND(Q813&gt;=25,Q813&lt;30),"Overweight",
Q813&gt;=30,"Obesity")</f>
        <v>Overweight</v>
      </c>
      <c r="S813" s="2">
        <f t="shared" si="12"/>
        <v>841.35802469135797</v>
      </c>
      <c r="T813" s="2" t="str" cm="1">
        <f t="array" ref="T813">_xlfn.IFS(N813&lt;=2.5,"Low",N813&lt;=3,"Medium",N813&gt;3,"High")</f>
        <v>High</v>
      </c>
    </row>
    <row r="814" spans="1:20" x14ac:dyDescent="0.3">
      <c r="A814" s="2">
        <v>813</v>
      </c>
      <c r="B814" s="2" t="s">
        <v>28</v>
      </c>
      <c r="C814" s="2">
        <v>56</v>
      </c>
      <c r="D814" s="2" t="s">
        <v>15</v>
      </c>
      <c r="E814" s="2">
        <v>90.2</v>
      </c>
      <c r="F814" s="2">
        <v>1.61</v>
      </c>
      <c r="G814" s="2">
        <v>163</v>
      </c>
      <c r="H814" s="2">
        <v>168</v>
      </c>
      <c r="I814" s="2">
        <v>51</v>
      </c>
      <c r="J814" s="2">
        <v>1.38</v>
      </c>
      <c r="K814" s="2">
        <v>1148</v>
      </c>
      <c r="L814" s="2" t="s">
        <v>17</v>
      </c>
      <c r="M814" s="2">
        <v>22.6</v>
      </c>
      <c r="N814" s="2">
        <v>2.2999999999999998</v>
      </c>
      <c r="O814" s="2">
        <v>3</v>
      </c>
      <c r="P814" s="2">
        <v>2</v>
      </c>
      <c r="Q814" s="2">
        <v>34.799999999999997</v>
      </c>
      <c r="R814" s="2" t="str" cm="1">
        <f t="array" ref="R814">_xlfn.IFS(Q814&lt;18.5,"Underweight",
AND(Q814&gt;=18.5,Q814&lt;25),"Normal Weight",
AND(Q814&gt;=25,Q814&lt;30),"Overweight",
Q814&gt;=30,"Obesity")</f>
        <v>Obesity</v>
      </c>
      <c r="S814" s="2">
        <f t="shared" si="12"/>
        <v>831.88405797101461</v>
      </c>
      <c r="T814" s="2" t="str" cm="1">
        <f t="array" ref="T814">_xlfn.IFS(N814&lt;=2.5,"Low",N814&lt;=3,"Medium",N814&gt;3,"High")</f>
        <v>Low</v>
      </c>
    </row>
    <row r="815" spans="1:20" x14ac:dyDescent="0.3">
      <c r="A815" s="2">
        <v>814</v>
      </c>
      <c r="B815" s="2" t="s">
        <v>22</v>
      </c>
      <c r="C815" s="2">
        <v>34</v>
      </c>
      <c r="D815" s="2" t="s">
        <v>16</v>
      </c>
      <c r="E815" s="2">
        <v>59</v>
      </c>
      <c r="F815" s="2">
        <v>1.62</v>
      </c>
      <c r="G815" s="2">
        <v>178</v>
      </c>
      <c r="H815" s="2">
        <v>150</v>
      </c>
      <c r="I815" s="2">
        <v>56</v>
      </c>
      <c r="J815" s="2">
        <v>1.1299999999999999</v>
      </c>
      <c r="K815" s="2">
        <v>847</v>
      </c>
      <c r="L815" s="2" t="s">
        <v>19</v>
      </c>
      <c r="M815" s="2">
        <v>30.9</v>
      </c>
      <c r="N815" s="2">
        <v>2.4</v>
      </c>
      <c r="O815" s="2">
        <v>4</v>
      </c>
      <c r="P815" s="2">
        <v>2</v>
      </c>
      <c r="Q815" s="2">
        <v>22.48</v>
      </c>
      <c r="R815" s="2" t="str" cm="1">
        <f t="array" ref="R815">_xlfn.IFS(Q815&lt;18.5,"Underweight",
AND(Q815&gt;=18.5,Q815&lt;25),"Normal Weight",
AND(Q815&gt;=25,Q815&lt;30),"Overweight",
Q815&gt;=30,"Obesity")</f>
        <v>Normal Weight</v>
      </c>
      <c r="S815" s="2">
        <f t="shared" si="12"/>
        <v>749.55752212389393</v>
      </c>
      <c r="T815" s="2" t="str" cm="1">
        <f t="array" ref="T815">_xlfn.IFS(N815&lt;=2.5,"Low",N815&lt;=3,"Medium",N815&gt;3,"High")</f>
        <v>Low</v>
      </c>
    </row>
    <row r="816" spans="1:20" x14ac:dyDescent="0.3">
      <c r="A816" s="2">
        <v>815</v>
      </c>
      <c r="B816" s="2" t="s">
        <v>27</v>
      </c>
      <c r="C816" s="2">
        <v>56</v>
      </c>
      <c r="D816" s="2" t="s">
        <v>15</v>
      </c>
      <c r="E816" s="2">
        <v>58.7</v>
      </c>
      <c r="F816" s="2">
        <v>1.86</v>
      </c>
      <c r="G816" s="2">
        <v>187</v>
      </c>
      <c r="H816" s="2">
        <v>159</v>
      </c>
      <c r="I816" s="2">
        <v>65</v>
      </c>
      <c r="J816" s="2">
        <v>1.0900000000000001</v>
      </c>
      <c r="K816" s="2">
        <v>858</v>
      </c>
      <c r="L816" s="2" t="s">
        <v>19</v>
      </c>
      <c r="M816" s="2">
        <v>22.6</v>
      </c>
      <c r="N816" s="2">
        <v>3.3</v>
      </c>
      <c r="O816" s="2">
        <v>3</v>
      </c>
      <c r="P816" s="2">
        <v>2</v>
      </c>
      <c r="Q816" s="2">
        <v>16.97</v>
      </c>
      <c r="R816" s="2" t="str" cm="1">
        <f t="array" ref="R816">_xlfn.IFS(Q816&lt;18.5,"Underweight",
AND(Q816&gt;=18.5,Q816&lt;25),"Normal Weight",
AND(Q816&gt;=25,Q816&lt;30),"Overweight",
Q816&gt;=30,"Obesity")</f>
        <v>Underweight</v>
      </c>
      <c r="S816" s="2">
        <f t="shared" si="12"/>
        <v>787.15596330275218</v>
      </c>
      <c r="T816" s="2" t="str" cm="1">
        <f t="array" ref="T816">_xlfn.IFS(N816&lt;=2.5,"Low",N816&lt;=3,"Medium",N816&gt;3,"High")</f>
        <v>High</v>
      </c>
    </row>
    <row r="817" spans="1:20" x14ac:dyDescent="0.3">
      <c r="A817" s="2">
        <v>816</v>
      </c>
      <c r="B817" s="2" t="s">
        <v>28</v>
      </c>
      <c r="C817" s="2">
        <v>39</v>
      </c>
      <c r="D817" s="2" t="s">
        <v>15</v>
      </c>
      <c r="E817" s="2">
        <v>127.5</v>
      </c>
      <c r="F817" s="2">
        <v>1.82</v>
      </c>
      <c r="G817" s="2">
        <v>180</v>
      </c>
      <c r="H817" s="2">
        <v>161</v>
      </c>
      <c r="I817" s="2">
        <v>70</v>
      </c>
      <c r="J817" s="2">
        <v>1.26</v>
      </c>
      <c r="K817" s="2">
        <v>1116</v>
      </c>
      <c r="L817" s="2" t="s">
        <v>20</v>
      </c>
      <c r="M817" s="2">
        <v>29.8</v>
      </c>
      <c r="N817" s="2">
        <v>3</v>
      </c>
      <c r="O817" s="2">
        <v>3</v>
      </c>
      <c r="P817" s="2">
        <v>2</v>
      </c>
      <c r="Q817" s="2">
        <v>38.49</v>
      </c>
      <c r="R817" s="2" t="str" cm="1">
        <f t="array" ref="R817">_xlfn.IFS(Q817&lt;18.5,"Underweight",
AND(Q817&gt;=18.5,Q817&lt;25),"Normal Weight",
AND(Q817&gt;=25,Q817&lt;30),"Overweight",
Q817&gt;=30,"Obesity")</f>
        <v>Obesity</v>
      </c>
      <c r="S817" s="2">
        <f t="shared" si="12"/>
        <v>885.71428571428567</v>
      </c>
      <c r="T817" s="2" t="str" cm="1">
        <f t="array" ref="T817">_xlfn.IFS(N817&lt;=2.5,"Low",N817&lt;=3,"Medium",N817&gt;3,"High")</f>
        <v>Medium</v>
      </c>
    </row>
    <row r="818" spans="1:20" x14ac:dyDescent="0.3">
      <c r="A818" s="2">
        <v>817</v>
      </c>
      <c r="B818" s="2" t="s">
        <v>23</v>
      </c>
      <c r="C818" s="2">
        <v>43</v>
      </c>
      <c r="D818" s="2" t="s">
        <v>16</v>
      </c>
      <c r="E818" s="2">
        <v>68.599999999999994</v>
      </c>
      <c r="F818" s="2">
        <v>1.52</v>
      </c>
      <c r="G818" s="2">
        <v>173</v>
      </c>
      <c r="H818" s="2">
        <v>137</v>
      </c>
      <c r="I818" s="2">
        <v>68</v>
      </c>
      <c r="J818" s="2">
        <v>1.42</v>
      </c>
      <c r="K818" s="2">
        <v>875</v>
      </c>
      <c r="L818" s="2" t="s">
        <v>17</v>
      </c>
      <c r="M818" s="2">
        <v>28.1</v>
      </c>
      <c r="N818" s="2">
        <v>2.6</v>
      </c>
      <c r="O818" s="2">
        <v>4</v>
      </c>
      <c r="P818" s="2">
        <v>2</v>
      </c>
      <c r="Q818" s="2">
        <v>29.69</v>
      </c>
      <c r="R818" s="2" t="str" cm="1">
        <f t="array" ref="R818">_xlfn.IFS(Q818&lt;18.5,"Underweight",
AND(Q818&gt;=18.5,Q818&lt;25),"Normal Weight",
AND(Q818&gt;=25,Q818&lt;30),"Overweight",
Q818&gt;=30,"Obesity")</f>
        <v>Overweight</v>
      </c>
      <c r="S818" s="2">
        <f t="shared" si="12"/>
        <v>616.19718309859161</v>
      </c>
      <c r="T818" s="2" t="str" cm="1">
        <f t="array" ref="T818">_xlfn.IFS(N818&lt;=2.5,"Low",N818&lt;=3,"Medium",N818&gt;3,"High")</f>
        <v>Medium</v>
      </c>
    </row>
    <row r="819" spans="1:20" x14ac:dyDescent="0.3">
      <c r="A819" s="2">
        <v>818</v>
      </c>
      <c r="B819" s="2" t="s">
        <v>23</v>
      </c>
      <c r="C819" s="2">
        <v>42</v>
      </c>
      <c r="D819" s="2" t="s">
        <v>16</v>
      </c>
      <c r="E819" s="2">
        <v>56.7</v>
      </c>
      <c r="F819" s="2">
        <v>1.53</v>
      </c>
      <c r="G819" s="2">
        <v>192</v>
      </c>
      <c r="H819" s="2">
        <v>149</v>
      </c>
      <c r="I819" s="2">
        <v>74</v>
      </c>
      <c r="J819" s="2">
        <v>1.07</v>
      </c>
      <c r="K819" s="2">
        <v>717</v>
      </c>
      <c r="L819" s="2" t="s">
        <v>20</v>
      </c>
      <c r="M819" s="2">
        <v>27.4</v>
      </c>
      <c r="N819" s="2">
        <v>1.9</v>
      </c>
      <c r="O819" s="2">
        <v>3</v>
      </c>
      <c r="P819" s="2">
        <v>1</v>
      </c>
      <c r="Q819" s="2">
        <v>24.22</v>
      </c>
      <c r="R819" s="2" t="str" cm="1">
        <f t="array" ref="R819">_xlfn.IFS(Q819&lt;18.5,"Underweight",
AND(Q819&gt;=18.5,Q819&lt;25),"Normal Weight",
AND(Q819&gt;=25,Q819&lt;30),"Overweight",
Q819&gt;=30,"Obesity")</f>
        <v>Normal Weight</v>
      </c>
      <c r="S819" s="2">
        <f t="shared" si="12"/>
        <v>670.09345794392516</v>
      </c>
      <c r="T819" s="2" t="str" cm="1">
        <f t="array" ref="T819">_xlfn.IFS(N819&lt;=2.5,"Low",N819&lt;=3,"Medium",N819&gt;3,"High")</f>
        <v>Low</v>
      </c>
    </row>
    <row r="820" spans="1:20" x14ac:dyDescent="0.3">
      <c r="A820" s="2">
        <v>819</v>
      </c>
      <c r="B820" s="2" t="s">
        <v>29</v>
      </c>
      <c r="C820" s="2">
        <v>34</v>
      </c>
      <c r="D820" s="2" t="s">
        <v>16</v>
      </c>
      <c r="E820" s="2">
        <v>64.5</v>
      </c>
      <c r="F820" s="2">
        <v>1.78</v>
      </c>
      <c r="G820" s="2">
        <v>169</v>
      </c>
      <c r="H820" s="2">
        <v>144</v>
      </c>
      <c r="I820" s="2">
        <v>64</v>
      </c>
      <c r="J820" s="2">
        <v>1.33</v>
      </c>
      <c r="K820" s="2">
        <v>958</v>
      </c>
      <c r="L820" s="2" t="s">
        <v>17</v>
      </c>
      <c r="M820" s="2">
        <v>27.8</v>
      </c>
      <c r="N820" s="2">
        <v>1.8</v>
      </c>
      <c r="O820" s="2">
        <v>4</v>
      </c>
      <c r="P820" s="2">
        <v>2</v>
      </c>
      <c r="Q820" s="2">
        <v>20.36</v>
      </c>
      <c r="R820" s="2" t="str" cm="1">
        <f t="array" ref="R820">_xlfn.IFS(Q820&lt;18.5,"Underweight",
AND(Q820&gt;=18.5,Q820&lt;25),"Normal Weight",
AND(Q820&gt;=25,Q820&lt;30),"Overweight",
Q820&gt;=30,"Obesity")</f>
        <v>Normal Weight</v>
      </c>
      <c r="S820" s="2">
        <f t="shared" si="12"/>
        <v>720.30075187969919</v>
      </c>
      <c r="T820" s="2" t="str" cm="1">
        <f t="array" ref="T820">_xlfn.IFS(N820&lt;=2.5,"Low",N820&lt;=3,"Medium",N820&gt;3,"High")</f>
        <v>Low</v>
      </c>
    </row>
    <row r="821" spans="1:20" x14ac:dyDescent="0.3">
      <c r="A821" s="2">
        <v>820</v>
      </c>
      <c r="B821" s="2" t="s">
        <v>26</v>
      </c>
      <c r="C821" s="2">
        <v>30</v>
      </c>
      <c r="D821" s="2" t="s">
        <v>16</v>
      </c>
      <c r="E821" s="2">
        <v>61.6</v>
      </c>
      <c r="F821" s="2">
        <v>1.52</v>
      </c>
      <c r="G821" s="2">
        <v>178</v>
      </c>
      <c r="H821" s="2">
        <v>138</v>
      </c>
      <c r="I821" s="2">
        <v>71</v>
      </c>
      <c r="J821" s="2">
        <v>1.78</v>
      </c>
      <c r="K821" s="2">
        <v>1228</v>
      </c>
      <c r="L821" s="2" t="s">
        <v>19</v>
      </c>
      <c r="M821" s="2">
        <v>19.5</v>
      </c>
      <c r="N821" s="2">
        <v>2.7</v>
      </c>
      <c r="O821" s="2">
        <v>4</v>
      </c>
      <c r="P821" s="2">
        <v>3</v>
      </c>
      <c r="Q821" s="2">
        <v>26.66</v>
      </c>
      <c r="R821" s="2" t="str" cm="1">
        <f t="array" ref="R821">_xlfn.IFS(Q821&lt;18.5,"Underweight",
AND(Q821&gt;=18.5,Q821&lt;25),"Normal Weight",
AND(Q821&gt;=25,Q821&lt;30),"Overweight",
Q821&gt;=30,"Obesity")</f>
        <v>Overweight</v>
      </c>
      <c r="S821" s="2">
        <f t="shared" si="12"/>
        <v>689.88764044943821</v>
      </c>
      <c r="T821" s="2" t="str" cm="1">
        <f t="array" ref="T821">_xlfn.IFS(N821&lt;=2.5,"Low",N821&lt;=3,"Medium",N821&gt;3,"High")</f>
        <v>Medium</v>
      </c>
    </row>
    <row r="822" spans="1:20" x14ac:dyDescent="0.3">
      <c r="A822" s="2">
        <v>821</v>
      </c>
      <c r="B822" s="2" t="s">
        <v>25</v>
      </c>
      <c r="C822" s="2">
        <v>37</v>
      </c>
      <c r="D822" s="2" t="s">
        <v>15</v>
      </c>
      <c r="E822" s="2">
        <v>75.099999999999994</v>
      </c>
      <c r="F822" s="2">
        <v>1.82</v>
      </c>
      <c r="G822" s="2">
        <v>189</v>
      </c>
      <c r="H822" s="2">
        <v>127</v>
      </c>
      <c r="I822" s="2">
        <v>60</v>
      </c>
      <c r="J822" s="2">
        <v>1.23</v>
      </c>
      <c r="K822" s="2">
        <v>859</v>
      </c>
      <c r="L822" s="2" t="s">
        <v>17</v>
      </c>
      <c r="M822" s="2">
        <v>26.4</v>
      </c>
      <c r="N822" s="2">
        <v>3.2</v>
      </c>
      <c r="O822" s="2">
        <v>4</v>
      </c>
      <c r="P822" s="2">
        <v>2</v>
      </c>
      <c r="Q822" s="2">
        <v>22.67</v>
      </c>
      <c r="R822" s="2" t="str" cm="1">
        <f t="array" ref="R822">_xlfn.IFS(Q822&lt;18.5,"Underweight",
AND(Q822&gt;=18.5,Q822&lt;25),"Normal Weight",
AND(Q822&gt;=25,Q822&lt;30),"Overweight",
Q822&gt;=30,"Obesity")</f>
        <v>Normal Weight</v>
      </c>
      <c r="S822" s="2">
        <f t="shared" si="12"/>
        <v>698.3739837398374</v>
      </c>
      <c r="T822" s="2" t="str" cm="1">
        <f t="array" ref="T822">_xlfn.IFS(N822&lt;=2.5,"Low",N822&lt;=3,"Medium",N822&gt;3,"High")</f>
        <v>High</v>
      </c>
    </row>
    <row r="823" spans="1:20" x14ac:dyDescent="0.3">
      <c r="A823" s="2">
        <v>822</v>
      </c>
      <c r="B823" s="2" t="s">
        <v>30</v>
      </c>
      <c r="C823" s="2">
        <v>42</v>
      </c>
      <c r="D823" s="2" t="s">
        <v>15</v>
      </c>
      <c r="E823" s="2">
        <v>79.3</v>
      </c>
      <c r="F823" s="2">
        <v>1.93</v>
      </c>
      <c r="G823" s="2">
        <v>181</v>
      </c>
      <c r="H823" s="2">
        <v>147</v>
      </c>
      <c r="I823" s="2">
        <v>50</v>
      </c>
      <c r="J823" s="2">
        <v>1.22</v>
      </c>
      <c r="K823" s="2">
        <v>888</v>
      </c>
      <c r="L823" s="2" t="s">
        <v>19</v>
      </c>
      <c r="M823" s="2">
        <v>27.3</v>
      </c>
      <c r="N823" s="2">
        <v>3.3</v>
      </c>
      <c r="O823" s="2">
        <v>2</v>
      </c>
      <c r="P823" s="2">
        <v>1</v>
      </c>
      <c r="Q823" s="2">
        <v>21.29</v>
      </c>
      <c r="R823" s="2" t="str" cm="1">
        <f t="array" ref="R823">_xlfn.IFS(Q823&lt;18.5,"Underweight",
AND(Q823&gt;=18.5,Q823&lt;25),"Normal Weight",
AND(Q823&gt;=25,Q823&lt;30),"Overweight",
Q823&gt;=30,"Obesity")</f>
        <v>Normal Weight</v>
      </c>
      <c r="S823" s="2">
        <f t="shared" si="12"/>
        <v>727.86885245901647</v>
      </c>
      <c r="T823" s="2" t="str" cm="1">
        <f t="array" ref="T823">_xlfn.IFS(N823&lt;=2.5,"Low",N823&lt;=3,"Medium",N823&gt;3,"High")</f>
        <v>High</v>
      </c>
    </row>
    <row r="824" spans="1:20" x14ac:dyDescent="0.3">
      <c r="A824" s="2">
        <v>823</v>
      </c>
      <c r="B824" s="2" t="s">
        <v>24</v>
      </c>
      <c r="C824" s="2">
        <v>21</v>
      </c>
      <c r="D824" s="2" t="s">
        <v>16</v>
      </c>
      <c r="E824" s="2">
        <v>72.599999999999994</v>
      </c>
      <c r="F824" s="2">
        <v>1.68</v>
      </c>
      <c r="G824" s="2">
        <v>162</v>
      </c>
      <c r="H824" s="2">
        <v>127</v>
      </c>
      <c r="I824" s="2">
        <v>70</v>
      </c>
      <c r="J824" s="2">
        <v>1.19</v>
      </c>
      <c r="K824" s="2">
        <v>756</v>
      </c>
      <c r="L824" s="2" t="s">
        <v>19</v>
      </c>
      <c r="M824" s="2">
        <v>34.200000000000003</v>
      </c>
      <c r="N824" s="2">
        <v>1.8</v>
      </c>
      <c r="O824" s="2">
        <v>3</v>
      </c>
      <c r="P824" s="2">
        <v>2</v>
      </c>
      <c r="Q824" s="2">
        <v>25.72</v>
      </c>
      <c r="R824" s="2" t="str" cm="1">
        <f t="array" ref="R824">_xlfn.IFS(Q824&lt;18.5,"Underweight",
AND(Q824&gt;=18.5,Q824&lt;25),"Normal Weight",
AND(Q824&gt;=25,Q824&lt;30),"Overweight",
Q824&gt;=30,"Obesity")</f>
        <v>Overweight</v>
      </c>
      <c r="S824" s="2">
        <f t="shared" si="12"/>
        <v>635.2941176470589</v>
      </c>
      <c r="T824" s="2" t="str" cm="1">
        <f t="array" ref="T824">_xlfn.IFS(N824&lt;=2.5,"Low",N824&lt;=3,"Medium",N824&gt;3,"High")</f>
        <v>Low</v>
      </c>
    </row>
    <row r="825" spans="1:20" x14ac:dyDescent="0.3">
      <c r="A825" s="2">
        <v>824</v>
      </c>
      <c r="B825" s="2" t="s">
        <v>27</v>
      </c>
      <c r="C825" s="2">
        <v>27</v>
      </c>
      <c r="D825" s="2" t="s">
        <v>15</v>
      </c>
      <c r="E825" s="2">
        <v>76.7</v>
      </c>
      <c r="F825" s="2">
        <v>1.7</v>
      </c>
      <c r="G825" s="2">
        <v>196</v>
      </c>
      <c r="H825" s="2">
        <v>150</v>
      </c>
      <c r="I825" s="2">
        <v>56</v>
      </c>
      <c r="J825" s="2">
        <v>0.96</v>
      </c>
      <c r="K825" s="2">
        <v>792</v>
      </c>
      <c r="L825" s="2" t="s">
        <v>18</v>
      </c>
      <c r="M825" s="2">
        <v>29.1</v>
      </c>
      <c r="N825" s="2">
        <v>2.1</v>
      </c>
      <c r="O825" s="2">
        <v>3</v>
      </c>
      <c r="P825" s="2">
        <v>1</v>
      </c>
      <c r="Q825" s="2">
        <v>26.54</v>
      </c>
      <c r="R825" s="2" t="str" cm="1">
        <f t="array" ref="R825">_xlfn.IFS(Q825&lt;18.5,"Underweight",
AND(Q825&gt;=18.5,Q825&lt;25),"Normal Weight",
AND(Q825&gt;=25,Q825&lt;30),"Overweight",
Q825&gt;=30,"Obesity")</f>
        <v>Overweight</v>
      </c>
      <c r="S825" s="2">
        <f t="shared" si="12"/>
        <v>825</v>
      </c>
      <c r="T825" s="2" t="str" cm="1">
        <f t="array" ref="T825">_xlfn.IFS(N825&lt;=2.5,"Low",N825&lt;=3,"Medium",N825&gt;3,"High")</f>
        <v>Low</v>
      </c>
    </row>
    <row r="826" spans="1:20" x14ac:dyDescent="0.3">
      <c r="A826" s="2">
        <v>825</v>
      </c>
      <c r="B826" s="2" t="s">
        <v>22</v>
      </c>
      <c r="C826" s="2">
        <v>20</v>
      </c>
      <c r="D826" s="2" t="s">
        <v>16</v>
      </c>
      <c r="E826" s="2">
        <v>44.2</v>
      </c>
      <c r="F826" s="2">
        <v>1.61</v>
      </c>
      <c r="G826" s="2">
        <v>177</v>
      </c>
      <c r="H826" s="2">
        <v>122</v>
      </c>
      <c r="I826" s="2">
        <v>69</v>
      </c>
      <c r="J826" s="2">
        <v>1.08</v>
      </c>
      <c r="K826" s="2">
        <v>659</v>
      </c>
      <c r="L826" s="2" t="s">
        <v>18</v>
      </c>
      <c r="M826" s="2">
        <v>32.4</v>
      </c>
      <c r="N826" s="2">
        <v>2.5</v>
      </c>
      <c r="O826" s="2">
        <v>2</v>
      </c>
      <c r="P826" s="2">
        <v>1</v>
      </c>
      <c r="Q826" s="2">
        <v>17.05</v>
      </c>
      <c r="R826" s="2" t="str" cm="1">
        <f t="array" ref="R826">_xlfn.IFS(Q826&lt;18.5,"Underweight",
AND(Q826&gt;=18.5,Q826&lt;25),"Normal Weight",
AND(Q826&gt;=25,Q826&lt;30),"Overweight",
Q826&gt;=30,"Obesity")</f>
        <v>Underweight</v>
      </c>
      <c r="S826" s="2">
        <f t="shared" si="12"/>
        <v>610.18518518518511</v>
      </c>
      <c r="T826" s="2" t="str" cm="1">
        <f t="array" ref="T826">_xlfn.IFS(N826&lt;=2.5,"Low",N826&lt;=3,"Medium",N826&gt;3,"High")</f>
        <v>Low</v>
      </c>
    </row>
    <row r="827" spans="1:20" x14ac:dyDescent="0.3">
      <c r="A827" s="2">
        <v>826</v>
      </c>
      <c r="B827" s="2" t="s">
        <v>25</v>
      </c>
      <c r="C827" s="2">
        <v>58</v>
      </c>
      <c r="D827" s="2" t="s">
        <v>16</v>
      </c>
      <c r="E827" s="2">
        <v>56.5</v>
      </c>
      <c r="F827" s="2">
        <v>1.7</v>
      </c>
      <c r="G827" s="2">
        <v>170</v>
      </c>
      <c r="H827" s="2">
        <v>122</v>
      </c>
      <c r="I827" s="2">
        <v>57</v>
      </c>
      <c r="J827" s="2">
        <v>0.74</v>
      </c>
      <c r="K827" s="2">
        <v>406</v>
      </c>
      <c r="L827" s="2" t="s">
        <v>17</v>
      </c>
      <c r="M827" s="2">
        <v>27</v>
      </c>
      <c r="N827" s="2">
        <v>2.7</v>
      </c>
      <c r="O827" s="2">
        <v>2</v>
      </c>
      <c r="P827" s="2">
        <v>1</v>
      </c>
      <c r="Q827" s="2">
        <v>19.55</v>
      </c>
      <c r="R827" s="2" t="str" cm="1">
        <f t="array" ref="R827">_xlfn.IFS(Q827&lt;18.5,"Underweight",
AND(Q827&gt;=18.5,Q827&lt;25),"Normal Weight",
AND(Q827&gt;=25,Q827&lt;30),"Overweight",
Q827&gt;=30,"Obesity")</f>
        <v>Normal Weight</v>
      </c>
      <c r="S827" s="2">
        <f t="shared" si="12"/>
        <v>548.64864864864865</v>
      </c>
      <c r="T827" s="2" t="str" cm="1">
        <f t="array" ref="T827">_xlfn.IFS(N827&lt;=2.5,"Low",N827&lt;=3,"Medium",N827&gt;3,"High")</f>
        <v>Medium</v>
      </c>
    </row>
    <row r="828" spans="1:20" x14ac:dyDescent="0.3">
      <c r="A828" s="2">
        <v>827</v>
      </c>
      <c r="B828" s="2" t="s">
        <v>28</v>
      </c>
      <c r="C828" s="2">
        <v>35</v>
      </c>
      <c r="D828" s="2" t="s">
        <v>15</v>
      </c>
      <c r="E828" s="2">
        <v>100.9</v>
      </c>
      <c r="F828" s="2">
        <v>1.63</v>
      </c>
      <c r="G828" s="2">
        <v>161</v>
      </c>
      <c r="H828" s="2">
        <v>163</v>
      </c>
      <c r="I828" s="2">
        <v>59</v>
      </c>
      <c r="J828" s="2">
        <v>1.1000000000000001</v>
      </c>
      <c r="K828" s="2">
        <v>986</v>
      </c>
      <c r="L828" s="2" t="s">
        <v>19</v>
      </c>
      <c r="M828" s="2">
        <v>28.4</v>
      </c>
      <c r="N828" s="2">
        <v>3.1</v>
      </c>
      <c r="O828" s="2">
        <v>2</v>
      </c>
      <c r="P828" s="2">
        <v>1</v>
      </c>
      <c r="Q828" s="2">
        <v>37.979999999999997</v>
      </c>
      <c r="R828" s="2" t="str" cm="1">
        <f t="array" ref="R828">_xlfn.IFS(Q828&lt;18.5,"Underweight",
AND(Q828&gt;=18.5,Q828&lt;25),"Normal Weight",
AND(Q828&gt;=25,Q828&lt;30),"Overweight",
Q828&gt;=30,"Obesity")</f>
        <v>Obesity</v>
      </c>
      <c r="S828" s="2">
        <f t="shared" si="12"/>
        <v>896.36363636363626</v>
      </c>
      <c r="T828" s="2" t="str" cm="1">
        <f t="array" ref="T828">_xlfn.IFS(N828&lt;=2.5,"Low",N828&lt;=3,"Medium",N828&gt;3,"High")</f>
        <v>High</v>
      </c>
    </row>
    <row r="829" spans="1:20" x14ac:dyDescent="0.3">
      <c r="A829" s="2">
        <v>828</v>
      </c>
      <c r="B829" s="2" t="s">
        <v>23</v>
      </c>
      <c r="C829" s="2">
        <v>53</v>
      </c>
      <c r="D829" s="2" t="s">
        <v>16</v>
      </c>
      <c r="E829" s="2">
        <v>55.8</v>
      </c>
      <c r="F829" s="2">
        <v>1.55</v>
      </c>
      <c r="G829" s="2">
        <v>171</v>
      </c>
      <c r="H829" s="2">
        <v>141</v>
      </c>
      <c r="I829" s="2">
        <v>54</v>
      </c>
      <c r="J829" s="2">
        <v>1.1200000000000001</v>
      </c>
      <c r="K829" s="2">
        <v>711</v>
      </c>
      <c r="L829" s="2" t="s">
        <v>20</v>
      </c>
      <c r="M829" s="2">
        <v>27</v>
      </c>
      <c r="N829" s="2">
        <v>1.8</v>
      </c>
      <c r="O829" s="2">
        <v>4</v>
      </c>
      <c r="P829" s="2">
        <v>2</v>
      </c>
      <c r="Q829" s="2">
        <v>23.23</v>
      </c>
      <c r="R829" s="2" t="str" cm="1">
        <f t="array" ref="R829">_xlfn.IFS(Q829&lt;18.5,"Underweight",
AND(Q829&gt;=18.5,Q829&lt;25),"Normal Weight",
AND(Q829&gt;=25,Q829&lt;30),"Overweight",
Q829&gt;=30,"Obesity")</f>
        <v>Normal Weight</v>
      </c>
      <c r="S829" s="2">
        <f t="shared" si="12"/>
        <v>634.82142857142856</v>
      </c>
      <c r="T829" s="2" t="str" cm="1">
        <f t="array" ref="T829">_xlfn.IFS(N829&lt;=2.5,"Low",N829&lt;=3,"Medium",N829&gt;3,"High")</f>
        <v>Low</v>
      </c>
    </row>
    <row r="830" spans="1:20" x14ac:dyDescent="0.3">
      <c r="A830" s="2">
        <v>829</v>
      </c>
      <c r="B830" s="2" t="s">
        <v>27</v>
      </c>
      <c r="C830" s="2">
        <v>39</v>
      </c>
      <c r="D830" s="2" t="s">
        <v>15</v>
      </c>
      <c r="E830" s="2">
        <v>58.3</v>
      </c>
      <c r="F830" s="2">
        <v>1.93</v>
      </c>
      <c r="G830" s="2">
        <v>165</v>
      </c>
      <c r="H830" s="2">
        <v>136</v>
      </c>
      <c r="I830" s="2">
        <v>58</v>
      </c>
      <c r="J830" s="2">
        <v>1.35</v>
      </c>
      <c r="K830" s="2">
        <v>1010</v>
      </c>
      <c r="L830" s="2" t="s">
        <v>19</v>
      </c>
      <c r="M830" s="2">
        <v>27.4</v>
      </c>
      <c r="N830" s="2">
        <v>3.7</v>
      </c>
      <c r="O830" s="2">
        <v>4</v>
      </c>
      <c r="P830" s="2">
        <v>2</v>
      </c>
      <c r="Q830" s="2">
        <v>15.65</v>
      </c>
      <c r="R830" s="2" t="str" cm="1">
        <f t="array" ref="R830">_xlfn.IFS(Q830&lt;18.5,"Underweight",
AND(Q830&gt;=18.5,Q830&lt;25),"Normal Weight",
AND(Q830&gt;=25,Q830&lt;30),"Overweight",
Q830&gt;=30,"Obesity")</f>
        <v>Underweight</v>
      </c>
      <c r="S830" s="2">
        <f t="shared" si="12"/>
        <v>748.14814814814815</v>
      </c>
      <c r="T830" s="2" t="str" cm="1">
        <f t="array" ref="T830">_xlfn.IFS(N830&lt;=2.5,"Low",N830&lt;=3,"Medium",N830&gt;3,"High")</f>
        <v>High</v>
      </c>
    </row>
    <row r="831" spans="1:20" x14ac:dyDescent="0.3">
      <c r="A831" s="2">
        <v>830</v>
      </c>
      <c r="B831" s="2" t="s">
        <v>24</v>
      </c>
      <c r="C831" s="2">
        <v>51</v>
      </c>
      <c r="D831" s="2" t="s">
        <v>15</v>
      </c>
      <c r="E831" s="2">
        <v>48.6</v>
      </c>
      <c r="F831" s="2">
        <v>1.77</v>
      </c>
      <c r="G831" s="2">
        <v>199</v>
      </c>
      <c r="H831" s="2">
        <v>155</v>
      </c>
      <c r="I831" s="2">
        <v>74</v>
      </c>
      <c r="J831" s="2">
        <v>1.47</v>
      </c>
      <c r="K831" s="2">
        <v>1128</v>
      </c>
      <c r="L831" s="2" t="s">
        <v>20</v>
      </c>
      <c r="M831" s="2">
        <v>26.9</v>
      </c>
      <c r="N831" s="2">
        <v>3.5</v>
      </c>
      <c r="O831" s="2">
        <v>2</v>
      </c>
      <c r="P831" s="2">
        <v>1</v>
      </c>
      <c r="Q831" s="2">
        <v>15.51</v>
      </c>
      <c r="R831" s="2" t="str" cm="1">
        <f t="array" ref="R831">_xlfn.IFS(Q831&lt;18.5,"Underweight",
AND(Q831&gt;=18.5,Q831&lt;25),"Normal Weight",
AND(Q831&gt;=25,Q831&lt;30),"Overweight",
Q831&gt;=30,"Obesity")</f>
        <v>Underweight</v>
      </c>
      <c r="S831" s="2">
        <f t="shared" si="12"/>
        <v>767.34693877551024</v>
      </c>
      <c r="T831" s="2" t="str" cm="1">
        <f t="array" ref="T831">_xlfn.IFS(N831&lt;=2.5,"Low",N831&lt;=3,"Medium",N831&gt;3,"High")</f>
        <v>High</v>
      </c>
    </row>
    <row r="832" spans="1:20" x14ac:dyDescent="0.3">
      <c r="A832" s="2">
        <v>831</v>
      </c>
      <c r="B832" s="2" t="s">
        <v>30</v>
      </c>
      <c r="C832" s="2">
        <v>25</v>
      </c>
      <c r="D832" s="2" t="s">
        <v>15</v>
      </c>
      <c r="E832" s="2">
        <v>81.7</v>
      </c>
      <c r="F832" s="2">
        <v>1.95</v>
      </c>
      <c r="G832" s="2">
        <v>188</v>
      </c>
      <c r="H832" s="2">
        <v>136</v>
      </c>
      <c r="I832" s="2">
        <v>74</v>
      </c>
      <c r="J832" s="2">
        <v>1.94</v>
      </c>
      <c r="K832" s="2">
        <v>1451</v>
      </c>
      <c r="L832" s="2" t="s">
        <v>17</v>
      </c>
      <c r="M832" s="2">
        <v>13.8</v>
      </c>
      <c r="N832" s="2">
        <v>3.5</v>
      </c>
      <c r="O832" s="2">
        <v>4</v>
      </c>
      <c r="P832" s="2">
        <v>3</v>
      </c>
      <c r="Q832" s="2">
        <v>21.49</v>
      </c>
      <c r="R832" s="2" t="str" cm="1">
        <f t="array" ref="R832">_xlfn.IFS(Q832&lt;18.5,"Underweight",
AND(Q832&gt;=18.5,Q832&lt;25),"Normal Weight",
AND(Q832&gt;=25,Q832&lt;30),"Overweight",
Q832&gt;=30,"Obesity")</f>
        <v>Normal Weight</v>
      </c>
      <c r="S832" s="2">
        <f t="shared" si="12"/>
        <v>747.93814432989689</v>
      </c>
      <c r="T832" s="2" t="str" cm="1">
        <f t="array" ref="T832">_xlfn.IFS(N832&lt;=2.5,"Low",N832&lt;=3,"Medium",N832&gt;3,"High")</f>
        <v>High</v>
      </c>
    </row>
    <row r="833" spans="1:20" x14ac:dyDescent="0.3">
      <c r="A833" s="2">
        <v>832</v>
      </c>
      <c r="B833" s="2" t="s">
        <v>29</v>
      </c>
      <c r="C833" s="2">
        <v>57</v>
      </c>
      <c r="D833" s="2" t="s">
        <v>15</v>
      </c>
      <c r="E833" s="2">
        <v>85.6</v>
      </c>
      <c r="F833" s="2">
        <v>1.69</v>
      </c>
      <c r="G833" s="2">
        <v>189</v>
      </c>
      <c r="H833" s="2">
        <v>133</v>
      </c>
      <c r="I833" s="2">
        <v>50</v>
      </c>
      <c r="J833" s="2">
        <v>1.76</v>
      </c>
      <c r="K833" s="2">
        <v>1159</v>
      </c>
      <c r="L833" s="2" t="s">
        <v>17</v>
      </c>
      <c r="M833" s="2">
        <v>12.7</v>
      </c>
      <c r="N833" s="2">
        <v>3.5</v>
      </c>
      <c r="O833" s="2">
        <v>5</v>
      </c>
      <c r="P833" s="2">
        <v>3</v>
      </c>
      <c r="Q833" s="2">
        <v>29.97</v>
      </c>
      <c r="R833" s="2" t="str" cm="1">
        <f t="array" ref="R833">_xlfn.IFS(Q833&lt;18.5,"Underweight",
AND(Q833&gt;=18.5,Q833&lt;25),"Normal Weight",
AND(Q833&gt;=25,Q833&lt;30),"Overweight",
Q833&gt;=30,"Obesity")</f>
        <v>Overweight</v>
      </c>
      <c r="S833" s="2">
        <f t="shared" si="12"/>
        <v>658.52272727272725</v>
      </c>
      <c r="T833" s="2" t="str" cm="1">
        <f t="array" ref="T833">_xlfn.IFS(N833&lt;=2.5,"Low",N833&lt;=3,"Medium",N833&gt;3,"High")</f>
        <v>High</v>
      </c>
    </row>
    <row r="834" spans="1:20" x14ac:dyDescent="0.3">
      <c r="A834" s="2">
        <v>833</v>
      </c>
      <c r="B834" s="2" t="s">
        <v>24</v>
      </c>
      <c r="C834" s="2">
        <v>36</v>
      </c>
      <c r="D834" s="2" t="s">
        <v>16</v>
      </c>
      <c r="E834" s="2">
        <v>60</v>
      </c>
      <c r="F834" s="2">
        <v>1.72</v>
      </c>
      <c r="G834" s="2">
        <v>161</v>
      </c>
      <c r="H834" s="2">
        <v>128</v>
      </c>
      <c r="I834" s="2">
        <v>51</v>
      </c>
      <c r="J834" s="2">
        <v>1.63</v>
      </c>
      <c r="K834" s="2">
        <v>1043</v>
      </c>
      <c r="L834" s="2" t="s">
        <v>20</v>
      </c>
      <c r="M834" s="2">
        <v>18.2</v>
      </c>
      <c r="N834" s="2">
        <v>2.7</v>
      </c>
      <c r="O834" s="2">
        <v>5</v>
      </c>
      <c r="P834" s="2">
        <v>3</v>
      </c>
      <c r="Q834" s="2">
        <v>20.28</v>
      </c>
      <c r="R834" s="2" t="str" cm="1">
        <f t="array" ref="R834">_xlfn.IFS(Q834&lt;18.5,"Underweight",
AND(Q834&gt;=18.5,Q834&lt;25),"Normal Weight",
AND(Q834&gt;=25,Q834&lt;30),"Overweight",
Q834&gt;=30,"Obesity")</f>
        <v>Normal Weight</v>
      </c>
      <c r="S834" s="2">
        <f t="shared" si="12"/>
        <v>639.87730061349703</v>
      </c>
      <c r="T834" s="2" t="str" cm="1">
        <f t="array" ref="T834">_xlfn.IFS(N834&lt;=2.5,"Low",N834&lt;=3,"Medium",N834&gt;3,"High")</f>
        <v>Medium</v>
      </c>
    </row>
    <row r="835" spans="1:20" x14ac:dyDescent="0.3">
      <c r="A835" s="2">
        <v>834</v>
      </c>
      <c r="B835" s="2" t="s">
        <v>27</v>
      </c>
      <c r="C835" s="2">
        <v>59</v>
      </c>
      <c r="D835" s="2" t="s">
        <v>15</v>
      </c>
      <c r="E835" s="2">
        <v>126.4</v>
      </c>
      <c r="F835" s="2">
        <v>1.69</v>
      </c>
      <c r="G835" s="2">
        <v>168</v>
      </c>
      <c r="H835" s="2">
        <v>149</v>
      </c>
      <c r="I835" s="2">
        <v>68</v>
      </c>
      <c r="J835" s="2">
        <v>1.24</v>
      </c>
      <c r="K835" s="2">
        <v>915</v>
      </c>
      <c r="L835" s="2" t="s">
        <v>20</v>
      </c>
      <c r="M835" s="2">
        <v>29.5</v>
      </c>
      <c r="N835" s="2">
        <v>2.9</v>
      </c>
      <c r="O835" s="2">
        <v>3</v>
      </c>
      <c r="P835" s="2">
        <v>1</v>
      </c>
      <c r="Q835" s="2">
        <v>44.26</v>
      </c>
      <c r="R835" s="2" t="str" cm="1">
        <f t="array" ref="R835">_xlfn.IFS(Q835&lt;18.5,"Underweight",
AND(Q835&gt;=18.5,Q835&lt;25),"Normal Weight",
AND(Q835&gt;=25,Q835&lt;30),"Overweight",
Q835&gt;=30,"Obesity")</f>
        <v>Obesity</v>
      </c>
      <c r="S835" s="2">
        <f t="shared" ref="S835:S898" si="13">K835/J835</f>
        <v>737.90322580645159</v>
      </c>
      <c r="T835" s="2" t="str" cm="1">
        <f t="array" ref="T835">_xlfn.IFS(N835&lt;=2.5,"Low",N835&lt;=3,"Medium",N835&gt;3,"High")</f>
        <v>Medium</v>
      </c>
    </row>
    <row r="836" spans="1:20" x14ac:dyDescent="0.3">
      <c r="A836" s="2">
        <v>835</v>
      </c>
      <c r="B836" s="2" t="s">
        <v>24</v>
      </c>
      <c r="C836" s="2">
        <v>58</v>
      </c>
      <c r="D836" s="2" t="s">
        <v>16</v>
      </c>
      <c r="E836" s="2">
        <v>75.400000000000006</v>
      </c>
      <c r="F836" s="2">
        <v>1.78</v>
      </c>
      <c r="G836" s="2">
        <v>161</v>
      </c>
      <c r="H836" s="2">
        <v>140</v>
      </c>
      <c r="I836" s="2">
        <v>63</v>
      </c>
      <c r="J836" s="2">
        <v>1.05</v>
      </c>
      <c r="K836" s="2">
        <v>662</v>
      </c>
      <c r="L836" s="2" t="s">
        <v>19</v>
      </c>
      <c r="M836" s="2">
        <v>26</v>
      </c>
      <c r="N836" s="2">
        <v>2.5</v>
      </c>
      <c r="O836" s="2">
        <v>4</v>
      </c>
      <c r="P836" s="2">
        <v>2</v>
      </c>
      <c r="Q836" s="2">
        <v>23.8</v>
      </c>
      <c r="R836" s="2" t="str" cm="1">
        <f t="array" ref="R836">_xlfn.IFS(Q836&lt;18.5,"Underweight",
AND(Q836&gt;=18.5,Q836&lt;25),"Normal Weight",
AND(Q836&gt;=25,Q836&lt;30),"Overweight",
Q836&gt;=30,"Obesity")</f>
        <v>Normal Weight</v>
      </c>
      <c r="S836" s="2">
        <f t="shared" si="13"/>
        <v>630.47619047619048</v>
      </c>
      <c r="T836" s="2" t="str" cm="1">
        <f t="array" ref="T836">_xlfn.IFS(N836&lt;=2.5,"Low",N836&lt;=3,"Medium",N836&gt;3,"High")</f>
        <v>Low</v>
      </c>
    </row>
    <row r="837" spans="1:20" x14ac:dyDescent="0.3">
      <c r="A837" s="2">
        <v>836</v>
      </c>
      <c r="B837" s="2" t="s">
        <v>27</v>
      </c>
      <c r="C837" s="2">
        <v>54</v>
      </c>
      <c r="D837" s="2" t="s">
        <v>16</v>
      </c>
      <c r="E837" s="2">
        <v>64.2</v>
      </c>
      <c r="F837" s="2">
        <v>1.69</v>
      </c>
      <c r="G837" s="2">
        <v>188</v>
      </c>
      <c r="H837" s="2">
        <v>131</v>
      </c>
      <c r="I837" s="2">
        <v>69</v>
      </c>
      <c r="J837" s="2">
        <v>1.69</v>
      </c>
      <c r="K837" s="2">
        <v>996</v>
      </c>
      <c r="L837" s="2" t="s">
        <v>17</v>
      </c>
      <c r="M837" s="2">
        <v>16.5</v>
      </c>
      <c r="N837" s="2">
        <v>2.7</v>
      </c>
      <c r="O837" s="2">
        <v>4</v>
      </c>
      <c r="P837" s="2">
        <v>3</v>
      </c>
      <c r="Q837" s="2">
        <v>22.48</v>
      </c>
      <c r="R837" s="2" t="str" cm="1">
        <f t="array" ref="R837">_xlfn.IFS(Q837&lt;18.5,"Underweight",
AND(Q837&gt;=18.5,Q837&lt;25),"Normal Weight",
AND(Q837&gt;=25,Q837&lt;30),"Overweight",
Q837&gt;=30,"Obesity")</f>
        <v>Normal Weight</v>
      </c>
      <c r="S837" s="2">
        <f t="shared" si="13"/>
        <v>589.3491124260355</v>
      </c>
      <c r="T837" s="2" t="str" cm="1">
        <f t="array" ref="T837">_xlfn.IFS(N837&lt;=2.5,"Low",N837&lt;=3,"Medium",N837&gt;3,"High")</f>
        <v>Medium</v>
      </c>
    </row>
    <row r="838" spans="1:20" x14ac:dyDescent="0.3">
      <c r="A838" s="2">
        <v>837</v>
      </c>
      <c r="B838" s="2" t="s">
        <v>27</v>
      </c>
      <c r="C838" s="2">
        <v>23</v>
      </c>
      <c r="D838" s="2" t="s">
        <v>16</v>
      </c>
      <c r="E838" s="2">
        <v>65.2</v>
      </c>
      <c r="F838" s="2">
        <v>1.62</v>
      </c>
      <c r="G838" s="2">
        <v>192</v>
      </c>
      <c r="H838" s="2">
        <v>156</v>
      </c>
      <c r="I838" s="2">
        <v>59</v>
      </c>
      <c r="J838" s="2">
        <v>1.37</v>
      </c>
      <c r="K838" s="2">
        <v>1069</v>
      </c>
      <c r="L838" s="2" t="s">
        <v>19</v>
      </c>
      <c r="M838" s="2">
        <v>31.1</v>
      </c>
      <c r="N838" s="2">
        <v>2.5</v>
      </c>
      <c r="O838" s="2">
        <v>3</v>
      </c>
      <c r="P838" s="2">
        <v>2</v>
      </c>
      <c r="Q838" s="2">
        <v>24.84</v>
      </c>
      <c r="R838" s="2" t="str" cm="1">
        <f t="array" ref="R838">_xlfn.IFS(Q838&lt;18.5,"Underweight",
AND(Q838&gt;=18.5,Q838&lt;25),"Normal Weight",
AND(Q838&gt;=25,Q838&lt;30),"Overweight",
Q838&gt;=30,"Obesity")</f>
        <v>Normal Weight</v>
      </c>
      <c r="S838" s="2">
        <f t="shared" si="13"/>
        <v>780.29197080291965</v>
      </c>
      <c r="T838" s="2" t="str" cm="1">
        <f t="array" ref="T838">_xlfn.IFS(N838&lt;=2.5,"Low",N838&lt;=3,"Medium",N838&gt;3,"High")</f>
        <v>Low</v>
      </c>
    </row>
    <row r="839" spans="1:20" x14ac:dyDescent="0.3">
      <c r="A839" s="2">
        <v>838</v>
      </c>
      <c r="B839" s="2" t="s">
        <v>21</v>
      </c>
      <c r="C839" s="2">
        <v>43</v>
      </c>
      <c r="D839" s="2" t="s">
        <v>16</v>
      </c>
      <c r="E839" s="2">
        <v>70.099999999999994</v>
      </c>
      <c r="F839" s="2">
        <v>1.66</v>
      </c>
      <c r="G839" s="2">
        <v>169</v>
      </c>
      <c r="H839" s="2">
        <v>151</v>
      </c>
      <c r="I839" s="2">
        <v>58</v>
      </c>
      <c r="J839" s="2">
        <v>0.99</v>
      </c>
      <c r="K839" s="2">
        <v>673</v>
      </c>
      <c r="L839" s="2" t="s">
        <v>20</v>
      </c>
      <c r="M839" s="2">
        <v>34.6</v>
      </c>
      <c r="N839" s="2">
        <v>2.6</v>
      </c>
      <c r="O839" s="2">
        <v>2</v>
      </c>
      <c r="P839" s="2">
        <v>1</v>
      </c>
      <c r="Q839" s="2">
        <v>25.44</v>
      </c>
      <c r="R839" s="2" t="str" cm="1">
        <f t="array" ref="R839">_xlfn.IFS(Q839&lt;18.5,"Underweight",
AND(Q839&gt;=18.5,Q839&lt;25),"Normal Weight",
AND(Q839&gt;=25,Q839&lt;30),"Overweight",
Q839&gt;=30,"Obesity")</f>
        <v>Overweight</v>
      </c>
      <c r="S839" s="2">
        <f t="shared" si="13"/>
        <v>679.79797979797979</v>
      </c>
      <c r="T839" s="2" t="str" cm="1">
        <f t="array" ref="T839">_xlfn.IFS(N839&lt;=2.5,"Low",N839&lt;=3,"Medium",N839&gt;3,"High")</f>
        <v>Medium</v>
      </c>
    </row>
    <row r="840" spans="1:20" x14ac:dyDescent="0.3">
      <c r="A840" s="2">
        <v>839</v>
      </c>
      <c r="B840" s="2" t="s">
        <v>22</v>
      </c>
      <c r="C840" s="2">
        <v>51</v>
      </c>
      <c r="D840" s="2" t="s">
        <v>15</v>
      </c>
      <c r="E840" s="2">
        <v>102.6</v>
      </c>
      <c r="F840" s="2">
        <v>1.77</v>
      </c>
      <c r="G840" s="2">
        <v>193</v>
      </c>
      <c r="H840" s="2">
        <v>130</v>
      </c>
      <c r="I840" s="2">
        <v>59</v>
      </c>
      <c r="J840" s="2">
        <v>1.21</v>
      </c>
      <c r="K840" s="2">
        <v>779</v>
      </c>
      <c r="L840" s="2" t="s">
        <v>18</v>
      </c>
      <c r="M840" s="2">
        <v>21</v>
      </c>
      <c r="N840" s="2">
        <v>3.4</v>
      </c>
      <c r="O840" s="2">
        <v>2</v>
      </c>
      <c r="P840" s="2">
        <v>1</v>
      </c>
      <c r="Q840" s="2">
        <v>32.75</v>
      </c>
      <c r="R840" s="2" t="str" cm="1">
        <f t="array" ref="R840">_xlfn.IFS(Q840&lt;18.5,"Underweight",
AND(Q840&gt;=18.5,Q840&lt;25),"Normal Weight",
AND(Q840&gt;=25,Q840&lt;30),"Overweight",
Q840&gt;=30,"Obesity")</f>
        <v>Obesity</v>
      </c>
      <c r="S840" s="2">
        <f t="shared" si="13"/>
        <v>643.80165289256195</v>
      </c>
      <c r="T840" s="2" t="str" cm="1">
        <f t="array" ref="T840">_xlfn.IFS(N840&lt;=2.5,"Low",N840&lt;=3,"Medium",N840&gt;3,"High")</f>
        <v>High</v>
      </c>
    </row>
    <row r="841" spans="1:20" x14ac:dyDescent="0.3">
      <c r="A841" s="2">
        <v>840</v>
      </c>
      <c r="B841" s="2" t="s">
        <v>23</v>
      </c>
      <c r="C841" s="2">
        <v>23</v>
      </c>
      <c r="D841" s="2" t="s">
        <v>15</v>
      </c>
      <c r="E841" s="2">
        <v>107.2</v>
      </c>
      <c r="F841" s="2">
        <v>1.93</v>
      </c>
      <c r="G841" s="2">
        <v>167</v>
      </c>
      <c r="H841" s="2">
        <v>139</v>
      </c>
      <c r="I841" s="2">
        <v>55</v>
      </c>
      <c r="J841" s="2">
        <v>1.1499999999999999</v>
      </c>
      <c r="K841" s="2">
        <v>879</v>
      </c>
      <c r="L841" s="2" t="s">
        <v>18</v>
      </c>
      <c r="M841" s="2">
        <v>20.2</v>
      </c>
      <c r="N841" s="2">
        <v>3.1</v>
      </c>
      <c r="O841" s="2">
        <v>4</v>
      </c>
      <c r="P841" s="2">
        <v>2</v>
      </c>
      <c r="Q841" s="2">
        <v>28.78</v>
      </c>
      <c r="R841" s="2" t="str" cm="1">
        <f t="array" ref="R841">_xlfn.IFS(Q841&lt;18.5,"Underweight",
AND(Q841&gt;=18.5,Q841&lt;25),"Normal Weight",
AND(Q841&gt;=25,Q841&lt;30),"Overweight",
Q841&gt;=30,"Obesity")</f>
        <v>Overweight</v>
      </c>
      <c r="S841" s="2">
        <f t="shared" si="13"/>
        <v>764.34782608695662</v>
      </c>
      <c r="T841" s="2" t="str" cm="1">
        <f t="array" ref="T841">_xlfn.IFS(N841&lt;=2.5,"Low",N841&lt;=3,"Medium",N841&gt;3,"High")</f>
        <v>High</v>
      </c>
    </row>
    <row r="842" spans="1:20" x14ac:dyDescent="0.3">
      <c r="A842" s="2">
        <v>841</v>
      </c>
      <c r="B842" s="2" t="s">
        <v>21</v>
      </c>
      <c r="C842" s="2">
        <v>54</v>
      </c>
      <c r="D842" s="2" t="s">
        <v>16</v>
      </c>
      <c r="E842" s="2">
        <v>56.5</v>
      </c>
      <c r="F842" s="2">
        <v>1.75</v>
      </c>
      <c r="G842" s="2">
        <v>196</v>
      </c>
      <c r="H842" s="2">
        <v>154</v>
      </c>
      <c r="I842" s="2">
        <v>66</v>
      </c>
      <c r="J842" s="2">
        <v>1.76</v>
      </c>
      <c r="K842" s="2">
        <v>1220</v>
      </c>
      <c r="L842" s="2" t="s">
        <v>18</v>
      </c>
      <c r="M842" s="2">
        <v>15.3</v>
      </c>
      <c r="N842" s="2">
        <v>2.7</v>
      </c>
      <c r="O842" s="2">
        <v>5</v>
      </c>
      <c r="P842" s="2">
        <v>3</v>
      </c>
      <c r="Q842" s="2">
        <v>18.45</v>
      </c>
      <c r="R842" s="2" t="str" cm="1">
        <f t="array" ref="R842">_xlfn.IFS(Q842&lt;18.5,"Underweight",
AND(Q842&gt;=18.5,Q842&lt;25),"Normal Weight",
AND(Q842&gt;=25,Q842&lt;30),"Overweight",
Q842&gt;=30,"Obesity")</f>
        <v>Underweight</v>
      </c>
      <c r="S842" s="2">
        <f t="shared" si="13"/>
        <v>693.18181818181813</v>
      </c>
      <c r="T842" s="2" t="str" cm="1">
        <f t="array" ref="T842">_xlfn.IFS(N842&lt;=2.5,"Low",N842&lt;=3,"Medium",N842&gt;3,"High")</f>
        <v>Medium</v>
      </c>
    </row>
    <row r="843" spans="1:20" x14ac:dyDescent="0.3">
      <c r="A843" s="2">
        <v>842</v>
      </c>
      <c r="B843" s="2" t="s">
        <v>30</v>
      </c>
      <c r="C843" s="2">
        <v>50</v>
      </c>
      <c r="D843" s="2" t="s">
        <v>16</v>
      </c>
      <c r="E843" s="2">
        <v>61.6</v>
      </c>
      <c r="F843" s="2">
        <v>1.75</v>
      </c>
      <c r="G843" s="2">
        <v>192</v>
      </c>
      <c r="H843" s="2">
        <v>166</v>
      </c>
      <c r="I843" s="2">
        <v>74</v>
      </c>
      <c r="J843" s="2">
        <v>1.22</v>
      </c>
      <c r="K843" s="2">
        <v>911</v>
      </c>
      <c r="L843" s="2" t="s">
        <v>20</v>
      </c>
      <c r="M843" s="2">
        <v>25.5</v>
      </c>
      <c r="N843" s="2">
        <v>2.2000000000000002</v>
      </c>
      <c r="O843" s="2">
        <v>4</v>
      </c>
      <c r="P843" s="2">
        <v>2</v>
      </c>
      <c r="Q843" s="2">
        <v>20.11</v>
      </c>
      <c r="R843" s="2" t="str" cm="1">
        <f t="array" ref="R843">_xlfn.IFS(Q843&lt;18.5,"Underweight",
AND(Q843&gt;=18.5,Q843&lt;25),"Normal Weight",
AND(Q843&gt;=25,Q843&lt;30),"Overweight",
Q843&gt;=30,"Obesity")</f>
        <v>Normal Weight</v>
      </c>
      <c r="S843" s="2">
        <f t="shared" si="13"/>
        <v>746.72131147540983</v>
      </c>
      <c r="T843" s="2" t="str" cm="1">
        <f t="array" ref="T843">_xlfn.IFS(N843&lt;=2.5,"Low",N843&lt;=3,"Medium",N843&gt;3,"High")</f>
        <v>Low</v>
      </c>
    </row>
    <row r="844" spans="1:20" x14ac:dyDescent="0.3">
      <c r="A844" s="2">
        <v>843</v>
      </c>
      <c r="B844" s="2" t="s">
        <v>21</v>
      </c>
      <c r="C844" s="2">
        <v>39</v>
      </c>
      <c r="D844" s="2" t="s">
        <v>15</v>
      </c>
      <c r="E844" s="2">
        <v>81.7</v>
      </c>
      <c r="F844" s="2">
        <v>1.75</v>
      </c>
      <c r="G844" s="2">
        <v>165</v>
      </c>
      <c r="H844" s="2">
        <v>165</v>
      </c>
      <c r="I844" s="2">
        <v>55</v>
      </c>
      <c r="J844" s="2">
        <v>1.32</v>
      </c>
      <c r="K844" s="2">
        <v>1198</v>
      </c>
      <c r="L844" s="2" t="s">
        <v>19</v>
      </c>
      <c r="M844" s="2">
        <v>29.1</v>
      </c>
      <c r="N844" s="2">
        <v>2.8</v>
      </c>
      <c r="O844" s="2">
        <v>4</v>
      </c>
      <c r="P844" s="2">
        <v>2</v>
      </c>
      <c r="Q844" s="2">
        <v>26.68</v>
      </c>
      <c r="R844" s="2" t="str" cm="1">
        <f t="array" ref="R844">_xlfn.IFS(Q844&lt;18.5,"Underweight",
AND(Q844&gt;=18.5,Q844&lt;25),"Normal Weight",
AND(Q844&gt;=25,Q844&lt;30),"Overweight",
Q844&gt;=30,"Obesity")</f>
        <v>Overweight</v>
      </c>
      <c r="S844" s="2">
        <f t="shared" si="13"/>
        <v>907.57575757575751</v>
      </c>
      <c r="T844" s="2" t="str" cm="1">
        <f t="array" ref="T844">_xlfn.IFS(N844&lt;=2.5,"Low",N844&lt;=3,"Medium",N844&gt;3,"High")</f>
        <v>Medium</v>
      </c>
    </row>
    <row r="845" spans="1:20" x14ac:dyDescent="0.3">
      <c r="A845" s="2">
        <v>844</v>
      </c>
      <c r="B845" s="2" t="s">
        <v>26</v>
      </c>
      <c r="C845" s="2">
        <v>38</v>
      </c>
      <c r="D845" s="2" t="s">
        <v>16</v>
      </c>
      <c r="E845" s="2">
        <v>76.599999999999994</v>
      </c>
      <c r="F845" s="2">
        <v>1.58</v>
      </c>
      <c r="G845" s="2">
        <v>199</v>
      </c>
      <c r="H845" s="2">
        <v>130</v>
      </c>
      <c r="I845" s="2">
        <v>53</v>
      </c>
      <c r="J845" s="2">
        <v>0.74</v>
      </c>
      <c r="K845" s="2">
        <v>481</v>
      </c>
      <c r="L845" s="2" t="s">
        <v>17</v>
      </c>
      <c r="M845" s="2">
        <v>32.200000000000003</v>
      </c>
      <c r="N845" s="2">
        <v>2.2999999999999998</v>
      </c>
      <c r="O845" s="2">
        <v>2</v>
      </c>
      <c r="P845" s="2">
        <v>1</v>
      </c>
      <c r="Q845" s="2">
        <v>30.68</v>
      </c>
      <c r="R845" s="2" t="str" cm="1">
        <f t="array" ref="R845">_xlfn.IFS(Q845&lt;18.5,"Underweight",
AND(Q845&gt;=18.5,Q845&lt;25),"Normal Weight",
AND(Q845&gt;=25,Q845&lt;30),"Overweight",
Q845&gt;=30,"Obesity")</f>
        <v>Obesity</v>
      </c>
      <c r="S845" s="2">
        <f t="shared" si="13"/>
        <v>650</v>
      </c>
      <c r="T845" s="2" t="str" cm="1">
        <f t="array" ref="T845">_xlfn.IFS(N845&lt;=2.5,"Low",N845&lt;=3,"Medium",N845&gt;3,"High")</f>
        <v>Low</v>
      </c>
    </row>
    <row r="846" spans="1:20" x14ac:dyDescent="0.3">
      <c r="A846" s="2">
        <v>845</v>
      </c>
      <c r="B846" s="2" t="s">
        <v>26</v>
      </c>
      <c r="C846" s="2">
        <v>23</v>
      </c>
      <c r="D846" s="2" t="s">
        <v>15</v>
      </c>
      <c r="E846" s="2">
        <v>116.8</v>
      </c>
      <c r="F846" s="2">
        <v>1.79</v>
      </c>
      <c r="G846" s="2">
        <v>178</v>
      </c>
      <c r="H846" s="2">
        <v>127</v>
      </c>
      <c r="I846" s="2">
        <v>69</v>
      </c>
      <c r="J846" s="2">
        <v>1</v>
      </c>
      <c r="K846" s="2">
        <v>698</v>
      </c>
      <c r="L846" s="2" t="s">
        <v>20</v>
      </c>
      <c r="M846" s="2">
        <v>26.8</v>
      </c>
      <c r="N846" s="2">
        <v>3.4</v>
      </c>
      <c r="O846" s="2">
        <v>4</v>
      </c>
      <c r="P846" s="2">
        <v>2</v>
      </c>
      <c r="Q846" s="2">
        <v>36.450000000000003</v>
      </c>
      <c r="R846" s="2" t="str" cm="1">
        <f t="array" ref="R846">_xlfn.IFS(Q846&lt;18.5,"Underweight",
AND(Q846&gt;=18.5,Q846&lt;25),"Normal Weight",
AND(Q846&gt;=25,Q846&lt;30),"Overweight",
Q846&gt;=30,"Obesity")</f>
        <v>Obesity</v>
      </c>
      <c r="S846" s="2">
        <f t="shared" si="13"/>
        <v>698</v>
      </c>
      <c r="T846" s="2" t="str" cm="1">
        <f t="array" ref="T846">_xlfn.IFS(N846&lt;=2.5,"Low",N846&lt;=3,"Medium",N846&gt;3,"High")</f>
        <v>High</v>
      </c>
    </row>
    <row r="847" spans="1:20" x14ac:dyDescent="0.3">
      <c r="A847" s="2">
        <v>846</v>
      </c>
      <c r="B847" s="2" t="s">
        <v>23</v>
      </c>
      <c r="C847" s="2">
        <v>23</v>
      </c>
      <c r="D847" s="2" t="s">
        <v>16</v>
      </c>
      <c r="E847" s="2">
        <v>60.1</v>
      </c>
      <c r="F847" s="2">
        <v>1.59</v>
      </c>
      <c r="G847" s="2">
        <v>191</v>
      </c>
      <c r="H847" s="2">
        <v>123</v>
      </c>
      <c r="I847" s="2">
        <v>52</v>
      </c>
      <c r="J847" s="2">
        <v>1.8</v>
      </c>
      <c r="K847" s="2">
        <v>1107</v>
      </c>
      <c r="L847" s="2" t="s">
        <v>18</v>
      </c>
      <c r="M847" s="2">
        <v>17.600000000000001</v>
      </c>
      <c r="N847" s="2">
        <v>2.7</v>
      </c>
      <c r="O847" s="2">
        <v>4</v>
      </c>
      <c r="P847" s="2">
        <v>3</v>
      </c>
      <c r="Q847" s="2">
        <v>23.77</v>
      </c>
      <c r="R847" s="2" t="str" cm="1">
        <f t="array" ref="R847">_xlfn.IFS(Q847&lt;18.5,"Underweight",
AND(Q847&gt;=18.5,Q847&lt;25),"Normal Weight",
AND(Q847&gt;=25,Q847&lt;30),"Overweight",
Q847&gt;=30,"Obesity")</f>
        <v>Normal Weight</v>
      </c>
      <c r="S847" s="2">
        <f t="shared" si="13"/>
        <v>615</v>
      </c>
      <c r="T847" s="2" t="str" cm="1">
        <f t="array" ref="T847">_xlfn.IFS(N847&lt;=2.5,"Low",N847&lt;=3,"Medium",N847&gt;3,"High")</f>
        <v>Medium</v>
      </c>
    </row>
    <row r="848" spans="1:20" x14ac:dyDescent="0.3">
      <c r="A848" s="2">
        <v>847</v>
      </c>
      <c r="B848" s="2" t="s">
        <v>24</v>
      </c>
      <c r="C848" s="2">
        <v>21</v>
      </c>
      <c r="D848" s="2" t="s">
        <v>15</v>
      </c>
      <c r="E848" s="2">
        <v>93.7</v>
      </c>
      <c r="F848" s="2">
        <v>1.73</v>
      </c>
      <c r="G848" s="2">
        <v>186</v>
      </c>
      <c r="H848" s="2">
        <v>146</v>
      </c>
      <c r="I848" s="2">
        <v>72</v>
      </c>
      <c r="J848" s="2">
        <v>1</v>
      </c>
      <c r="K848" s="2">
        <v>803</v>
      </c>
      <c r="L848" s="2" t="s">
        <v>19</v>
      </c>
      <c r="M848" s="2">
        <v>27.8</v>
      </c>
      <c r="N848" s="2">
        <v>3.6</v>
      </c>
      <c r="O848" s="2">
        <v>2</v>
      </c>
      <c r="P848" s="2">
        <v>1</v>
      </c>
      <c r="Q848" s="2">
        <v>31.31</v>
      </c>
      <c r="R848" s="2" t="str" cm="1">
        <f t="array" ref="R848">_xlfn.IFS(Q848&lt;18.5,"Underweight",
AND(Q848&gt;=18.5,Q848&lt;25),"Normal Weight",
AND(Q848&gt;=25,Q848&lt;30),"Overweight",
Q848&gt;=30,"Obesity")</f>
        <v>Obesity</v>
      </c>
      <c r="S848" s="2">
        <f t="shared" si="13"/>
        <v>803</v>
      </c>
      <c r="T848" s="2" t="str" cm="1">
        <f t="array" ref="T848">_xlfn.IFS(N848&lt;=2.5,"Low",N848&lt;=3,"Medium",N848&gt;3,"High")</f>
        <v>High</v>
      </c>
    </row>
    <row r="849" spans="1:20" x14ac:dyDescent="0.3">
      <c r="A849" s="2">
        <v>848</v>
      </c>
      <c r="B849" s="2" t="s">
        <v>22</v>
      </c>
      <c r="C849" s="2">
        <v>47</v>
      </c>
      <c r="D849" s="2" t="s">
        <v>16</v>
      </c>
      <c r="E849" s="2">
        <v>41.6</v>
      </c>
      <c r="F849" s="2">
        <v>1.58</v>
      </c>
      <c r="G849" s="2">
        <v>160</v>
      </c>
      <c r="H849" s="2">
        <v>163</v>
      </c>
      <c r="I849" s="2">
        <v>68</v>
      </c>
      <c r="J849" s="2">
        <v>1.03</v>
      </c>
      <c r="K849" s="2">
        <v>756</v>
      </c>
      <c r="L849" s="2" t="s">
        <v>17</v>
      </c>
      <c r="M849" s="2">
        <v>26.6</v>
      </c>
      <c r="N849" s="2">
        <v>2.1</v>
      </c>
      <c r="O849" s="2">
        <v>4</v>
      </c>
      <c r="P849" s="2">
        <v>2</v>
      </c>
      <c r="Q849" s="2">
        <v>16.66</v>
      </c>
      <c r="R849" s="2" t="str" cm="1">
        <f t="array" ref="R849">_xlfn.IFS(Q849&lt;18.5,"Underweight",
AND(Q849&gt;=18.5,Q849&lt;25),"Normal Weight",
AND(Q849&gt;=25,Q849&lt;30),"Overweight",
Q849&gt;=30,"Obesity")</f>
        <v>Underweight</v>
      </c>
      <c r="S849" s="2">
        <f t="shared" si="13"/>
        <v>733.98058252427188</v>
      </c>
      <c r="T849" s="2" t="str" cm="1">
        <f t="array" ref="T849">_xlfn.IFS(N849&lt;=2.5,"Low",N849&lt;=3,"Medium",N849&gt;3,"High")</f>
        <v>Low</v>
      </c>
    </row>
    <row r="850" spans="1:20" x14ac:dyDescent="0.3">
      <c r="A850" s="2">
        <v>849</v>
      </c>
      <c r="B850" s="2" t="s">
        <v>23</v>
      </c>
      <c r="C850" s="2">
        <v>28</v>
      </c>
      <c r="D850" s="2" t="s">
        <v>16</v>
      </c>
      <c r="E850" s="2">
        <v>55.1</v>
      </c>
      <c r="F850" s="2">
        <v>1.79</v>
      </c>
      <c r="G850" s="2">
        <v>192</v>
      </c>
      <c r="H850" s="2">
        <v>159</v>
      </c>
      <c r="I850" s="2">
        <v>67</v>
      </c>
      <c r="J850" s="2">
        <v>1.99</v>
      </c>
      <c r="K850" s="2">
        <v>1582</v>
      </c>
      <c r="L850" s="2" t="s">
        <v>17</v>
      </c>
      <c r="M850" s="2">
        <v>17</v>
      </c>
      <c r="N850" s="2">
        <v>2.7</v>
      </c>
      <c r="O850" s="2">
        <v>5</v>
      </c>
      <c r="P850" s="2">
        <v>3</v>
      </c>
      <c r="Q850" s="2">
        <v>17.2</v>
      </c>
      <c r="R850" s="2" t="str" cm="1">
        <f t="array" ref="R850">_xlfn.IFS(Q850&lt;18.5,"Underweight",
AND(Q850&gt;=18.5,Q850&lt;25),"Normal Weight",
AND(Q850&gt;=25,Q850&lt;30),"Overweight",
Q850&gt;=30,"Obesity")</f>
        <v>Underweight</v>
      </c>
      <c r="S850" s="2">
        <f t="shared" si="13"/>
        <v>794.9748743718593</v>
      </c>
      <c r="T850" s="2" t="str" cm="1">
        <f t="array" ref="T850">_xlfn.IFS(N850&lt;=2.5,"Low",N850&lt;=3,"Medium",N850&gt;3,"High")</f>
        <v>Medium</v>
      </c>
    </row>
    <row r="851" spans="1:20" x14ac:dyDescent="0.3">
      <c r="A851" s="2">
        <v>850</v>
      </c>
      <c r="B851" s="2" t="s">
        <v>27</v>
      </c>
      <c r="C851" s="2">
        <v>47</v>
      </c>
      <c r="D851" s="2" t="s">
        <v>15</v>
      </c>
      <c r="E851" s="2">
        <v>127.1</v>
      </c>
      <c r="F851" s="2">
        <v>1.76</v>
      </c>
      <c r="G851" s="2">
        <v>199</v>
      </c>
      <c r="H851" s="2">
        <v>157</v>
      </c>
      <c r="I851" s="2">
        <v>73</v>
      </c>
      <c r="J851" s="2">
        <v>0.71</v>
      </c>
      <c r="K851" s="2">
        <v>552</v>
      </c>
      <c r="L851" s="2" t="s">
        <v>20</v>
      </c>
      <c r="M851" s="2">
        <v>24.9</v>
      </c>
      <c r="N851" s="2">
        <v>3</v>
      </c>
      <c r="O851" s="2">
        <v>2</v>
      </c>
      <c r="P851" s="2">
        <v>1</v>
      </c>
      <c r="Q851" s="2">
        <v>41.03</v>
      </c>
      <c r="R851" s="2" t="str" cm="1">
        <f t="array" ref="R851">_xlfn.IFS(Q851&lt;18.5,"Underweight",
AND(Q851&gt;=18.5,Q851&lt;25),"Normal Weight",
AND(Q851&gt;=25,Q851&lt;30),"Overweight",
Q851&gt;=30,"Obesity")</f>
        <v>Obesity</v>
      </c>
      <c r="S851" s="2">
        <f t="shared" si="13"/>
        <v>777.46478873239437</v>
      </c>
      <c r="T851" s="2" t="str" cm="1">
        <f t="array" ref="T851">_xlfn.IFS(N851&lt;=2.5,"Low",N851&lt;=3,"Medium",N851&gt;3,"High")</f>
        <v>Medium</v>
      </c>
    </row>
    <row r="852" spans="1:20" x14ac:dyDescent="0.3">
      <c r="A852" s="2">
        <v>851</v>
      </c>
      <c r="B852" s="2" t="s">
        <v>28</v>
      </c>
      <c r="C852" s="2">
        <v>48</v>
      </c>
      <c r="D852" s="2" t="s">
        <v>16</v>
      </c>
      <c r="E852" s="2">
        <v>69.099999999999994</v>
      </c>
      <c r="F852" s="2">
        <v>1.6</v>
      </c>
      <c r="G852" s="2">
        <v>191</v>
      </c>
      <c r="H852" s="2">
        <v>166</v>
      </c>
      <c r="I852" s="2">
        <v>53</v>
      </c>
      <c r="J852" s="2">
        <v>1.34</v>
      </c>
      <c r="K852" s="2">
        <v>1001</v>
      </c>
      <c r="L852" s="2" t="s">
        <v>20</v>
      </c>
      <c r="M852" s="2">
        <v>26.1</v>
      </c>
      <c r="N852" s="2">
        <v>2</v>
      </c>
      <c r="O852" s="2">
        <v>4</v>
      </c>
      <c r="P852" s="2">
        <v>2</v>
      </c>
      <c r="Q852" s="2">
        <v>26.99</v>
      </c>
      <c r="R852" s="2" t="str" cm="1">
        <f t="array" ref="R852">_xlfn.IFS(Q852&lt;18.5,"Underweight",
AND(Q852&gt;=18.5,Q852&lt;25),"Normal Weight",
AND(Q852&gt;=25,Q852&lt;30),"Overweight",
Q852&gt;=30,"Obesity")</f>
        <v>Overweight</v>
      </c>
      <c r="S852" s="2">
        <f t="shared" si="13"/>
        <v>747.01492537313425</v>
      </c>
      <c r="T852" s="2" t="str" cm="1">
        <f t="array" ref="T852">_xlfn.IFS(N852&lt;=2.5,"Low",N852&lt;=3,"Medium",N852&gt;3,"High")</f>
        <v>Low</v>
      </c>
    </row>
    <row r="853" spans="1:20" x14ac:dyDescent="0.3">
      <c r="A853" s="2">
        <v>852</v>
      </c>
      <c r="B853" s="2" t="s">
        <v>22</v>
      </c>
      <c r="C853" s="2">
        <v>41</v>
      </c>
      <c r="D853" s="2" t="s">
        <v>16</v>
      </c>
      <c r="E853" s="2">
        <v>66.8</v>
      </c>
      <c r="F853" s="2">
        <v>1.74</v>
      </c>
      <c r="G853" s="2">
        <v>164</v>
      </c>
      <c r="H853" s="2">
        <v>149</v>
      </c>
      <c r="I853" s="2">
        <v>57</v>
      </c>
      <c r="J853" s="2">
        <v>1.34</v>
      </c>
      <c r="K853" s="2">
        <v>898</v>
      </c>
      <c r="L853" s="2" t="s">
        <v>17</v>
      </c>
      <c r="M853" s="2">
        <v>29.2</v>
      </c>
      <c r="N853" s="2">
        <v>2.2999999999999998</v>
      </c>
      <c r="O853" s="2">
        <v>3</v>
      </c>
      <c r="P853" s="2">
        <v>1</v>
      </c>
      <c r="Q853" s="2">
        <v>22.06</v>
      </c>
      <c r="R853" s="2" t="str" cm="1">
        <f t="array" ref="R853">_xlfn.IFS(Q853&lt;18.5,"Underweight",
AND(Q853&gt;=18.5,Q853&lt;25),"Normal Weight",
AND(Q853&gt;=25,Q853&lt;30),"Overweight",
Q853&gt;=30,"Obesity")</f>
        <v>Normal Weight</v>
      </c>
      <c r="S853" s="2">
        <f t="shared" si="13"/>
        <v>670.14925373134326</v>
      </c>
      <c r="T853" s="2" t="str" cm="1">
        <f t="array" ref="T853">_xlfn.IFS(N853&lt;=2.5,"Low",N853&lt;=3,"Medium",N853&gt;3,"High")</f>
        <v>Low</v>
      </c>
    </row>
    <row r="854" spans="1:20" x14ac:dyDescent="0.3">
      <c r="A854" s="2">
        <v>853</v>
      </c>
      <c r="B854" s="2" t="s">
        <v>22</v>
      </c>
      <c r="C854" s="2">
        <v>26</v>
      </c>
      <c r="D854" s="2" t="s">
        <v>15</v>
      </c>
      <c r="E854" s="2">
        <v>125.5</v>
      </c>
      <c r="F854" s="2">
        <v>1.76</v>
      </c>
      <c r="G854" s="2">
        <v>176</v>
      </c>
      <c r="H854" s="2">
        <v>163</v>
      </c>
      <c r="I854" s="2">
        <v>66</v>
      </c>
      <c r="J854" s="2">
        <v>1.1499999999999999</v>
      </c>
      <c r="K854" s="2">
        <v>1031</v>
      </c>
      <c r="L854" s="2" t="s">
        <v>17</v>
      </c>
      <c r="M854" s="2">
        <v>23.2</v>
      </c>
      <c r="N854" s="2">
        <v>3.1</v>
      </c>
      <c r="O854" s="2">
        <v>4</v>
      </c>
      <c r="P854" s="2">
        <v>2</v>
      </c>
      <c r="Q854" s="2">
        <v>40.520000000000003</v>
      </c>
      <c r="R854" s="2" t="str" cm="1">
        <f t="array" ref="R854">_xlfn.IFS(Q854&lt;18.5,"Underweight",
AND(Q854&gt;=18.5,Q854&lt;25),"Normal Weight",
AND(Q854&gt;=25,Q854&lt;30),"Overweight",
Q854&gt;=30,"Obesity")</f>
        <v>Obesity</v>
      </c>
      <c r="S854" s="2">
        <f t="shared" si="13"/>
        <v>896.52173913043487</v>
      </c>
      <c r="T854" s="2" t="str" cm="1">
        <f t="array" ref="T854">_xlfn.IFS(N854&lt;=2.5,"Low",N854&lt;=3,"Medium",N854&gt;3,"High")</f>
        <v>High</v>
      </c>
    </row>
    <row r="855" spans="1:20" x14ac:dyDescent="0.3">
      <c r="A855" s="2">
        <v>854</v>
      </c>
      <c r="B855" s="2" t="s">
        <v>27</v>
      </c>
      <c r="C855" s="2">
        <v>20</v>
      </c>
      <c r="D855" s="2" t="s">
        <v>16</v>
      </c>
      <c r="E855" s="2">
        <v>71.3</v>
      </c>
      <c r="F855" s="2">
        <v>1.58</v>
      </c>
      <c r="G855" s="2">
        <v>167</v>
      </c>
      <c r="H855" s="2">
        <v>167</v>
      </c>
      <c r="I855" s="2">
        <v>54</v>
      </c>
      <c r="J855" s="2">
        <v>1.07</v>
      </c>
      <c r="K855" s="2">
        <v>893</v>
      </c>
      <c r="L855" s="2" t="s">
        <v>18</v>
      </c>
      <c r="M855" s="2">
        <v>25.4</v>
      </c>
      <c r="N855" s="2">
        <v>1.5</v>
      </c>
      <c r="O855" s="2">
        <v>3</v>
      </c>
      <c r="P855" s="2">
        <v>2</v>
      </c>
      <c r="Q855" s="2">
        <v>28.56</v>
      </c>
      <c r="R855" s="2" t="str" cm="1">
        <f t="array" ref="R855">_xlfn.IFS(Q855&lt;18.5,"Underweight",
AND(Q855&gt;=18.5,Q855&lt;25),"Normal Weight",
AND(Q855&gt;=25,Q855&lt;30),"Overweight",
Q855&gt;=30,"Obesity")</f>
        <v>Overweight</v>
      </c>
      <c r="S855" s="2">
        <f t="shared" si="13"/>
        <v>834.57943925233644</v>
      </c>
      <c r="T855" s="2" t="str" cm="1">
        <f t="array" ref="T855">_xlfn.IFS(N855&lt;=2.5,"Low",N855&lt;=3,"Medium",N855&gt;3,"High")</f>
        <v>Low</v>
      </c>
    </row>
    <row r="856" spans="1:20" x14ac:dyDescent="0.3">
      <c r="A856" s="2">
        <v>855</v>
      </c>
      <c r="B856" s="2" t="s">
        <v>27</v>
      </c>
      <c r="C856" s="2">
        <v>48</v>
      </c>
      <c r="D856" s="2" t="s">
        <v>15</v>
      </c>
      <c r="E856" s="2">
        <v>129.19999999999999</v>
      </c>
      <c r="F856" s="2">
        <v>1.61</v>
      </c>
      <c r="G856" s="2">
        <v>193</v>
      </c>
      <c r="H856" s="2">
        <v>167</v>
      </c>
      <c r="I856" s="2">
        <v>62</v>
      </c>
      <c r="J856" s="2">
        <v>1.06</v>
      </c>
      <c r="K856" s="2">
        <v>876</v>
      </c>
      <c r="L856" s="2" t="s">
        <v>17</v>
      </c>
      <c r="M856" s="2">
        <v>21.4</v>
      </c>
      <c r="N856" s="2">
        <v>2.9</v>
      </c>
      <c r="O856" s="2">
        <v>4</v>
      </c>
      <c r="P856" s="2">
        <v>2</v>
      </c>
      <c r="Q856" s="2">
        <v>49.84</v>
      </c>
      <c r="R856" s="2" t="str" cm="1">
        <f t="array" ref="R856">_xlfn.IFS(Q856&lt;18.5,"Underweight",
AND(Q856&gt;=18.5,Q856&lt;25),"Normal Weight",
AND(Q856&gt;=25,Q856&lt;30),"Overweight",
Q856&gt;=30,"Obesity")</f>
        <v>Obesity</v>
      </c>
      <c r="S856" s="2">
        <f t="shared" si="13"/>
        <v>826.41509433962256</v>
      </c>
      <c r="T856" s="2" t="str" cm="1">
        <f t="array" ref="T856">_xlfn.IFS(N856&lt;=2.5,"Low",N856&lt;=3,"Medium",N856&gt;3,"High")</f>
        <v>Medium</v>
      </c>
    </row>
    <row r="857" spans="1:20" x14ac:dyDescent="0.3">
      <c r="A857" s="2">
        <v>856</v>
      </c>
      <c r="B857" s="2" t="s">
        <v>29</v>
      </c>
      <c r="C857" s="2">
        <v>57</v>
      </c>
      <c r="D857" s="2" t="s">
        <v>15</v>
      </c>
      <c r="E857" s="2">
        <v>96.3</v>
      </c>
      <c r="F857" s="2">
        <v>1.86</v>
      </c>
      <c r="G857" s="2">
        <v>168</v>
      </c>
      <c r="H857" s="2">
        <v>146</v>
      </c>
      <c r="I857" s="2">
        <v>74</v>
      </c>
      <c r="J857" s="2">
        <v>1.1000000000000001</v>
      </c>
      <c r="K857" s="2">
        <v>795</v>
      </c>
      <c r="L857" s="2" t="s">
        <v>20</v>
      </c>
      <c r="M857" s="2">
        <v>27.6</v>
      </c>
      <c r="N857" s="2">
        <v>2.2000000000000002</v>
      </c>
      <c r="O857" s="2">
        <v>3</v>
      </c>
      <c r="P857" s="2">
        <v>2</v>
      </c>
      <c r="Q857" s="2">
        <v>27.84</v>
      </c>
      <c r="R857" s="2" t="str" cm="1">
        <f t="array" ref="R857">_xlfn.IFS(Q857&lt;18.5,"Underweight",
AND(Q857&gt;=18.5,Q857&lt;25),"Normal Weight",
AND(Q857&gt;=25,Q857&lt;30),"Overweight",
Q857&gt;=30,"Obesity")</f>
        <v>Overweight</v>
      </c>
      <c r="S857" s="2">
        <f t="shared" si="13"/>
        <v>722.72727272727263</v>
      </c>
      <c r="T857" s="2" t="str" cm="1">
        <f t="array" ref="T857">_xlfn.IFS(N857&lt;=2.5,"Low",N857&lt;=3,"Medium",N857&gt;3,"High")</f>
        <v>Low</v>
      </c>
    </row>
    <row r="858" spans="1:20" x14ac:dyDescent="0.3">
      <c r="A858" s="2">
        <v>857</v>
      </c>
      <c r="B858" s="2" t="s">
        <v>23</v>
      </c>
      <c r="C858" s="2">
        <v>54</v>
      </c>
      <c r="D858" s="2" t="s">
        <v>16</v>
      </c>
      <c r="E858" s="2">
        <v>67.5</v>
      </c>
      <c r="F858" s="2">
        <v>1.54</v>
      </c>
      <c r="G858" s="2">
        <v>182</v>
      </c>
      <c r="H858" s="2">
        <v>140</v>
      </c>
      <c r="I858" s="2">
        <v>50</v>
      </c>
      <c r="J858" s="2">
        <v>0.72</v>
      </c>
      <c r="K858" s="2">
        <v>454</v>
      </c>
      <c r="L858" s="2" t="s">
        <v>19</v>
      </c>
      <c r="M858" s="2">
        <v>25.2</v>
      </c>
      <c r="N858" s="2">
        <v>1.5</v>
      </c>
      <c r="O858" s="2">
        <v>3</v>
      </c>
      <c r="P858" s="2">
        <v>1</v>
      </c>
      <c r="Q858" s="2">
        <v>28.46</v>
      </c>
      <c r="R858" s="2" t="str" cm="1">
        <f t="array" ref="R858">_xlfn.IFS(Q858&lt;18.5,"Underweight",
AND(Q858&gt;=18.5,Q858&lt;25),"Normal Weight",
AND(Q858&gt;=25,Q858&lt;30),"Overweight",
Q858&gt;=30,"Obesity")</f>
        <v>Overweight</v>
      </c>
      <c r="S858" s="2">
        <f t="shared" si="13"/>
        <v>630.55555555555554</v>
      </c>
      <c r="T858" s="2" t="str" cm="1">
        <f t="array" ref="T858">_xlfn.IFS(N858&lt;=2.5,"Low",N858&lt;=3,"Medium",N858&gt;3,"High")</f>
        <v>Low</v>
      </c>
    </row>
    <row r="859" spans="1:20" x14ac:dyDescent="0.3">
      <c r="A859" s="2">
        <v>858</v>
      </c>
      <c r="B859" s="2" t="s">
        <v>27</v>
      </c>
      <c r="C859" s="2">
        <v>53</v>
      </c>
      <c r="D859" s="2" t="s">
        <v>16</v>
      </c>
      <c r="E859" s="2">
        <v>64.400000000000006</v>
      </c>
      <c r="F859" s="2">
        <v>1.55</v>
      </c>
      <c r="G859" s="2">
        <v>194</v>
      </c>
      <c r="H859" s="2">
        <v>139</v>
      </c>
      <c r="I859" s="2">
        <v>62</v>
      </c>
      <c r="J859" s="2">
        <v>1.77</v>
      </c>
      <c r="K859" s="2">
        <v>1107</v>
      </c>
      <c r="L859" s="2" t="s">
        <v>18</v>
      </c>
      <c r="M859" s="2">
        <v>19.7</v>
      </c>
      <c r="N859" s="2">
        <v>2.7</v>
      </c>
      <c r="O859" s="2">
        <v>4</v>
      </c>
      <c r="P859" s="2">
        <v>3</v>
      </c>
      <c r="Q859" s="2">
        <v>26.81</v>
      </c>
      <c r="R859" s="2" t="str" cm="1">
        <f t="array" ref="R859">_xlfn.IFS(Q859&lt;18.5,"Underweight",
AND(Q859&gt;=18.5,Q859&lt;25),"Normal Weight",
AND(Q859&gt;=25,Q859&lt;30),"Overweight",
Q859&gt;=30,"Obesity")</f>
        <v>Overweight</v>
      </c>
      <c r="S859" s="2">
        <f t="shared" si="13"/>
        <v>625.42372881355936</v>
      </c>
      <c r="T859" s="2" t="str" cm="1">
        <f t="array" ref="T859">_xlfn.IFS(N859&lt;=2.5,"Low",N859&lt;=3,"Medium",N859&gt;3,"High")</f>
        <v>Medium</v>
      </c>
    </row>
    <row r="860" spans="1:20" x14ac:dyDescent="0.3">
      <c r="A860" s="2">
        <v>859</v>
      </c>
      <c r="B860" s="2" t="s">
        <v>26</v>
      </c>
      <c r="C860" s="2">
        <v>41</v>
      </c>
      <c r="D860" s="2" t="s">
        <v>16</v>
      </c>
      <c r="E860" s="2">
        <v>64.900000000000006</v>
      </c>
      <c r="F860" s="2">
        <v>1.57</v>
      </c>
      <c r="G860" s="2">
        <v>166</v>
      </c>
      <c r="H860" s="2">
        <v>123</v>
      </c>
      <c r="I860" s="2">
        <v>53</v>
      </c>
      <c r="J860" s="2">
        <v>1.04</v>
      </c>
      <c r="K860" s="2">
        <v>576</v>
      </c>
      <c r="L860" s="2" t="s">
        <v>18</v>
      </c>
      <c r="M860" s="2">
        <v>25.9</v>
      </c>
      <c r="N860" s="2">
        <v>2.4</v>
      </c>
      <c r="O860" s="2">
        <v>4</v>
      </c>
      <c r="P860" s="2">
        <v>2</v>
      </c>
      <c r="Q860" s="2">
        <v>26.33</v>
      </c>
      <c r="R860" s="2" t="str" cm="1">
        <f t="array" ref="R860">_xlfn.IFS(Q860&lt;18.5,"Underweight",
AND(Q860&gt;=18.5,Q860&lt;25),"Normal Weight",
AND(Q860&gt;=25,Q860&lt;30),"Overweight",
Q860&gt;=30,"Obesity")</f>
        <v>Overweight</v>
      </c>
      <c r="S860" s="2">
        <f t="shared" si="13"/>
        <v>553.84615384615381</v>
      </c>
      <c r="T860" s="2" t="str" cm="1">
        <f t="array" ref="T860">_xlfn.IFS(N860&lt;=2.5,"Low",N860&lt;=3,"Medium",N860&gt;3,"High")</f>
        <v>Low</v>
      </c>
    </row>
    <row r="861" spans="1:20" x14ac:dyDescent="0.3">
      <c r="A861" s="2">
        <v>860</v>
      </c>
      <c r="B861" s="2" t="s">
        <v>30</v>
      </c>
      <c r="C861" s="2">
        <v>48</v>
      </c>
      <c r="D861" s="2" t="s">
        <v>16</v>
      </c>
      <c r="E861" s="2">
        <v>52.3</v>
      </c>
      <c r="F861" s="2">
        <v>1.66</v>
      </c>
      <c r="G861" s="2">
        <v>174</v>
      </c>
      <c r="H861" s="2">
        <v>130</v>
      </c>
      <c r="I861" s="2">
        <v>71</v>
      </c>
      <c r="J861" s="2">
        <v>0.74</v>
      </c>
      <c r="K861" s="2">
        <v>433</v>
      </c>
      <c r="L861" s="2" t="s">
        <v>17</v>
      </c>
      <c r="M861" s="2">
        <v>33</v>
      </c>
      <c r="N861" s="2">
        <v>1.8</v>
      </c>
      <c r="O861" s="2">
        <v>3</v>
      </c>
      <c r="P861" s="2">
        <v>1</v>
      </c>
      <c r="Q861" s="2">
        <v>18.98</v>
      </c>
      <c r="R861" s="2" t="str" cm="1">
        <f t="array" ref="R861">_xlfn.IFS(Q861&lt;18.5,"Underweight",
AND(Q861&gt;=18.5,Q861&lt;25),"Normal Weight",
AND(Q861&gt;=25,Q861&lt;30),"Overweight",
Q861&gt;=30,"Obesity")</f>
        <v>Normal Weight</v>
      </c>
      <c r="S861" s="2">
        <f t="shared" si="13"/>
        <v>585.1351351351351</v>
      </c>
      <c r="T861" s="2" t="str" cm="1">
        <f t="array" ref="T861">_xlfn.IFS(N861&lt;=2.5,"Low",N861&lt;=3,"Medium",N861&gt;3,"High")</f>
        <v>Low</v>
      </c>
    </row>
    <row r="862" spans="1:20" x14ac:dyDescent="0.3">
      <c r="A862" s="2">
        <v>861</v>
      </c>
      <c r="B862" s="2" t="s">
        <v>28</v>
      </c>
      <c r="C862" s="2">
        <v>23</v>
      </c>
      <c r="D862" s="2" t="s">
        <v>16</v>
      </c>
      <c r="E862" s="2">
        <v>56.7</v>
      </c>
      <c r="F862" s="2">
        <v>1.55</v>
      </c>
      <c r="G862" s="2">
        <v>179</v>
      </c>
      <c r="H862" s="2">
        <v>132</v>
      </c>
      <c r="I862" s="2">
        <v>73</v>
      </c>
      <c r="J862" s="2">
        <v>1.38</v>
      </c>
      <c r="K862" s="2">
        <v>911</v>
      </c>
      <c r="L862" s="2" t="s">
        <v>19</v>
      </c>
      <c r="M862" s="2">
        <v>34</v>
      </c>
      <c r="N862" s="2">
        <v>1.9</v>
      </c>
      <c r="O862" s="2">
        <v>4</v>
      </c>
      <c r="P862" s="2">
        <v>2</v>
      </c>
      <c r="Q862" s="2">
        <v>23.6</v>
      </c>
      <c r="R862" s="2" t="str" cm="1">
        <f t="array" ref="R862">_xlfn.IFS(Q862&lt;18.5,"Underweight",
AND(Q862&gt;=18.5,Q862&lt;25),"Normal Weight",
AND(Q862&gt;=25,Q862&lt;30),"Overweight",
Q862&gt;=30,"Obesity")</f>
        <v>Normal Weight</v>
      </c>
      <c r="S862" s="2">
        <f t="shared" si="13"/>
        <v>660.14492753623199</v>
      </c>
      <c r="T862" s="2" t="str" cm="1">
        <f t="array" ref="T862">_xlfn.IFS(N862&lt;=2.5,"Low",N862&lt;=3,"Medium",N862&gt;3,"High")</f>
        <v>Low</v>
      </c>
    </row>
    <row r="863" spans="1:20" x14ac:dyDescent="0.3">
      <c r="A863" s="2">
        <v>862</v>
      </c>
      <c r="B863" s="2" t="s">
        <v>23</v>
      </c>
      <c r="C863" s="2">
        <v>19</v>
      </c>
      <c r="D863" s="2" t="s">
        <v>16</v>
      </c>
      <c r="E863" s="2">
        <v>46.8</v>
      </c>
      <c r="F863" s="2">
        <v>1.63</v>
      </c>
      <c r="G863" s="2">
        <v>184</v>
      </c>
      <c r="H863" s="2">
        <v>128</v>
      </c>
      <c r="I863" s="2">
        <v>63</v>
      </c>
      <c r="J863" s="2">
        <v>1.35</v>
      </c>
      <c r="K863" s="2">
        <v>864</v>
      </c>
      <c r="L863" s="2" t="s">
        <v>18</v>
      </c>
      <c r="M863" s="2">
        <v>34.4</v>
      </c>
      <c r="N863" s="2">
        <v>1.6</v>
      </c>
      <c r="O863" s="2">
        <v>4</v>
      </c>
      <c r="P863" s="2">
        <v>2</v>
      </c>
      <c r="Q863" s="2">
        <v>17.61</v>
      </c>
      <c r="R863" s="2" t="str" cm="1">
        <f t="array" ref="R863">_xlfn.IFS(Q863&lt;18.5,"Underweight",
AND(Q863&gt;=18.5,Q863&lt;25),"Normal Weight",
AND(Q863&gt;=25,Q863&lt;30),"Overweight",
Q863&gt;=30,"Obesity")</f>
        <v>Underweight</v>
      </c>
      <c r="S863" s="2">
        <f t="shared" si="13"/>
        <v>640</v>
      </c>
      <c r="T863" s="2" t="str" cm="1">
        <f t="array" ref="T863">_xlfn.IFS(N863&lt;=2.5,"Low",N863&lt;=3,"Medium",N863&gt;3,"High")</f>
        <v>Low</v>
      </c>
    </row>
    <row r="864" spans="1:20" x14ac:dyDescent="0.3">
      <c r="A864" s="2">
        <v>863</v>
      </c>
      <c r="B864" s="2" t="s">
        <v>25</v>
      </c>
      <c r="C864" s="2">
        <v>37</v>
      </c>
      <c r="D864" s="2" t="s">
        <v>16</v>
      </c>
      <c r="E864" s="2">
        <v>70.3</v>
      </c>
      <c r="F864" s="2">
        <v>1.77</v>
      </c>
      <c r="G864" s="2">
        <v>162</v>
      </c>
      <c r="H864" s="2">
        <v>123</v>
      </c>
      <c r="I864" s="2">
        <v>52</v>
      </c>
      <c r="J864" s="2">
        <v>1.01</v>
      </c>
      <c r="K864" s="2">
        <v>621</v>
      </c>
      <c r="L864" s="2" t="s">
        <v>20</v>
      </c>
      <c r="M864" s="2">
        <v>33.700000000000003</v>
      </c>
      <c r="N864" s="2">
        <v>1.7</v>
      </c>
      <c r="O864" s="2">
        <v>2</v>
      </c>
      <c r="P864" s="2">
        <v>1</v>
      </c>
      <c r="Q864" s="2">
        <v>22.44</v>
      </c>
      <c r="R864" s="2" t="str" cm="1">
        <f t="array" ref="R864">_xlfn.IFS(Q864&lt;18.5,"Underweight",
AND(Q864&gt;=18.5,Q864&lt;25),"Normal Weight",
AND(Q864&gt;=25,Q864&lt;30),"Overweight",
Q864&gt;=30,"Obesity")</f>
        <v>Normal Weight</v>
      </c>
      <c r="S864" s="2">
        <f t="shared" si="13"/>
        <v>614.85148514851483</v>
      </c>
      <c r="T864" s="2" t="str" cm="1">
        <f t="array" ref="T864">_xlfn.IFS(N864&lt;=2.5,"Low",N864&lt;=3,"Medium",N864&gt;3,"High")</f>
        <v>Low</v>
      </c>
    </row>
    <row r="865" spans="1:20" x14ac:dyDescent="0.3">
      <c r="A865" s="2">
        <v>864</v>
      </c>
      <c r="B865" s="2" t="s">
        <v>26</v>
      </c>
      <c r="C865" s="2">
        <v>45</v>
      </c>
      <c r="D865" s="2" t="s">
        <v>15</v>
      </c>
      <c r="E865" s="2">
        <v>80.8</v>
      </c>
      <c r="F865" s="2">
        <v>1.76</v>
      </c>
      <c r="G865" s="2">
        <v>183</v>
      </c>
      <c r="H865" s="2">
        <v>131</v>
      </c>
      <c r="I865" s="2">
        <v>54</v>
      </c>
      <c r="J865" s="2">
        <v>1.7</v>
      </c>
      <c r="K865" s="2">
        <v>1102</v>
      </c>
      <c r="L865" s="2" t="s">
        <v>17</v>
      </c>
      <c r="M865" s="2">
        <v>11.4</v>
      </c>
      <c r="N865" s="2">
        <v>3.5</v>
      </c>
      <c r="O865" s="2">
        <v>4</v>
      </c>
      <c r="P865" s="2">
        <v>3</v>
      </c>
      <c r="Q865" s="2">
        <v>26.08</v>
      </c>
      <c r="R865" s="2" t="str" cm="1">
        <f t="array" ref="R865">_xlfn.IFS(Q865&lt;18.5,"Underweight",
AND(Q865&gt;=18.5,Q865&lt;25),"Normal Weight",
AND(Q865&gt;=25,Q865&lt;30),"Overweight",
Q865&gt;=30,"Obesity")</f>
        <v>Overweight</v>
      </c>
      <c r="S865" s="2">
        <f t="shared" si="13"/>
        <v>648.23529411764707</v>
      </c>
      <c r="T865" s="2" t="str" cm="1">
        <f t="array" ref="T865">_xlfn.IFS(N865&lt;=2.5,"Low",N865&lt;=3,"Medium",N865&gt;3,"High")</f>
        <v>High</v>
      </c>
    </row>
    <row r="866" spans="1:20" x14ac:dyDescent="0.3">
      <c r="A866" s="2">
        <v>865</v>
      </c>
      <c r="B866" s="2" t="s">
        <v>24</v>
      </c>
      <c r="C866" s="2">
        <v>28</v>
      </c>
      <c r="D866" s="2" t="s">
        <v>16</v>
      </c>
      <c r="E866" s="2">
        <v>56</v>
      </c>
      <c r="F866" s="2">
        <v>1.5</v>
      </c>
      <c r="G866" s="2">
        <v>193</v>
      </c>
      <c r="H866" s="2">
        <v>128</v>
      </c>
      <c r="I866" s="2">
        <v>56</v>
      </c>
      <c r="J866" s="2">
        <v>1.94</v>
      </c>
      <c r="K866" s="2">
        <v>1242</v>
      </c>
      <c r="L866" s="2" t="s">
        <v>20</v>
      </c>
      <c r="M866" s="2">
        <v>16.7</v>
      </c>
      <c r="N866" s="2">
        <v>2.7</v>
      </c>
      <c r="O866" s="2">
        <v>5</v>
      </c>
      <c r="P866" s="2">
        <v>3</v>
      </c>
      <c r="Q866" s="2">
        <v>24.89</v>
      </c>
      <c r="R866" s="2" t="str" cm="1">
        <f t="array" ref="R866">_xlfn.IFS(Q866&lt;18.5,"Underweight",
AND(Q866&gt;=18.5,Q866&lt;25),"Normal Weight",
AND(Q866&gt;=25,Q866&lt;30),"Overweight",
Q866&gt;=30,"Obesity")</f>
        <v>Normal Weight</v>
      </c>
      <c r="S866" s="2">
        <f t="shared" si="13"/>
        <v>640.20618556701038</v>
      </c>
      <c r="T866" s="2" t="str" cm="1">
        <f t="array" ref="T866">_xlfn.IFS(N866&lt;=2.5,"Low",N866&lt;=3,"Medium",N866&gt;3,"High")</f>
        <v>Medium</v>
      </c>
    </row>
    <row r="867" spans="1:20" x14ac:dyDescent="0.3">
      <c r="A867" s="2">
        <v>866</v>
      </c>
      <c r="B867" s="2" t="s">
        <v>27</v>
      </c>
      <c r="C867" s="2">
        <v>21</v>
      </c>
      <c r="D867" s="2" t="s">
        <v>15</v>
      </c>
      <c r="E867" s="2">
        <v>101.2</v>
      </c>
      <c r="F867" s="2">
        <v>1.84</v>
      </c>
      <c r="G867" s="2">
        <v>181</v>
      </c>
      <c r="H867" s="2">
        <v>132</v>
      </c>
      <c r="I867" s="2">
        <v>50</v>
      </c>
      <c r="J867" s="2">
        <v>1.3</v>
      </c>
      <c r="K867" s="2">
        <v>944</v>
      </c>
      <c r="L867" s="2" t="s">
        <v>17</v>
      </c>
      <c r="M867" s="2">
        <v>24.3</v>
      </c>
      <c r="N867" s="2">
        <v>3.3</v>
      </c>
      <c r="O867" s="2">
        <v>2</v>
      </c>
      <c r="P867" s="2">
        <v>1</v>
      </c>
      <c r="Q867" s="2">
        <v>29.89</v>
      </c>
      <c r="R867" s="2" t="str" cm="1">
        <f t="array" ref="R867">_xlfn.IFS(Q867&lt;18.5,"Underweight",
AND(Q867&gt;=18.5,Q867&lt;25),"Normal Weight",
AND(Q867&gt;=25,Q867&lt;30),"Overweight",
Q867&gt;=30,"Obesity")</f>
        <v>Overweight</v>
      </c>
      <c r="S867" s="2">
        <f t="shared" si="13"/>
        <v>726.15384615384608</v>
      </c>
      <c r="T867" s="2" t="str" cm="1">
        <f t="array" ref="T867">_xlfn.IFS(N867&lt;=2.5,"Low",N867&lt;=3,"Medium",N867&gt;3,"High")</f>
        <v>High</v>
      </c>
    </row>
    <row r="868" spans="1:20" x14ac:dyDescent="0.3">
      <c r="A868" s="2">
        <v>867</v>
      </c>
      <c r="B868" s="2" t="s">
        <v>25</v>
      </c>
      <c r="C868" s="2">
        <v>32</v>
      </c>
      <c r="D868" s="2" t="s">
        <v>16</v>
      </c>
      <c r="E868" s="2">
        <v>56.6</v>
      </c>
      <c r="F868" s="2">
        <v>1.57</v>
      </c>
      <c r="G868" s="2">
        <v>170</v>
      </c>
      <c r="H868" s="2">
        <v>167</v>
      </c>
      <c r="I868" s="2">
        <v>72</v>
      </c>
      <c r="J868" s="2">
        <v>1.65</v>
      </c>
      <c r="K868" s="2">
        <v>1378</v>
      </c>
      <c r="L868" s="2" t="s">
        <v>18</v>
      </c>
      <c r="M868" s="2">
        <v>15.7</v>
      </c>
      <c r="N868" s="2">
        <v>2.7</v>
      </c>
      <c r="O868" s="2">
        <v>4</v>
      </c>
      <c r="P868" s="2">
        <v>3</v>
      </c>
      <c r="Q868" s="2">
        <v>22.96</v>
      </c>
      <c r="R868" s="2" t="str" cm="1">
        <f t="array" ref="R868">_xlfn.IFS(Q868&lt;18.5,"Underweight",
AND(Q868&gt;=18.5,Q868&lt;25),"Normal Weight",
AND(Q868&gt;=25,Q868&lt;30),"Overweight",
Q868&gt;=30,"Obesity")</f>
        <v>Normal Weight</v>
      </c>
      <c r="S868" s="2">
        <f t="shared" si="13"/>
        <v>835.15151515151524</v>
      </c>
      <c r="T868" s="2" t="str" cm="1">
        <f t="array" ref="T868">_xlfn.IFS(N868&lt;=2.5,"Low",N868&lt;=3,"Medium",N868&gt;3,"High")</f>
        <v>Medium</v>
      </c>
    </row>
    <row r="869" spans="1:20" x14ac:dyDescent="0.3">
      <c r="A869" s="2">
        <v>868</v>
      </c>
      <c r="B869" s="2" t="s">
        <v>27</v>
      </c>
      <c r="C869" s="2">
        <v>23</v>
      </c>
      <c r="D869" s="2" t="s">
        <v>16</v>
      </c>
      <c r="E869" s="2">
        <v>40.9</v>
      </c>
      <c r="F869" s="2">
        <v>1.75</v>
      </c>
      <c r="G869" s="2">
        <v>167</v>
      </c>
      <c r="H869" s="2">
        <v>145</v>
      </c>
      <c r="I869" s="2">
        <v>61</v>
      </c>
      <c r="J869" s="2">
        <v>0.82</v>
      </c>
      <c r="K869" s="2">
        <v>594</v>
      </c>
      <c r="L869" s="2" t="s">
        <v>17</v>
      </c>
      <c r="M869" s="2">
        <v>25.2</v>
      </c>
      <c r="N869" s="2">
        <v>2.1</v>
      </c>
      <c r="O869" s="2">
        <v>3</v>
      </c>
      <c r="P869" s="2">
        <v>1</v>
      </c>
      <c r="Q869" s="2">
        <v>13.36</v>
      </c>
      <c r="R869" s="2" t="str" cm="1">
        <f t="array" ref="R869">_xlfn.IFS(Q869&lt;18.5,"Underweight",
AND(Q869&gt;=18.5,Q869&lt;25),"Normal Weight",
AND(Q869&gt;=25,Q869&lt;30),"Overweight",
Q869&gt;=30,"Obesity")</f>
        <v>Underweight</v>
      </c>
      <c r="S869" s="2">
        <f t="shared" si="13"/>
        <v>724.39024390243912</v>
      </c>
      <c r="T869" s="2" t="str" cm="1">
        <f t="array" ref="T869">_xlfn.IFS(N869&lt;=2.5,"Low",N869&lt;=3,"Medium",N869&gt;3,"High")</f>
        <v>Low</v>
      </c>
    </row>
    <row r="870" spans="1:20" x14ac:dyDescent="0.3">
      <c r="A870" s="2">
        <v>869</v>
      </c>
      <c r="B870" s="2" t="s">
        <v>22</v>
      </c>
      <c r="C870" s="2">
        <v>47</v>
      </c>
      <c r="D870" s="2" t="s">
        <v>15</v>
      </c>
      <c r="E870" s="2">
        <v>127.8</v>
      </c>
      <c r="F870" s="2">
        <v>1.65</v>
      </c>
      <c r="G870" s="2">
        <v>198</v>
      </c>
      <c r="H870" s="2">
        <v>157</v>
      </c>
      <c r="I870" s="2">
        <v>60</v>
      </c>
      <c r="J870" s="2">
        <v>0.77</v>
      </c>
      <c r="K870" s="2">
        <v>598</v>
      </c>
      <c r="L870" s="2" t="s">
        <v>19</v>
      </c>
      <c r="M870" s="2">
        <v>28.7</v>
      </c>
      <c r="N870" s="2">
        <v>3.5</v>
      </c>
      <c r="O870" s="2">
        <v>2</v>
      </c>
      <c r="P870" s="2">
        <v>1</v>
      </c>
      <c r="Q870" s="2">
        <v>46.94</v>
      </c>
      <c r="R870" s="2" t="str" cm="1">
        <f t="array" ref="R870">_xlfn.IFS(Q870&lt;18.5,"Underweight",
AND(Q870&gt;=18.5,Q870&lt;25),"Normal Weight",
AND(Q870&gt;=25,Q870&lt;30),"Overweight",
Q870&gt;=30,"Obesity")</f>
        <v>Obesity</v>
      </c>
      <c r="S870" s="2">
        <f t="shared" si="13"/>
        <v>776.62337662337666</v>
      </c>
      <c r="T870" s="2" t="str" cm="1">
        <f t="array" ref="T870">_xlfn.IFS(N870&lt;=2.5,"Low",N870&lt;=3,"Medium",N870&gt;3,"High")</f>
        <v>High</v>
      </c>
    </row>
    <row r="871" spans="1:20" x14ac:dyDescent="0.3">
      <c r="A871" s="2">
        <v>870</v>
      </c>
      <c r="B871" s="2" t="s">
        <v>26</v>
      </c>
      <c r="C871" s="2">
        <v>55</v>
      </c>
      <c r="D871" s="2" t="s">
        <v>16</v>
      </c>
      <c r="E871" s="2">
        <v>49.3</v>
      </c>
      <c r="F871" s="2">
        <v>1.76</v>
      </c>
      <c r="G871" s="2">
        <v>194</v>
      </c>
      <c r="H871" s="2">
        <v>161</v>
      </c>
      <c r="I871" s="2">
        <v>73</v>
      </c>
      <c r="J871" s="2">
        <v>1.28</v>
      </c>
      <c r="K871" s="2">
        <v>927</v>
      </c>
      <c r="L871" s="2" t="s">
        <v>20</v>
      </c>
      <c r="M871" s="2">
        <v>30.5</v>
      </c>
      <c r="N871" s="2">
        <v>2</v>
      </c>
      <c r="O871" s="2">
        <v>2</v>
      </c>
      <c r="P871" s="2">
        <v>1</v>
      </c>
      <c r="Q871" s="2">
        <v>15.92</v>
      </c>
      <c r="R871" s="2" t="str" cm="1">
        <f t="array" ref="R871">_xlfn.IFS(Q871&lt;18.5,"Underweight",
AND(Q871&gt;=18.5,Q871&lt;25),"Normal Weight",
AND(Q871&gt;=25,Q871&lt;30),"Overweight",
Q871&gt;=30,"Obesity")</f>
        <v>Underweight</v>
      </c>
      <c r="S871" s="2">
        <f t="shared" si="13"/>
        <v>724.21875</v>
      </c>
      <c r="T871" s="2" t="str" cm="1">
        <f t="array" ref="T871">_xlfn.IFS(N871&lt;=2.5,"Low",N871&lt;=3,"Medium",N871&gt;3,"High")</f>
        <v>Low</v>
      </c>
    </row>
    <row r="872" spans="1:20" x14ac:dyDescent="0.3">
      <c r="A872" s="2">
        <v>871</v>
      </c>
      <c r="B872" s="2" t="s">
        <v>22</v>
      </c>
      <c r="C872" s="2">
        <v>19</v>
      </c>
      <c r="D872" s="2" t="s">
        <v>16</v>
      </c>
      <c r="E872" s="2">
        <v>64.3</v>
      </c>
      <c r="F872" s="2">
        <v>1.63</v>
      </c>
      <c r="G872" s="2">
        <v>197</v>
      </c>
      <c r="H872" s="2">
        <v>132</v>
      </c>
      <c r="I872" s="2">
        <v>57</v>
      </c>
      <c r="J872" s="2">
        <v>1.87</v>
      </c>
      <c r="K872" s="2">
        <v>1234</v>
      </c>
      <c r="L872" s="2" t="s">
        <v>19</v>
      </c>
      <c r="M872" s="2">
        <v>18</v>
      </c>
      <c r="N872" s="2">
        <v>2.7</v>
      </c>
      <c r="O872" s="2">
        <v>5</v>
      </c>
      <c r="P872" s="2">
        <v>3</v>
      </c>
      <c r="Q872" s="2">
        <v>24.2</v>
      </c>
      <c r="R872" s="2" t="str" cm="1">
        <f t="array" ref="R872">_xlfn.IFS(Q872&lt;18.5,"Underweight",
AND(Q872&gt;=18.5,Q872&lt;25),"Normal Weight",
AND(Q872&gt;=25,Q872&lt;30),"Overweight",
Q872&gt;=30,"Obesity")</f>
        <v>Normal Weight</v>
      </c>
      <c r="S872" s="2">
        <f t="shared" si="13"/>
        <v>659.89304812834223</v>
      </c>
      <c r="T872" s="2" t="str" cm="1">
        <f t="array" ref="T872">_xlfn.IFS(N872&lt;=2.5,"Low",N872&lt;=3,"Medium",N872&gt;3,"High")</f>
        <v>Medium</v>
      </c>
    </row>
    <row r="873" spans="1:20" x14ac:dyDescent="0.3">
      <c r="A873" s="2">
        <v>872</v>
      </c>
      <c r="B873" s="2" t="s">
        <v>29</v>
      </c>
      <c r="C873" s="2">
        <v>32</v>
      </c>
      <c r="D873" s="2" t="s">
        <v>15</v>
      </c>
      <c r="E873" s="2">
        <v>49.3</v>
      </c>
      <c r="F873" s="2">
        <v>1.62</v>
      </c>
      <c r="G873" s="2">
        <v>167</v>
      </c>
      <c r="H873" s="2">
        <v>158</v>
      </c>
      <c r="I873" s="2">
        <v>74</v>
      </c>
      <c r="J873" s="2">
        <v>1.18</v>
      </c>
      <c r="K873" s="2">
        <v>1025</v>
      </c>
      <c r="L873" s="2" t="s">
        <v>20</v>
      </c>
      <c r="M873" s="2">
        <v>29.3</v>
      </c>
      <c r="N873" s="2">
        <v>2.5</v>
      </c>
      <c r="O873" s="2">
        <v>3</v>
      </c>
      <c r="P873" s="2">
        <v>2</v>
      </c>
      <c r="Q873" s="2">
        <v>18.79</v>
      </c>
      <c r="R873" s="2" t="str" cm="1">
        <f t="array" ref="R873">_xlfn.IFS(Q873&lt;18.5,"Underweight",
AND(Q873&gt;=18.5,Q873&lt;25),"Normal Weight",
AND(Q873&gt;=25,Q873&lt;30),"Overweight",
Q873&gt;=30,"Obesity")</f>
        <v>Normal Weight</v>
      </c>
      <c r="S873" s="2">
        <f t="shared" si="13"/>
        <v>868.64406779661022</v>
      </c>
      <c r="T873" s="2" t="str" cm="1">
        <f t="array" ref="T873">_xlfn.IFS(N873&lt;=2.5,"Low",N873&lt;=3,"Medium",N873&gt;3,"High")</f>
        <v>Low</v>
      </c>
    </row>
    <row r="874" spans="1:20" x14ac:dyDescent="0.3">
      <c r="A874" s="2">
        <v>873</v>
      </c>
      <c r="B874" s="2" t="s">
        <v>22</v>
      </c>
      <c r="C874" s="2">
        <v>28</v>
      </c>
      <c r="D874" s="2" t="s">
        <v>16</v>
      </c>
      <c r="E874" s="2">
        <v>63</v>
      </c>
      <c r="F874" s="2">
        <v>1.62</v>
      </c>
      <c r="G874" s="2">
        <v>196</v>
      </c>
      <c r="H874" s="2">
        <v>147</v>
      </c>
      <c r="I874" s="2">
        <v>55</v>
      </c>
      <c r="J874" s="2">
        <v>0.68</v>
      </c>
      <c r="K874" s="2">
        <v>500</v>
      </c>
      <c r="L874" s="2" t="s">
        <v>20</v>
      </c>
      <c r="M874" s="2">
        <v>31.7</v>
      </c>
      <c r="N874" s="2">
        <v>1.9</v>
      </c>
      <c r="O874" s="2">
        <v>2</v>
      </c>
      <c r="P874" s="2">
        <v>1</v>
      </c>
      <c r="Q874" s="2">
        <v>24.01</v>
      </c>
      <c r="R874" s="2" t="str" cm="1">
        <f t="array" ref="R874">_xlfn.IFS(Q874&lt;18.5,"Underweight",
AND(Q874&gt;=18.5,Q874&lt;25),"Normal Weight",
AND(Q874&gt;=25,Q874&lt;30),"Overweight",
Q874&gt;=30,"Obesity")</f>
        <v>Normal Weight</v>
      </c>
      <c r="S874" s="2">
        <f t="shared" si="13"/>
        <v>735.29411764705878</v>
      </c>
      <c r="T874" s="2" t="str" cm="1">
        <f t="array" ref="T874">_xlfn.IFS(N874&lt;=2.5,"Low",N874&lt;=3,"Medium",N874&gt;3,"High")</f>
        <v>Low</v>
      </c>
    </row>
    <row r="875" spans="1:20" x14ac:dyDescent="0.3">
      <c r="A875" s="2">
        <v>874</v>
      </c>
      <c r="B875" s="2" t="s">
        <v>29</v>
      </c>
      <c r="C875" s="2">
        <v>25</v>
      </c>
      <c r="D875" s="2" t="s">
        <v>16</v>
      </c>
      <c r="E875" s="2">
        <v>41.1</v>
      </c>
      <c r="F875" s="2">
        <v>1.67</v>
      </c>
      <c r="G875" s="2">
        <v>186</v>
      </c>
      <c r="H875" s="2">
        <v>138</v>
      </c>
      <c r="I875" s="2">
        <v>71</v>
      </c>
      <c r="J875" s="2">
        <v>1.03</v>
      </c>
      <c r="K875" s="2">
        <v>711</v>
      </c>
      <c r="L875" s="2" t="s">
        <v>17</v>
      </c>
      <c r="M875" s="2">
        <v>31.9</v>
      </c>
      <c r="N875" s="2">
        <v>2.4</v>
      </c>
      <c r="O875" s="2">
        <v>3</v>
      </c>
      <c r="P875" s="2">
        <v>2</v>
      </c>
      <c r="Q875" s="2">
        <v>14.74</v>
      </c>
      <c r="R875" s="2" t="str" cm="1">
        <f t="array" ref="R875">_xlfn.IFS(Q875&lt;18.5,"Underweight",
AND(Q875&gt;=18.5,Q875&lt;25),"Normal Weight",
AND(Q875&gt;=25,Q875&lt;30),"Overweight",
Q875&gt;=30,"Obesity")</f>
        <v>Underweight</v>
      </c>
      <c r="S875" s="2">
        <f t="shared" si="13"/>
        <v>690.29126213592235</v>
      </c>
      <c r="T875" s="2" t="str" cm="1">
        <f t="array" ref="T875">_xlfn.IFS(N875&lt;=2.5,"Low",N875&lt;=3,"Medium",N875&gt;3,"High")</f>
        <v>Low</v>
      </c>
    </row>
    <row r="876" spans="1:20" x14ac:dyDescent="0.3">
      <c r="A876" s="2">
        <v>875</v>
      </c>
      <c r="B876" s="2" t="s">
        <v>29</v>
      </c>
      <c r="C876" s="2">
        <v>43</v>
      </c>
      <c r="D876" s="2" t="s">
        <v>16</v>
      </c>
      <c r="E876" s="2">
        <v>40.5</v>
      </c>
      <c r="F876" s="2">
        <v>1.74</v>
      </c>
      <c r="G876" s="2">
        <v>187</v>
      </c>
      <c r="H876" s="2">
        <v>143</v>
      </c>
      <c r="I876" s="2">
        <v>51</v>
      </c>
      <c r="J876" s="2">
        <v>1.5</v>
      </c>
      <c r="K876" s="2">
        <v>965</v>
      </c>
      <c r="L876" s="2" t="s">
        <v>18</v>
      </c>
      <c r="M876" s="2">
        <v>32.9</v>
      </c>
      <c r="N876" s="2">
        <v>2.2000000000000002</v>
      </c>
      <c r="O876" s="2">
        <v>3</v>
      </c>
      <c r="P876" s="2">
        <v>2</v>
      </c>
      <c r="Q876" s="2">
        <v>13.38</v>
      </c>
      <c r="R876" s="2" t="str" cm="1">
        <f t="array" ref="R876">_xlfn.IFS(Q876&lt;18.5,"Underweight",
AND(Q876&gt;=18.5,Q876&lt;25),"Normal Weight",
AND(Q876&gt;=25,Q876&lt;30),"Overweight",
Q876&gt;=30,"Obesity")</f>
        <v>Underweight</v>
      </c>
      <c r="S876" s="2">
        <f t="shared" si="13"/>
        <v>643.33333333333337</v>
      </c>
      <c r="T876" s="2" t="str" cm="1">
        <f t="array" ref="T876">_xlfn.IFS(N876&lt;=2.5,"Low",N876&lt;=3,"Medium",N876&gt;3,"High")</f>
        <v>Low</v>
      </c>
    </row>
    <row r="877" spans="1:20" x14ac:dyDescent="0.3">
      <c r="A877" s="2">
        <v>876</v>
      </c>
      <c r="B877" s="2" t="s">
        <v>25</v>
      </c>
      <c r="C877" s="2">
        <v>22</v>
      </c>
      <c r="D877" s="2" t="s">
        <v>15</v>
      </c>
      <c r="E877" s="2">
        <v>71</v>
      </c>
      <c r="F877" s="2">
        <v>1.62</v>
      </c>
      <c r="G877" s="2">
        <v>199</v>
      </c>
      <c r="H877" s="2">
        <v>138</v>
      </c>
      <c r="I877" s="2">
        <v>68</v>
      </c>
      <c r="J877" s="2">
        <v>0.91</v>
      </c>
      <c r="K877" s="2">
        <v>691</v>
      </c>
      <c r="L877" s="2" t="s">
        <v>18</v>
      </c>
      <c r="M877" s="2">
        <v>21.2</v>
      </c>
      <c r="N877" s="2">
        <v>3.5</v>
      </c>
      <c r="O877" s="2">
        <v>2</v>
      </c>
      <c r="P877" s="2">
        <v>1</v>
      </c>
      <c r="Q877" s="2">
        <v>27.05</v>
      </c>
      <c r="R877" s="2" t="str" cm="1">
        <f t="array" ref="R877">_xlfn.IFS(Q877&lt;18.5,"Underweight",
AND(Q877&gt;=18.5,Q877&lt;25),"Normal Weight",
AND(Q877&gt;=25,Q877&lt;30),"Overweight",
Q877&gt;=30,"Obesity")</f>
        <v>Overweight</v>
      </c>
      <c r="S877" s="2">
        <f t="shared" si="13"/>
        <v>759.34065934065927</v>
      </c>
      <c r="T877" s="2" t="str" cm="1">
        <f t="array" ref="T877">_xlfn.IFS(N877&lt;=2.5,"Low",N877&lt;=3,"Medium",N877&gt;3,"High")</f>
        <v>High</v>
      </c>
    </row>
    <row r="878" spans="1:20" x14ac:dyDescent="0.3">
      <c r="A878" s="2">
        <v>877</v>
      </c>
      <c r="B878" s="2" t="s">
        <v>27</v>
      </c>
      <c r="C878" s="2">
        <v>23</v>
      </c>
      <c r="D878" s="2" t="s">
        <v>16</v>
      </c>
      <c r="E878" s="2">
        <v>60.9</v>
      </c>
      <c r="F878" s="2">
        <v>1.62</v>
      </c>
      <c r="G878" s="2">
        <v>193</v>
      </c>
      <c r="H878" s="2">
        <v>168</v>
      </c>
      <c r="I878" s="2">
        <v>69</v>
      </c>
      <c r="J878" s="2">
        <v>1.59</v>
      </c>
      <c r="K878" s="2">
        <v>1336</v>
      </c>
      <c r="L878" s="2" t="s">
        <v>19</v>
      </c>
      <c r="M878" s="2">
        <v>16.8</v>
      </c>
      <c r="N878" s="2">
        <v>2.7</v>
      </c>
      <c r="O878" s="2">
        <v>5</v>
      </c>
      <c r="P878" s="2">
        <v>3</v>
      </c>
      <c r="Q878" s="2">
        <v>23.21</v>
      </c>
      <c r="R878" s="2" t="str" cm="1">
        <f t="array" ref="R878">_xlfn.IFS(Q878&lt;18.5,"Underweight",
AND(Q878&gt;=18.5,Q878&lt;25),"Normal Weight",
AND(Q878&gt;=25,Q878&lt;30),"Overweight",
Q878&gt;=30,"Obesity")</f>
        <v>Normal Weight</v>
      </c>
      <c r="S878" s="2">
        <f t="shared" si="13"/>
        <v>840.25157232704396</v>
      </c>
      <c r="T878" s="2" t="str" cm="1">
        <f t="array" ref="T878">_xlfn.IFS(N878&lt;=2.5,"Low",N878&lt;=3,"Medium",N878&gt;3,"High")</f>
        <v>Medium</v>
      </c>
    </row>
    <row r="879" spans="1:20" x14ac:dyDescent="0.3">
      <c r="A879" s="2">
        <v>878</v>
      </c>
      <c r="B879" s="2" t="s">
        <v>24</v>
      </c>
      <c r="C879" s="2">
        <v>43</v>
      </c>
      <c r="D879" s="2" t="s">
        <v>16</v>
      </c>
      <c r="E879" s="2">
        <v>64.7</v>
      </c>
      <c r="F879" s="2">
        <v>1.66</v>
      </c>
      <c r="G879" s="2">
        <v>191</v>
      </c>
      <c r="H879" s="2">
        <v>132</v>
      </c>
      <c r="I879" s="2">
        <v>69</v>
      </c>
      <c r="J879" s="2">
        <v>1.88</v>
      </c>
      <c r="K879" s="2">
        <v>1117</v>
      </c>
      <c r="L879" s="2" t="s">
        <v>17</v>
      </c>
      <c r="M879" s="2">
        <v>19.8</v>
      </c>
      <c r="N879" s="2">
        <v>2.7</v>
      </c>
      <c r="O879" s="2">
        <v>4</v>
      </c>
      <c r="P879" s="2">
        <v>3</v>
      </c>
      <c r="Q879" s="2">
        <v>23.48</v>
      </c>
      <c r="R879" s="2" t="str" cm="1">
        <f t="array" ref="R879">_xlfn.IFS(Q879&lt;18.5,"Underweight",
AND(Q879&gt;=18.5,Q879&lt;25),"Normal Weight",
AND(Q879&gt;=25,Q879&lt;30),"Overweight",
Q879&gt;=30,"Obesity")</f>
        <v>Normal Weight</v>
      </c>
      <c r="S879" s="2">
        <f t="shared" si="13"/>
        <v>594.14893617021278</v>
      </c>
      <c r="T879" s="2" t="str" cm="1">
        <f t="array" ref="T879">_xlfn.IFS(N879&lt;=2.5,"Low",N879&lt;=3,"Medium",N879&gt;3,"High")</f>
        <v>Medium</v>
      </c>
    </row>
    <row r="880" spans="1:20" x14ac:dyDescent="0.3">
      <c r="A880" s="2">
        <v>879</v>
      </c>
      <c r="B880" s="2" t="s">
        <v>22</v>
      </c>
      <c r="C880" s="2">
        <v>21</v>
      </c>
      <c r="D880" s="2" t="s">
        <v>16</v>
      </c>
      <c r="E880" s="2">
        <v>51</v>
      </c>
      <c r="F880" s="2">
        <v>1.71</v>
      </c>
      <c r="G880" s="2">
        <v>174</v>
      </c>
      <c r="H880" s="2">
        <v>132</v>
      </c>
      <c r="I880" s="2">
        <v>73</v>
      </c>
      <c r="J880" s="2">
        <v>1.07</v>
      </c>
      <c r="K880" s="2">
        <v>706</v>
      </c>
      <c r="L880" s="2" t="s">
        <v>18</v>
      </c>
      <c r="M880" s="2">
        <v>34.200000000000003</v>
      </c>
      <c r="N880" s="2">
        <v>2.2000000000000002</v>
      </c>
      <c r="O880" s="2">
        <v>3</v>
      </c>
      <c r="P880" s="2">
        <v>2</v>
      </c>
      <c r="Q880" s="2">
        <v>17.440000000000001</v>
      </c>
      <c r="R880" s="2" t="str" cm="1">
        <f t="array" ref="R880">_xlfn.IFS(Q880&lt;18.5,"Underweight",
AND(Q880&gt;=18.5,Q880&lt;25),"Normal Weight",
AND(Q880&gt;=25,Q880&lt;30),"Overweight",
Q880&gt;=30,"Obesity")</f>
        <v>Underweight</v>
      </c>
      <c r="S880" s="2">
        <f t="shared" si="13"/>
        <v>659.81308411214945</v>
      </c>
      <c r="T880" s="2" t="str" cm="1">
        <f t="array" ref="T880">_xlfn.IFS(N880&lt;=2.5,"Low",N880&lt;=3,"Medium",N880&gt;3,"High")</f>
        <v>Low</v>
      </c>
    </row>
    <row r="881" spans="1:20" x14ac:dyDescent="0.3">
      <c r="A881" s="2">
        <v>880</v>
      </c>
      <c r="B881" s="2" t="s">
        <v>26</v>
      </c>
      <c r="C881" s="2">
        <v>36</v>
      </c>
      <c r="D881" s="2" t="s">
        <v>16</v>
      </c>
      <c r="E881" s="2">
        <v>57.7</v>
      </c>
      <c r="F881" s="2">
        <v>1.77</v>
      </c>
      <c r="G881" s="2">
        <v>176</v>
      </c>
      <c r="H881" s="2">
        <v>147</v>
      </c>
      <c r="I881" s="2">
        <v>63</v>
      </c>
      <c r="J881" s="2">
        <v>1.65</v>
      </c>
      <c r="K881" s="2">
        <v>1213</v>
      </c>
      <c r="L881" s="2" t="s">
        <v>20</v>
      </c>
      <c r="M881" s="2">
        <v>19.399999999999999</v>
      </c>
      <c r="N881" s="2">
        <v>2.7</v>
      </c>
      <c r="O881" s="2">
        <v>4</v>
      </c>
      <c r="P881" s="2">
        <v>3</v>
      </c>
      <c r="Q881" s="2">
        <v>18.420000000000002</v>
      </c>
      <c r="R881" s="2" t="str" cm="1">
        <f t="array" ref="R881">_xlfn.IFS(Q881&lt;18.5,"Underweight",
AND(Q881&gt;=18.5,Q881&lt;25),"Normal Weight",
AND(Q881&gt;=25,Q881&lt;30),"Overweight",
Q881&gt;=30,"Obesity")</f>
        <v>Underweight</v>
      </c>
      <c r="S881" s="2">
        <f t="shared" si="13"/>
        <v>735.15151515151524</v>
      </c>
      <c r="T881" s="2" t="str" cm="1">
        <f t="array" ref="T881">_xlfn.IFS(N881&lt;=2.5,"Low",N881&lt;=3,"Medium",N881&gt;3,"High")</f>
        <v>Medium</v>
      </c>
    </row>
    <row r="882" spans="1:20" x14ac:dyDescent="0.3">
      <c r="A882" s="2">
        <v>881</v>
      </c>
      <c r="B882" s="2" t="s">
        <v>29</v>
      </c>
      <c r="C882" s="2">
        <v>37</v>
      </c>
      <c r="D882" s="2" t="s">
        <v>15</v>
      </c>
      <c r="E882" s="2">
        <v>76.900000000000006</v>
      </c>
      <c r="F882" s="2">
        <v>1.82</v>
      </c>
      <c r="G882" s="2">
        <v>192</v>
      </c>
      <c r="H882" s="2">
        <v>121</v>
      </c>
      <c r="I882" s="2">
        <v>50</v>
      </c>
      <c r="J882" s="2">
        <v>1.49</v>
      </c>
      <c r="K882" s="2">
        <v>992</v>
      </c>
      <c r="L882" s="2" t="s">
        <v>20</v>
      </c>
      <c r="M882" s="2">
        <v>24.5</v>
      </c>
      <c r="N882" s="2">
        <v>2.8</v>
      </c>
      <c r="O882" s="2">
        <v>4</v>
      </c>
      <c r="P882" s="2">
        <v>2</v>
      </c>
      <c r="Q882" s="2">
        <v>23.22</v>
      </c>
      <c r="R882" s="2" t="str" cm="1">
        <f t="array" ref="R882">_xlfn.IFS(Q882&lt;18.5,"Underweight",
AND(Q882&gt;=18.5,Q882&lt;25),"Normal Weight",
AND(Q882&gt;=25,Q882&lt;30),"Overweight",
Q882&gt;=30,"Obesity")</f>
        <v>Normal Weight</v>
      </c>
      <c r="S882" s="2">
        <f t="shared" si="13"/>
        <v>665.77181208053696</v>
      </c>
      <c r="T882" s="2" t="str" cm="1">
        <f t="array" ref="T882">_xlfn.IFS(N882&lt;=2.5,"Low",N882&lt;=3,"Medium",N882&gt;3,"High")</f>
        <v>Medium</v>
      </c>
    </row>
    <row r="883" spans="1:20" x14ac:dyDescent="0.3">
      <c r="A883" s="2">
        <v>882</v>
      </c>
      <c r="B883" s="2" t="s">
        <v>27</v>
      </c>
      <c r="C883" s="2">
        <v>50</v>
      </c>
      <c r="D883" s="2" t="s">
        <v>15</v>
      </c>
      <c r="E883" s="2">
        <v>80.5</v>
      </c>
      <c r="F883" s="2">
        <v>1.77</v>
      </c>
      <c r="G883" s="2">
        <v>175</v>
      </c>
      <c r="H883" s="2">
        <v>129</v>
      </c>
      <c r="I883" s="2">
        <v>59</v>
      </c>
      <c r="J883" s="2">
        <v>1.85</v>
      </c>
      <c r="K883" s="2">
        <v>1181</v>
      </c>
      <c r="L883" s="2" t="s">
        <v>17</v>
      </c>
      <c r="M883" s="2">
        <v>14.3</v>
      </c>
      <c r="N883" s="2">
        <v>3.5</v>
      </c>
      <c r="O883" s="2">
        <v>4</v>
      </c>
      <c r="P883" s="2">
        <v>3</v>
      </c>
      <c r="Q883" s="2">
        <v>25.7</v>
      </c>
      <c r="R883" s="2" t="str" cm="1">
        <f t="array" ref="R883">_xlfn.IFS(Q883&lt;18.5,"Underweight",
AND(Q883&gt;=18.5,Q883&lt;25),"Normal Weight",
AND(Q883&gt;=25,Q883&lt;30),"Overweight",
Q883&gt;=30,"Obesity")</f>
        <v>Overweight</v>
      </c>
      <c r="S883" s="2">
        <f t="shared" si="13"/>
        <v>638.37837837837833</v>
      </c>
      <c r="T883" s="2" t="str" cm="1">
        <f t="array" ref="T883">_xlfn.IFS(N883&lt;=2.5,"Low",N883&lt;=3,"Medium",N883&gt;3,"High")</f>
        <v>High</v>
      </c>
    </row>
    <row r="884" spans="1:20" x14ac:dyDescent="0.3">
      <c r="A884" s="2">
        <v>883</v>
      </c>
      <c r="B884" s="2" t="s">
        <v>28</v>
      </c>
      <c r="C884" s="2">
        <v>37</v>
      </c>
      <c r="D884" s="2" t="s">
        <v>16</v>
      </c>
      <c r="E884" s="2">
        <v>73.3</v>
      </c>
      <c r="F884" s="2">
        <v>1.74</v>
      </c>
      <c r="G884" s="2">
        <v>188</v>
      </c>
      <c r="H884" s="2">
        <v>141</v>
      </c>
      <c r="I884" s="2">
        <v>65</v>
      </c>
      <c r="J884" s="2">
        <v>1.03</v>
      </c>
      <c r="K884" s="2">
        <v>726</v>
      </c>
      <c r="L884" s="2" t="s">
        <v>19</v>
      </c>
      <c r="M884" s="2">
        <v>25.5</v>
      </c>
      <c r="N884" s="2">
        <v>2.4</v>
      </c>
      <c r="O884" s="2">
        <v>3</v>
      </c>
      <c r="P884" s="2">
        <v>2</v>
      </c>
      <c r="Q884" s="2">
        <v>24.21</v>
      </c>
      <c r="R884" s="2" t="str" cm="1">
        <f t="array" ref="R884">_xlfn.IFS(Q884&lt;18.5,"Underweight",
AND(Q884&gt;=18.5,Q884&lt;25),"Normal Weight",
AND(Q884&gt;=25,Q884&lt;30),"Overweight",
Q884&gt;=30,"Obesity")</f>
        <v>Normal Weight</v>
      </c>
      <c r="S884" s="2">
        <f t="shared" si="13"/>
        <v>704.85436893203882</v>
      </c>
      <c r="T884" s="2" t="str" cm="1">
        <f t="array" ref="T884">_xlfn.IFS(N884&lt;=2.5,"Low",N884&lt;=3,"Medium",N884&gt;3,"High")</f>
        <v>Low</v>
      </c>
    </row>
    <row r="885" spans="1:20" x14ac:dyDescent="0.3">
      <c r="A885" s="2">
        <v>884</v>
      </c>
      <c r="B885" s="2" t="s">
        <v>23</v>
      </c>
      <c r="C885" s="2">
        <v>29</v>
      </c>
      <c r="D885" s="2" t="s">
        <v>16</v>
      </c>
      <c r="E885" s="2">
        <v>49</v>
      </c>
      <c r="F885" s="2">
        <v>1.57</v>
      </c>
      <c r="G885" s="2">
        <v>168</v>
      </c>
      <c r="H885" s="2">
        <v>132</v>
      </c>
      <c r="I885" s="2">
        <v>53</v>
      </c>
      <c r="J885" s="2">
        <v>1.33</v>
      </c>
      <c r="K885" s="2">
        <v>878</v>
      </c>
      <c r="L885" s="2" t="s">
        <v>17</v>
      </c>
      <c r="M885" s="2">
        <v>26.5</v>
      </c>
      <c r="N885" s="2">
        <v>2.6</v>
      </c>
      <c r="O885" s="2">
        <v>3</v>
      </c>
      <c r="P885" s="2">
        <v>2</v>
      </c>
      <c r="Q885" s="2">
        <v>19.88</v>
      </c>
      <c r="R885" s="2" t="str" cm="1">
        <f t="array" ref="R885">_xlfn.IFS(Q885&lt;18.5,"Underweight",
AND(Q885&gt;=18.5,Q885&lt;25),"Normal Weight",
AND(Q885&gt;=25,Q885&lt;30),"Overweight",
Q885&gt;=30,"Obesity")</f>
        <v>Normal Weight</v>
      </c>
      <c r="S885" s="2">
        <f t="shared" si="13"/>
        <v>660.1503759398496</v>
      </c>
      <c r="T885" s="2" t="str" cm="1">
        <f t="array" ref="T885">_xlfn.IFS(N885&lt;=2.5,"Low",N885&lt;=3,"Medium",N885&gt;3,"High")</f>
        <v>Medium</v>
      </c>
    </row>
    <row r="886" spans="1:20" x14ac:dyDescent="0.3">
      <c r="A886" s="2">
        <v>885</v>
      </c>
      <c r="B886" s="2" t="s">
        <v>25</v>
      </c>
      <c r="C886" s="2">
        <v>18</v>
      </c>
      <c r="D886" s="2" t="s">
        <v>15</v>
      </c>
      <c r="E886" s="2">
        <v>114.5</v>
      </c>
      <c r="F886" s="2">
        <v>1.97</v>
      </c>
      <c r="G886" s="2">
        <v>192</v>
      </c>
      <c r="H886" s="2">
        <v>128</v>
      </c>
      <c r="I886" s="2">
        <v>60</v>
      </c>
      <c r="J886" s="2">
        <v>1.03</v>
      </c>
      <c r="K886" s="2">
        <v>725</v>
      </c>
      <c r="L886" s="2" t="s">
        <v>19</v>
      </c>
      <c r="M886" s="2">
        <v>24.1</v>
      </c>
      <c r="N886" s="2">
        <v>2.6</v>
      </c>
      <c r="O886" s="2">
        <v>3</v>
      </c>
      <c r="P886" s="2">
        <v>1</v>
      </c>
      <c r="Q886" s="2">
        <v>29.5</v>
      </c>
      <c r="R886" s="2" t="str" cm="1">
        <f t="array" ref="R886">_xlfn.IFS(Q886&lt;18.5,"Underweight",
AND(Q886&gt;=18.5,Q886&lt;25),"Normal Weight",
AND(Q886&gt;=25,Q886&lt;30),"Overweight",
Q886&gt;=30,"Obesity")</f>
        <v>Overweight</v>
      </c>
      <c r="S886" s="2">
        <f t="shared" si="13"/>
        <v>703.88349514563106</v>
      </c>
      <c r="T886" s="2" t="str" cm="1">
        <f t="array" ref="T886">_xlfn.IFS(N886&lt;=2.5,"Low",N886&lt;=3,"Medium",N886&gt;3,"High")</f>
        <v>Medium</v>
      </c>
    </row>
    <row r="887" spans="1:20" x14ac:dyDescent="0.3">
      <c r="A887" s="2">
        <v>886</v>
      </c>
      <c r="B887" s="2" t="s">
        <v>24</v>
      </c>
      <c r="C887" s="2">
        <v>43</v>
      </c>
      <c r="D887" s="2" t="s">
        <v>15</v>
      </c>
      <c r="E887" s="2">
        <v>81</v>
      </c>
      <c r="F887" s="2">
        <v>1.78</v>
      </c>
      <c r="G887" s="2">
        <v>188</v>
      </c>
      <c r="H887" s="2">
        <v>152</v>
      </c>
      <c r="I887" s="2">
        <v>65</v>
      </c>
      <c r="J887" s="2">
        <v>1.58</v>
      </c>
      <c r="K887" s="2">
        <v>1189</v>
      </c>
      <c r="L887" s="2" t="s">
        <v>17</v>
      </c>
      <c r="M887" s="2">
        <v>12.4</v>
      </c>
      <c r="N887" s="2">
        <v>3.5</v>
      </c>
      <c r="O887" s="2">
        <v>5</v>
      </c>
      <c r="P887" s="2">
        <v>3</v>
      </c>
      <c r="Q887" s="2">
        <v>25.56</v>
      </c>
      <c r="R887" s="2" t="str" cm="1">
        <f t="array" ref="R887">_xlfn.IFS(Q887&lt;18.5,"Underweight",
AND(Q887&gt;=18.5,Q887&lt;25),"Normal Weight",
AND(Q887&gt;=25,Q887&lt;30),"Overweight",
Q887&gt;=30,"Obesity")</f>
        <v>Overweight</v>
      </c>
      <c r="S887" s="2">
        <f t="shared" si="13"/>
        <v>752.5316455696202</v>
      </c>
      <c r="T887" s="2" t="str" cm="1">
        <f t="array" ref="T887">_xlfn.IFS(N887&lt;=2.5,"Low",N887&lt;=3,"Medium",N887&gt;3,"High")</f>
        <v>High</v>
      </c>
    </row>
    <row r="888" spans="1:20" x14ac:dyDescent="0.3">
      <c r="A888" s="2">
        <v>887</v>
      </c>
      <c r="B888" s="2" t="s">
        <v>21</v>
      </c>
      <c r="C888" s="2">
        <v>31</v>
      </c>
      <c r="D888" s="2" t="s">
        <v>16</v>
      </c>
      <c r="E888" s="2">
        <v>53.5</v>
      </c>
      <c r="F888" s="2">
        <v>1.76</v>
      </c>
      <c r="G888" s="2">
        <v>172</v>
      </c>
      <c r="H888" s="2">
        <v>133</v>
      </c>
      <c r="I888" s="2">
        <v>69</v>
      </c>
      <c r="J888" s="2">
        <v>1.22</v>
      </c>
      <c r="K888" s="2">
        <v>811</v>
      </c>
      <c r="L888" s="2" t="s">
        <v>20</v>
      </c>
      <c r="M888" s="2">
        <v>27.6</v>
      </c>
      <c r="N888" s="2">
        <v>1.8</v>
      </c>
      <c r="O888" s="2">
        <v>4</v>
      </c>
      <c r="P888" s="2">
        <v>2</v>
      </c>
      <c r="Q888" s="2">
        <v>17.27</v>
      </c>
      <c r="R888" s="2" t="str" cm="1">
        <f t="array" ref="R888">_xlfn.IFS(Q888&lt;18.5,"Underweight",
AND(Q888&gt;=18.5,Q888&lt;25),"Normal Weight",
AND(Q888&gt;=25,Q888&lt;30),"Overweight",
Q888&gt;=30,"Obesity")</f>
        <v>Underweight</v>
      </c>
      <c r="S888" s="2">
        <f t="shared" si="13"/>
        <v>664.7540983606558</v>
      </c>
      <c r="T888" s="2" t="str" cm="1">
        <f t="array" ref="T888">_xlfn.IFS(N888&lt;=2.5,"Low",N888&lt;=3,"Medium",N888&gt;3,"High")</f>
        <v>Low</v>
      </c>
    </row>
    <row r="889" spans="1:20" x14ac:dyDescent="0.3">
      <c r="A889" s="2">
        <v>888</v>
      </c>
      <c r="B889" s="2" t="s">
        <v>25</v>
      </c>
      <c r="C889" s="2">
        <v>55</v>
      </c>
      <c r="D889" s="2" t="s">
        <v>15</v>
      </c>
      <c r="E889" s="2">
        <v>52.1</v>
      </c>
      <c r="F889" s="2">
        <v>1.68</v>
      </c>
      <c r="G889" s="2">
        <v>180</v>
      </c>
      <c r="H889" s="2">
        <v>167</v>
      </c>
      <c r="I889" s="2">
        <v>50</v>
      </c>
      <c r="J889" s="2">
        <v>0.77</v>
      </c>
      <c r="K889" s="2">
        <v>637</v>
      </c>
      <c r="L889" s="2" t="s">
        <v>17</v>
      </c>
      <c r="M889" s="2">
        <v>23.6</v>
      </c>
      <c r="N889" s="2">
        <v>3</v>
      </c>
      <c r="O889" s="2">
        <v>3</v>
      </c>
      <c r="P889" s="2">
        <v>1</v>
      </c>
      <c r="Q889" s="2">
        <v>18.46</v>
      </c>
      <c r="R889" s="2" t="str" cm="1">
        <f t="array" ref="R889">_xlfn.IFS(Q889&lt;18.5,"Underweight",
AND(Q889&gt;=18.5,Q889&lt;25),"Normal Weight",
AND(Q889&gt;=25,Q889&lt;30),"Overweight",
Q889&gt;=30,"Obesity")</f>
        <v>Underweight</v>
      </c>
      <c r="S889" s="2">
        <f t="shared" si="13"/>
        <v>827.27272727272725</v>
      </c>
      <c r="T889" s="2" t="str" cm="1">
        <f t="array" ref="T889">_xlfn.IFS(N889&lt;=2.5,"Low",N889&lt;=3,"Medium",N889&gt;3,"High")</f>
        <v>Medium</v>
      </c>
    </row>
    <row r="890" spans="1:20" x14ac:dyDescent="0.3">
      <c r="A890" s="2">
        <v>889</v>
      </c>
      <c r="B890" s="2" t="s">
        <v>28</v>
      </c>
      <c r="C890" s="2">
        <v>54</v>
      </c>
      <c r="D890" s="2" t="s">
        <v>16</v>
      </c>
      <c r="E890" s="2">
        <v>70.099999999999994</v>
      </c>
      <c r="F890" s="2">
        <v>1.52</v>
      </c>
      <c r="G890" s="2">
        <v>180</v>
      </c>
      <c r="H890" s="2">
        <v>139</v>
      </c>
      <c r="I890" s="2">
        <v>65</v>
      </c>
      <c r="J890" s="2">
        <v>0.76</v>
      </c>
      <c r="K890" s="2">
        <v>475</v>
      </c>
      <c r="L890" s="2" t="s">
        <v>18</v>
      </c>
      <c r="M890" s="2">
        <v>26.6</v>
      </c>
      <c r="N890" s="2">
        <v>2.1</v>
      </c>
      <c r="O890" s="2">
        <v>2</v>
      </c>
      <c r="P890" s="2">
        <v>1</v>
      </c>
      <c r="Q890" s="2">
        <v>30.34</v>
      </c>
      <c r="R890" s="2" t="str" cm="1">
        <f t="array" ref="R890">_xlfn.IFS(Q890&lt;18.5,"Underweight",
AND(Q890&gt;=18.5,Q890&lt;25),"Normal Weight",
AND(Q890&gt;=25,Q890&lt;30),"Overweight",
Q890&gt;=30,"Obesity")</f>
        <v>Obesity</v>
      </c>
      <c r="S890" s="2">
        <f t="shared" si="13"/>
        <v>625</v>
      </c>
      <c r="T890" s="2" t="str" cm="1">
        <f t="array" ref="T890">_xlfn.IFS(N890&lt;=2.5,"Low",N890&lt;=3,"Medium",N890&gt;3,"High")</f>
        <v>Low</v>
      </c>
    </row>
    <row r="891" spans="1:20" x14ac:dyDescent="0.3">
      <c r="A891" s="2">
        <v>890</v>
      </c>
      <c r="B891" s="2" t="s">
        <v>23</v>
      </c>
      <c r="C891" s="2">
        <v>28</v>
      </c>
      <c r="D891" s="2" t="s">
        <v>15</v>
      </c>
      <c r="E891" s="2">
        <v>86.9</v>
      </c>
      <c r="F891" s="2">
        <v>1.78</v>
      </c>
      <c r="G891" s="2">
        <v>164</v>
      </c>
      <c r="H891" s="2">
        <v>134</v>
      </c>
      <c r="I891" s="2">
        <v>68</v>
      </c>
      <c r="J891" s="2">
        <v>1.29</v>
      </c>
      <c r="K891" s="2">
        <v>951</v>
      </c>
      <c r="L891" s="2" t="s">
        <v>18</v>
      </c>
      <c r="M891" s="2">
        <v>24.9</v>
      </c>
      <c r="N891" s="2">
        <v>3.7</v>
      </c>
      <c r="O891" s="2">
        <v>4</v>
      </c>
      <c r="P891" s="2">
        <v>2</v>
      </c>
      <c r="Q891" s="2">
        <v>27.43</v>
      </c>
      <c r="R891" s="2" t="str" cm="1">
        <f t="array" ref="R891">_xlfn.IFS(Q891&lt;18.5,"Underweight",
AND(Q891&gt;=18.5,Q891&lt;25),"Normal Weight",
AND(Q891&gt;=25,Q891&lt;30),"Overweight",
Q891&gt;=30,"Obesity")</f>
        <v>Overweight</v>
      </c>
      <c r="S891" s="2">
        <f t="shared" si="13"/>
        <v>737.20930232558135</v>
      </c>
      <c r="T891" s="2" t="str" cm="1">
        <f t="array" ref="T891">_xlfn.IFS(N891&lt;=2.5,"Low",N891&lt;=3,"Medium",N891&gt;3,"High")</f>
        <v>High</v>
      </c>
    </row>
    <row r="892" spans="1:20" x14ac:dyDescent="0.3">
      <c r="A892" s="2">
        <v>891</v>
      </c>
      <c r="B892" s="2" t="s">
        <v>28</v>
      </c>
      <c r="C892" s="2">
        <v>53</v>
      </c>
      <c r="D892" s="2" t="s">
        <v>15</v>
      </c>
      <c r="E892" s="2">
        <v>73.400000000000006</v>
      </c>
      <c r="F892" s="2">
        <v>1.76</v>
      </c>
      <c r="G892" s="2">
        <v>169</v>
      </c>
      <c r="H892" s="2">
        <v>151</v>
      </c>
      <c r="I892" s="2">
        <v>70</v>
      </c>
      <c r="J892" s="2">
        <v>1.0900000000000001</v>
      </c>
      <c r="K892" s="2">
        <v>815</v>
      </c>
      <c r="L892" s="2" t="s">
        <v>17</v>
      </c>
      <c r="M892" s="2">
        <v>27.9</v>
      </c>
      <c r="N892" s="2">
        <v>2.8</v>
      </c>
      <c r="O892" s="2">
        <v>3</v>
      </c>
      <c r="P892" s="2">
        <v>2</v>
      </c>
      <c r="Q892" s="2">
        <v>23.7</v>
      </c>
      <c r="R892" s="2" t="str" cm="1">
        <f t="array" ref="R892">_xlfn.IFS(Q892&lt;18.5,"Underweight",
AND(Q892&gt;=18.5,Q892&lt;25),"Normal Weight",
AND(Q892&gt;=25,Q892&lt;30),"Overweight",
Q892&gt;=30,"Obesity")</f>
        <v>Normal Weight</v>
      </c>
      <c r="S892" s="2">
        <f t="shared" si="13"/>
        <v>747.70642201834858</v>
      </c>
      <c r="T892" s="2" t="str" cm="1">
        <f t="array" ref="T892">_xlfn.IFS(N892&lt;=2.5,"Low",N892&lt;=3,"Medium",N892&gt;3,"High")</f>
        <v>Medium</v>
      </c>
    </row>
    <row r="893" spans="1:20" x14ac:dyDescent="0.3">
      <c r="A893" s="2">
        <v>892</v>
      </c>
      <c r="B893" s="2" t="s">
        <v>22</v>
      </c>
      <c r="C893" s="2">
        <v>30</v>
      </c>
      <c r="D893" s="2" t="s">
        <v>15</v>
      </c>
      <c r="E893" s="2">
        <v>90</v>
      </c>
      <c r="F893" s="2">
        <v>1.66</v>
      </c>
      <c r="G893" s="2">
        <v>165</v>
      </c>
      <c r="H893" s="2">
        <v>152</v>
      </c>
      <c r="I893" s="2">
        <v>71</v>
      </c>
      <c r="J893" s="2">
        <v>1.32</v>
      </c>
      <c r="K893" s="2">
        <v>1104</v>
      </c>
      <c r="L893" s="2" t="s">
        <v>19</v>
      </c>
      <c r="M893" s="2">
        <v>26.6</v>
      </c>
      <c r="N893" s="2">
        <v>2.1</v>
      </c>
      <c r="O893" s="2">
        <v>4</v>
      </c>
      <c r="P893" s="2">
        <v>2</v>
      </c>
      <c r="Q893" s="2">
        <v>32.659999999999997</v>
      </c>
      <c r="R893" s="2" t="str" cm="1">
        <f t="array" ref="R893">_xlfn.IFS(Q893&lt;18.5,"Underweight",
AND(Q893&gt;=18.5,Q893&lt;25),"Normal Weight",
AND(Q893&gt;=25,Q893&lt;30),"Overweight",
Q893&gt;=30,"Obesity")</f>
        <v>Obesity</v>
      </c>
      <c r="S893" s="2">
        <f t="shared" si="13"/>
        <v>836.36363636363637</v>
      </c>
      <c r="T893" s="2" t="str" cm="1">
        <f t="array" ref="T893">_xlfn.IFS(N893&lt;=2.5,"Low",N893&lt;=3,"Medium",N893&gt;3,"High")</f>
        <v>Low</v>
      </c>
    </row>
    <row r="894" spans="1:20" x14ac:dyDescent="0.3">
      <c r="A894" s="2">
        <v>893</v>
      </c>
      <c r="B894" s="2" t="s">
        <v>29</v>
      </c>
      <c r="C894" s="2">
        <v>20</v>
      </c>
      <c r="D894" s="2" t="s">
        <v>15</v>
      </c>
      <c r="E894" s="2">
        <v>85.7</v>
      </c>
      <c r="F894" s="2">
        <v>1.92</v>
      </c>
      <c r="G894" s="2">
        <v>172</v>
      </c>
      <c r="H894" s="2">
        <v>136</v>
      </c>
      <c r="I894" s="2">
        <v>58</v>
      </c>
      <c r="J894" s="2">
        <v>1.72</v>
      </c>
      <c r="K894" s="2">
        <v>1287</v>
      </c>
      <c r="L894" s="2" t="s">
        <v>19</v>
      </c>
      <c r="M894" s="2">
        <v>10.5</v>
      </c>
      <c r="N894" s="2">
        <v>3.5</v>
      </c>
      <c r="O894" s="2">
        <v>5</v>
      </c>
      <c r="P894" s="2">
        <v>3</v>
      </c>
      <c r="Q894" s="2">
        <v>23.25</v>
      </c>
      <c r="R894" s="2" t="str" cm="1">
        <f t="array" ref="R894">_xlfn.IFS(Q894&lt;18.5,"Underweight",
AND(Q894&gt;=18.5,Q894&lt;25),"Normal Weight",
AND(Q894&gt;=25,Q894&lt;30),"Overweight",
Q894&gt;=30,"Obesity")</f>
        <v>Normal Weight</v>
      </c>
      <c r="S894" s="2">
        <f t="shared" si="13"/>
        <v>748.25581395348843</v>
      </c>
      <c r="T894" s="2" t="str" cm="1">
        <f t="array" ref="T894">_xlfn.IFS(N894&lt;=2.5,"Low",N894&lt;=3,"Medium",N894&gt;3,"High")</f>
        <v>High</v>
      </c>
    </row>
    <row r="895" spans="1:20" x14ac:dyDescent="0.3">
      <c r="A895" s="2">
        <v>894</v>
      </c>
      <c r="B895" s="2" t="s">
        <v>24</v>
      </c>
      <c r="C895" s="2">
        <v>50</v>
      </c>
      <c r="D895" s="2" t="s">
        <v>16</v>
      </c>
      <c r="E895" s="2">
        <v>70.400000000000006</v>
      </c>
      <c r="F895" s="2">
        <v>1.55</v>
      </c>
      <c r="G895" s="2">
        <v>160</v>
      </c>
      <c r="H895" s="2">
        <v>143</v>
      </c>
      <c r="I895" s="2">
        <v>58</v>
      </c>
      <c r="J895" s="2">
        <v>0.73</v>
      </c>
      <c r="K895" s="2">
        <v>470</v>
      </c>
      <c r="L895" s="2" t="s">
        <v>20</v>
      </c>
      <c r="M895" s="2">
        <v>29.9</v>
      </c>
      <c r="N895" s="2">
        <v>2.7</v>
      </c>
      <c r="O895" s="2">
        <v>2</v>
      </c>
      <c r="P895" s="2">
        <v>1</v>
      </c>
      <c r="Q895" s="2">
        <v>29.3</v>
      </c>
      <c r="R895" s="2" t="str" cm="1">
        <f t="array" ref="R895">_xlfn.IFS(Q895&lt;18.5,"Underweight",
AND(Q895&gt;=18.5,Q895&lt;25),"Normal Weight",
AND(Q895&gt;=25,Q895&lt;30),"Overweight",
Q895&gt;=30,"Obesity")</f>
        <v>Overweight</v>
      </c>
      <c r="S895" s="2">
        <f t="shared" si="13"/>
        <v>643.83561643835617</v>
      </c>
      <c r="T895" s="2" t="str" cm="1">
        <f t="array" ref="T895">_xlfn.IFS(N895&lt;=2.5,"Low",N895&lt;=3,"Medium",N895&gt;3,"High")</f>
        <v>Medium</v>
      </c>
    </row>
    <row r="896" spans="1:20" x14ac:dyDescent="0.3">
      <c r="A896" s="2">
        <v>895</v>
      </c>
      <c r="B896" s="2" t="s">
        <v>30</v>
      </c>
      <c r="C896" s="2">
        <v>23</v>
      </c>
      <c r="D896" s="2" t="s">
        <v>15</v>
      </c>
      <c r="E896" s="2">
        <v>57.7</v>
      </c>
      <c r="F896" s="2">
        <v>1.71</v>
      </c>
      <c r="G896" s="2">
        <v>179</v>
      </c>
      <c r="H896" s="2">
        <v>149</v>
      </c>
      <c r="I896" s="2">
        <v>58</v>
      </c>
      <c r="J896" s="2">
        <v>1.1499999999999999</v>
      </c>
      <c r="K896" s="2">
        <v>942</v>
      </c>
      <c r="L896" s="2" t="s">
        <v>20</v>
      </c>
      <c r="M896" s="2">
        <v>27</v>
      </c>
      <c r="N896" s="2">
        <v>3.4</v>
      </c>
      <c r="O896" s="2">
        <v>3</v>
      </c>
      <c r="P896" s="2">
        <v>2</v>
      </c>
      <c r="Q896" s="2">
        <v>19.73</v>
      </c>
      <c r="R896" s="2" t="str" cm="1">
        <f t="array" ref="R896">_xlfn.IFS(Q896&lt;18.5,"Underweight",
AND(Q896&gt;=18.5,Q896&lt;25),"Normal Weight",
AND(Q896&gt;=25,Q896&lt;30),"Overweight",
Q896&gt;=30,"Obesity")</f>
        <v>Normal Weight</v>
      </c>
      <c r="S896" s="2">
        <f t="shared" si="13"/>
        <v>819.13043478260875</v>
      </c>
      <c r="T896" s="2" t="str" cm="1">
        <f t="array" ref="T896">_xlfn.IFS(N896&lt;=2.5,"Low",N896&lt;=3,"Medium",N896&gt;3,"High")</f>
        <v>High</v>
      </c>
    </row>
    <row r="897" spans="1:20" x14ac:dyDescent="0.3">
      <c r="A897" s="2">
        <v>896</v>
      </c>
      <c r="B897" s="2" t="s">
        <v>29</v>
      </c>
      <c r="C897" s="2">
        <v>27</v>
      </c>
      <c r="D897" s="2" t="s">
        <v>15</v>
      </c>
      <c r="E897" s="2">
        <v>75.7</v>
      </c>
      <c r="F897" s="2">
        <v>1.76</v>
      </c>
      <c r="G897" s="2">
        <v>167</v>
      </c>
      <c r="H897" s="2">
        <v>132</v>
      </c>
      <c r="I897" s="2">
        <v>66</v>
      </c>
      <c r="J897" s="2">
        <v>0.68</v>
      </c>
      <c r="K897" s="2">
        <v>494</v>
      </c>
      <c r="L897" s="2" t="s">
        <v>19</v>
      </c>
      <c r="M897" s="2">
        <v>25.3</v>
      </c>
      <c r="N897" s="2">
        <v>2.2999999999999998</v>
      </c>
      <c r="O897" s="2">
        <v>3</v>
      </c>
      <c r="P897" s="2">
        <v>1</v>
      </c>
      <c r="Q897" s="2">
        <v>24.44</v>
      </c>
      <c r="R897" s="2" t="str" cm="1">
        <f t="array" ref="R897">_xlfn.IFS(Q897&lt;18.5,"Underweight",
AND(Q897&gt;=18.5,Q897&lt;25),"Normal Weight",
AND(Q897&gt;=25,Q897&lt;30),"Overweight",
Q897&gt;=30,"Obesity")</f>
        <v>Normal Weight</v>
      </c>
      <c r="S897" s="2">
        <f t="shared" si="13"/>
        <v>726.47058823529403</v>
      </c>
      <c r="T897" s="2" t="str" cm="1">
        <f t="array" ref="T897">_xlfn.IFS(N897&lt;=2.5,"Low",N897&lt;=3,"Medium",N897&gt;3,"High")</f>
        <v>Low</v>
      </c>
    </row>
    <row r="898" spans="1:20" x14ac:dyDescent="0.3">
      <c r="A898" s="2">
        <v>897</v>
      </c>
      <c r="B898" s="2" t="s">
        <v>30</v>
      </c>
      <c r="C898" s="2">
        <v>22</v>
      </c>
      <c r="D898" s="2" t="s">
        <v>16</v>
      </c>
      <c r="E898" s="2">
        <v>61.8</v>
      </c>
      <c r="F898" s="2">
        <v>1.52</v>
      </c>
      <c r="G898" s="2">
        <v>169</v>
      </c>
      <c r="H898" s="2">
        <v>166</v>
      </c>
      <c r="I898" s="2">
        <v>61</v>
      </c>
      <c r="J898" s="2">
        <v>1.83</v>
      </c>
      <c r="K898" s="2">
        <v>1519</v>
      </c>
      <c r="L898" s="2" t="s">
        <v>17</v>
      </c>
      <c r="M898" s="2">
        <v>17</v>
      </c>
      <c r="N898" s="2">
        <v>2.7</v>
      </c>
      <c r="O898" s="2">
        <v>5</v>
      </c>
      <c r="P898" s="2">
        <v>3</v>
      </c>
      <c r="Q898" s="2">
        <v>26.75</v>
      </c>
      <c r="R898" s="2" t="str" cm="1">
        <f t="array" ref="R898">_xlfn.IFS(Q898&lt;18.5,"Underweight",
AND(Q898&gt;=18.5,Q898&lt;25),"Normal Weight",
AND(Q898&gt;=25,Q898&lt;30),"Overweight",
Q898&gt;=30,"Obesity")</f>
        <v>Overweight</v>
      </c>
      <c r="S898" s="2">
        <f t="shared" si="13"/>
        <v>830.05464480874309</v>
      </c>
      <c r="T898" s="2" t="str" cm="1">
        <f t="array" ref="T898">_xlfn.IFS(N898&lt;=2.5,"Low",N898&lt;=3,"Medium",N898&gt;3,"High")</f>
        <v>Medium</v>
      </c>
    </row>
    <row r="899" spans="1:20" x14ac:dyDescent="0.3">
      <c r="A899" s="2">
        <v>898</v>
      </c>
      <c r="B899" s="2" t="s">
        <v>23</v>
      </c>
      <c r="C899" s="2">
        <v>40</v>
      </c>
      <c r="D899" s="2" t="s">
        <v>15</v>
      </c>
      <c r="E899" s="2">
        <v>80.3</v>
      </c>
      <c r="F899" s="2">
        <v>1.76</v>
      </c>
      <c r="G899" s="2">
        <v>168</v>
      </c>
      <c r="H899" s="2">
        <v>167</v>
      </c>
      <c r="I899" s="2">
        <v>74</v>
      </c>
      <c r="J899" s="2">
        <v>1.63</v>
      </c>
      <c r="K899" s="2">
        <v>1497</v>
      </c>
      <c r="L899" s="2" t="s">
        <v>20</v>
      </c>
      <c r="M899" s="2">
        <v>13.1</v>
      </c>
      <c r="N899" s="2">
        <v>3.5</v>
      </c>
      <c r="O899" s="2">
        <v>5</v>
      </c>
      <c r="P899" s="2">
        <v>3</v>
      </c>
      <c r="Q899" s="2">
        <v>25.92</v>
      </c>
      <c r="R899" s="2" t="str" cm="1">
        <f t="array" ref="R899">_xlfn.IFS(Q899&lt;18.5,"Underweight",
AND(Q899&gt;=18.5,Q899&lt;25),"Normal Weight",
AND(Q899&gt;=25,Q899&lt;30),"Overweight",
Q899&gt;=30,"Obesity")</f>
        <v>Overweight</v>
      </c>
      <c r="S899" s="2">
        <f t="shared" ref="S899:S962" si="14">K899/J899</f>
        <v>918.40490797546022</v>
      </c>
      <c r="T899" s="2" t="str" cm="1">
        <f t="array" ref="T899">_xlfn.IFS(N899&lt;=2.5,"Low",N899&lt;=3,"Medium",N899&gt;3,"High")</f>
        <v>High</v>
      </c>
    </row>
    <row r="900" spans="1:20" x14ac:dyDescent="0.3">
      <c r="A900" s="2">
        <v>899</v>
      </c>
      <c r="B900" s="2" t="s">
        <v>27</v>
      </c>
      <c r="C900" s="2">
        <v>27</v>
      </c>
      <c r="D900" s="2" t="s">
        <v>15</v>
      </c>
      <c r="E900" s="2">
        <v>104.3</v>
      </c>
      <c r="F900" s="2">
        <v>1.68</v>
      </c>
      <c r="G900" s="2">
        <v>162</v>
      </c>
      <c r="H900" s="2">
        <v>135</v>
      </c>
      <c r="I900" s="2">
        <v>62</v>
      </c>
      <c r="J900" s="2">
        <v>1.28</v>
      </c>
      <c r="K900" s="2">
        <v>950</v>
      </c>
      <c r="L900" s="2" t="s">
        <v>19</v>
      </c>
      <c r="M900" s="2">
        <v>29.7</v>
      </c>
      <c r="N900" s="2">
        <v>3.5</v>
      </c>
      <c r="O900" s="2">
        <v>3</v>
      </c>
      <c r="P900" s="2">
        <v>2</v>
      </c>
      <c r="Q900" s="2">
        <v>36.950000000000003</v>
      </c>
      <c r="R900" s="2" t="str" cm="1">
        <f t="array" ref="R900">_xlfn.IFS(Q900&lt;18.5,"Underweight",
AND(Q900&gt;=18.5,Q900&lt;25),"Normal Weight",
AND(Q900&gt;=25,Q900&lt;30),"Overweight",
Q900&gt;=30,"Obesity")</f>
        <v>Obesity</v>
      </c>
      <c r="S900" s="2">
        <f t="shared" si="14"/>
        <v>742.1875</v>
      </c>
      <c r="T900" s="2" t="str" cm="1">
        <f t="array" ref="T900">_xlfn.IFS(N900&lt;=2.5,"Low",N900&lt;=3,"Medium",N900&gt;3,"High")</f>
        <v>High</v>
      </c>
    </row>
    <row r="901" spans="1:20" x14ac:dyDescent="0.3">
      <c r="A901" s="2">
        <v>900</v>
      </c>
      <c r="B901" s="2" t="s">
        <v>21</v>
      </c>
      <c r="C901" s="2">
        <v>19</v>
      </c>
      <c r="D901" s="2" t="s">
        <v>16</v>
      </c>
      <c r="E901" s="2">
        <v>65.7</v>
      </c>
      <c r="F901" s="2">
        <v>1.58</v>
      </c>
      <c r="G901" s="2">
        <v>170</v>
      </c>
      <c r="H901" s="2">
        <v>121</v>
      </c>
      <c r="I901" s="2">
        <v>57</v>
      </c>
      <c r="J901" s="2">
        <v>1.46</v>
      </c>
      <c r="K901" s="2">
        <v>883</v>
      </c>
      <c r="L901" s="2" t="s">
        <v>19</v>
      </c>
      <c r="M901" s="2">
        <v>25.9</v>
      </c>
      <c r="N901" s="2">
        <v>1.9</v>
      </c>
      <c r="O901" s="2">
        <v>3</v>
      </c>
      <c r="P901" s="2">
        <v>2</v>
      </c>
      <c r="Q901" s="2">
        <v>26.32</v>
      </c>
      <c r="R901" s="2" t="str" cm="1">
        <f t="array" ref="R901">_xlfn.IFS(Q901&lt;18.5,"Underweight",
AND(Q901&gt;=18.5,Q901&lt;25),"Normal Weight",
AND(Q901&gt;=25,Q901&lt;30),"Overweight",
Q901&gt;=30,"Obesity")</f>
        <v>Overweight</v>
      </c>
      <c r="S901" s="2">
        <f t="shared" si="14"/>
        <v>604.79452054794524</v>
      </c>
      <c r="T901" s="2" t="str" cm="1">
        <f t="array" ref="T901">_xlfn.IFS(N901&lt;=2.5,"Low",N901&lt;=3,"Medium",N901&gt;3,"High")</f>
        <v>Low</v>
      </c>
    </row>
    <row r="902" spans="1:20" x14ac:dyDescent="0.3">
      <c r="A902" s="2">
        <v>901</v>
      </c>
      <c r="B902" s="2" t="s">
        <v>26</v>
      </c>
      <c r="C902" s="2">
        <v>30</v>
      </c>
      <c r="D902" s="2" t="s">
        <v>15</v>
      </c>
      <c r="E902" s="2">
        <v>120.3</v>
      </c>
      <c r="F902" s="2">
        <v>1.96</v>
      </c>
      <c r="G902" s="2">
        <v>171</v>
      </c>
      <c r="H902" s="2">
        <v>136</v>
      </c>
      <c r="I902" s="2">
        <v>65</v>
      </c>
      <c r="J902" s="2">
        <v>0.66</v>
      </c>
      <c r="K902" s="2">
        <v>494</v>
      </c>
      <c r="L902" s="2" t="s">
        <v>17</v>
      </c>
      <c r="M902" s="2">
        <v>23.9</v>
      </c>
      <c r="N902" s="2">
        <v>2.6</v>
      </c>
      <c r="O902" s="2">
        <v>2</v>
      </c>
      <c r="P902" s="2">
        <v>1</v>
      </c>
      <c r="Q902" s="2">
        <v>31.32</v>
      </c>
      <c r="R902" s="2" t="str" cm="1">
        <f t="array" ref="R902">_xlfn.IFS(Q902&lt;18.5,"Underweight",
AND(Q902&gt;=18.5,Q902&lt;25),"Normal Weight",
AND(Q902&gt;=25,Q902&lt;30),"Overweight",
Q902&gt;=30,"Obesity")</f>
        <v>Obesity</v>
      </c>
      <c r="S902" s="2">
        <f t="shared" si="14"/>
        <v>748.4848484848485</v>
      </c>
      <c r="T902" s="2" t="str" cm="1">
        <f t="array" ref="T902">_xlfn.IFS(N902&lt;=2.5,"Low",N902&lt;=3,"Medium",N902&gt;3,"High")</f>
        <v>Medium</v>
      </c>
    </row>
    <row r="903" spans="1:20" x14ac:dyDescent="0.3">
      <c r="A903" s="2">
        <v>902</v>
      </c>
      <c r="B903" s="2" t="s">
        <v>29</v>
      </c>
      <c r="C903" s="2">
        <v>57</v>
      </c>
      <c r="D903" s="2" t="s">
        <v>16</v>
      </c>
      <c r="E903" s="2">
        <v>51.9</v>
      </c>
      <c r="F903" s="2">
        <v>1.57</v>
      </c>
      <c r="G903" s="2">
        <v>169</v>
      </c>
      <c r="H903" s="2">
        <v>151</v>
      </c>
      <c r="I903" s="2">
        <v>67</v>
      </c>
      <c r="J903" s="2">
        <v>1.05</v>
      </c>
      <c r="K903" s="2">
        <v>713</v>
      </c>
      <c r="L903" s="2" t="s">
        <v>18</v>
      </c>
      <c r="M903" s="2">
        <v>29.1</v>
      </c>
      <c r="N903" s="2">
        <v>2.6</v>
      </c>
      <c r="O903" s="2">
        <v>3</v>
      </c>
      <c r="P903" s="2">
        <v>2</v>
      </c>
      <c r="Q903" s="2">
        <v>21.06</v>
      </c>
      <c r="R903" s="2" t="str" cm="1">
        <f t="array" ref="R903">_xlfn.IFS(Q903&lt;18.5,"Underweight",
AND(Q903&gt;=18.5,Q903&lt;25),"Normal Weight",
AND(Q903&gt;=25,Q903&lt;30),"Overweight",
Q903&gt;=30,"Obesity")</f>
        <v>Normal Weight</v>
      </c>
      <c r="S903" s="2">
        <f t="shared" si="14"/>
        <v>679.04761904761904</v>
      </c>
      <c r="T903" s="2" t="str" cm="1">
        <f t="array" ref="T903">_xlfn.IFS(N903&lt;=2.5,"Low",N903&lt;=3,"Medium",N903&gt;3,"High")</f>
        <v>Medium</v>
      </c>
    </row>
    <row r="904" spans="1:20" x14ac:dyDescent="0.3">
      <c r="A904" s="2">
        <v>903</v>
      </c>
      <c r="B904" s="2" t="s">
        <v>24</v>
      </c>
      <c r="C904" s="2">
        <v>19</v>
      </c>
      <c r="D904" s="2" t="s">
        <v>16</v>
      </c>
      <c r="E904" s="2">
        <v>59.1</v>
      </c>
      <c r="F904" s="2">
        <v>1.57</v>
      </c>
      <c r="G904" s="2">
        <v>184</v>
      </c>
      <c r="H904" s="2">
        <v>162</v>
      </c>
      <c r="I904" s="2">
        <v>50</v>
      </c>
      <c r="J904" s="2">
        <v>1.65</v>
      </c>
      <c r="K904" s="2">
        <v>1336</v>
      </c>
      <c r="L904" s="2" t="s">
        <v>19</v>
      </c>
      <c r="M904" s="2">
        <v>17.899999999999999</v>
      </c>
      <c r="N904" s="2">
        <v>2.7</v>
      </c>
      <c r="O904" s="2">
        <v>5</v>
      </c>
      <c r="P904" s="2">
        <v>3</v>
      </c>
      <c r="Q904" s="2">
        <v>23.98</v>
      </c>
      <c r="R904" s="2" t="str" cm="1">
        <f t="array" ref="R904">_xlfn.IFS(Q904&lt;18.5,"Underweight",
AND(Q904&gt;=18.5,Q904&lt;25),"Normal Weight",
AND(Q904&gt;=25,Q904&lt;30),"Overweight",
Q904&gt;=30,"Obesity")</f>
        <v>Normal Weight</v>
      </c>
      <c r="S904" s="2">
        <f t="shared" si="14"/>
        <v>809.69696969696975</v>
      </c>
      <c r="T904" s="2" t="str" cm="1">
        <f t="array" ref="T904">_xlfn.IFS(N904&lt;=2.5,"Low",N904&lt;=3,"Medium",N904&gt;3,"High")</f>
        <v>Medium</v>
      </c>
    </row>
    <row r="905" spans="1:20" x14ac:dyDescent="0.3">
      <c r="A905" s="2">
        <v>904</v>
      </c>
      <c r="B905" s="2" t="s">
        <v>28</v>
      </c>
      <c r="C905" s="2">
        <v>37</v>
      </c>
      <c r="D905" s="2" t="s">
        <v>16</v>
      </c>
      <c r="E905" s="2">
        <v>66.900000000000006</v>
      </c>
      <c r="F905" s="2">
        <v>1.75</v>
      </c>
      <c r="G905" s="2">
        <v>184</v>
      </c>
      <c r="H905" s="2">
        <v>127</v>
      </c>
      <c r="I905" s="2">
        <v>50</v>
      </c>
      <c r="J905" s="2">
        <v>1.38</v>
      </c>
      <c r="K905" s="2">
        <v>876</v>
      </c>
      <c r="L905" s="2" t="s">
        <v>20</v>
      </c>
      <c r="M905" s="2">
        <v>26.5</v>
      </c>
      <c r="N905" s="2">
        <v>2.1</v>
      </c>
      <c r="O905" s="2">
        <v>4</v>
      </c>
      <c r="P905" s="2">
        <v>2</v>
      </c>
      <c r="Q905" s="2">
        <v>21.84</v>
      </c>
      <c r="R905" s="2" t="str" cm="1">
        <f t="array" ref="R905">_xlfn.IFS(Q905&lt;18.5,"Underweight",
AND(Q905&gt;=18.5,Q905&lt;25),"Normal Weight",
AND(Q905&gt;=25,Q905&lt;30),"Overweight",
Q905&gt;=30,"Obesity")</f>
        <v>Normal Weight</v>
      </c>
      <c r="S905" s="2">
        <f t="shared" si="14"/>
        <v>634.78260869565224</v>
      </c>
      <c r="T905" s="2" t="str" cm="1">
        <f t="array" ref="T905">_xlfn.IFS(N905&lt;=2.5,"Low",N905&lt;=3,"Medium",N905&gt;3,"High")</f>
        <v>Low</v>
      </c>
    </row>
    <row r="906" spans="1:20" x14ac:dyDescent="0.3">
      <c r="A906" s="2">
        <v>905</v>
      </c>
      <c r="B906" s="2" t="s">
        <v>24</v>
      </c>
      <c r="C906" s="2">
        <v>18</v>
      </c>
      <c r="D906" s="2" t="s">
        <v>16</v>
      </c>
      <c r="E906" s="2">
        <v>66.900000000000006</v>
      </c>
      <c r="F906" s="2">
        <v>1.75</v>
      </c>
      <c r="G906" s="2">
        <v>170</v>
      </c>
      <c r="H906" s="2">
        <v>122</v>
      </c>
      <c r="I906" s="2">
        <v>61</v>
      </c>
      <c r="J906" s="2">
        <v>0.94</v>
      </c>
      <c r="K906" s="2">
        <v>573</v>
      </c>
      <c r="L906" s="2" t="s">
        <v>17</v>
      </c>
      <c r="M906" s="2">
        <v>26.8</v>
      </c>
      <c r="N906" s="2">
        <v>1.7</v>
      </c>
      <c r="O906" s="2">
        <v>2</v>
      </c>
      <c r="P906" s="2">
        <v>1</v>
      </c>
      <c r="Q906" s="2">
        <v>21.84</v>
      </c>
      <c r="R906" s="2" t="str" cm="1">
        <f t="array" ref="R906">_xlfn.IFS(Q906&lt;18.5,"Underweight",
AND(Q906&gt;=18.5,Q906&lt;25),"Normal Weight",
AND(Q906&gt;=25,Q906&lt;30),"Overweight",
Q906&gt;=30,"Obesity")</f>
        <v>Normal Weight</v>
      </c>
      <c r="S906" s="2">
        <f t="shared" si="14"/>
        <v>609.57446808510645</v>
      </c>
      <c r="T906" s="2" t="str" cm="1">
        <f t="array" ref="T906">_xlfn.IFS(N906&lt;=2.5,"Low",N906&lt;=3,"Medium",N906&gt;3,"High")</f>
        <v>Low</v>
      </c>
    </row>
    <row r="907" spans="1:20" x14ac:dyDescent="0.3">
      <c r="A907" s="2">
        <v>906</v>
      </c>
      <c r="B907" s="2" t="s">
        <v>23</v>
      </c>
      <c r="C907" s="2">
        <v>54</v>
      </c>
      <c r="D907" s="2" t="s">
        <v>15</v>
      </c>
      <c r="E907" s="2">
        <v>78.7</v>
      </c>
      <c r="F907" s="2">
        <v>1.66</v>
      </c>
      <c r="G907" s="2">
        <v>195</v>
      </c>
      <c r="H907" s="2">
        <v>131</v>
      </c>
      <c r="I907" s="2">
        <v>55</v>
      </c>
      <c r="J907" s="2">
        <v>1.42</v>
      </c>
      <c r="K907" s="2">
        <v>921</v>
      </c>
      <c r="L907" s="2" t="s">
        <v>17</v>
      </c>
      <c r="M907" s="2">
        <v>22.9</v>
      </c>
      <c r="N907" s="2">
        <v>2.6</v>
      </c>
      <c r="O907" s="2">
        <v>3</v>
      </c>
      <c r="P907" s="2">
        <v>2</v>
      </c>
      <c r="Q907" s="2">
        <v>28.56</v>
      </c>
      <c r="R907" s="2" t="str" cm="1">
        <f t="array" ref="R907">_xlfn.IFS(Q907&lt;18.5,"Underweight",
AND(Q907&gt;=18.5,Q907&lt;25),"Normal Weight",
AND(Q907&gt;=25,Q907&lt;30),"Overweight",
Q907&gt;=30,"Obesity")</f>
        <v>Overweight</v>
      </c>
      <c r="S907" s="2">
        <f t="shared" si="14"/>
        <v>648.59154929577471</v>
      </c>
      <c r="T907" s="2" t="str" cm="1">
        <f t="array" ref="T907">_xlfn.IFS(N907&lt;=2.5,"Low",N907&lt;=3,"Medium",N907&gt;3,"High")</f>
        <v>Medium</v>
      </c>
    </row>
    <row r="908" spans="1:20" x14ac:dyDescent="0.3">
      <c r="A908" s="2">
        <v>907</v>
      </c>
      <c r="B908" s="2" t="s">
        <v>30</v>
      </c>
      <c r="C908" s="2">
        <v>26</v>
      </c>
      <c r="D908" s="2" t="s">
        <v>16</v>
      </c>
      <c r="E908" s="2">
        <v>62.4</v>
      </c>
      <c r="F908" s="2">
        <v>1.61</v>
      </c>
      <c r="G908" s="2">
        <v>198</v>
      </c>
      <c r="H908" s="2">
        <v>139</v>
      </c>
      <c r="I908" s="2">
        <v>58</v>
      </c>
      <c r="J908" s="2">
        <v>1.88</v>
      </c>
      <c r="K908" s="2">
        <v>1307</v>
      </c>
      <c r="L908" s="2" t="s">
        <v>17</v>
      </c>
      <c r="M908" s="2">
        <v>19.8</v>
      </c>
      <c r="N908" s="2">
        <v>2.7</v>
      </c>
      <c r="O908" s="2">
        <v>4</v>
      </c>
      <c r="P908" s="2">
        <v>3</v>
      </c>
      <c r="Q908" s="2">
        <v>24.07</v>
      </c>
      <c r="R908" s="2" t="str" cm="1">
        <f t="array" ref="R908">_xlfn.IFS(Q908&lt;18.5,"Underweight",
AND(Q908&gt;=18.5,Q908&lt;25),"Normal Weight",
AND(Q908&gt;=25,Q908&lt;30),"Overweight",
Q908&gt;=30,"Obesity")</f>
        <v>Normal Weight</v>
      </c>
      <c r="S908" s="2">
        <f t="shared" si="14"/>
        <v>695.21276595744689</v>
      </c>
      <c r="T908" s="2" t="str" cm="1">
        <f t="array" ref="T908">_xlfn.IFS(N908&lt;=2.5,"Low",N908&lt;=3,"Medium",N908&gt;3,"High")</f>
        <v>Medium</v>
      </c>
    </row>
    <row r="909" spans="1:20" x14ac:dyDescent="0.3">
      <c r="A909" s="2">
        <v>908</v>
      </c>
      <c r="B909" s="2" t="s">
        <v>28</v>
      </c>
      <c r="C909" s="2">
        <v>34</v>
      </c>
      <c r="D909" s="2" t="s">
        <v>15</v>
      </c>
      <c r="E909" s="2">
        <v>102.1</v>
      </c>
      <c r="F909" s="2">
        <v>1.71</v>
      </c>
      <c r="G909" s="2">
        <v>185</v>
      </c>
      <c r="H909" s="2">
        <v>135</v>
      </c>
      <c r="I909" s="2">
        <v>72</v>
      </c>
      <c r="J909" s="2">
        <v>0.96</v>
      </c>
      <c r="K909" s="2">
        <v>713</v>
      </c>
      <c r="L909" s="2" t="s">
        <v>18</v>
      </c>
      <c r="M909" s="2">
        <v>27.3</v>
      </c>
      <c r="N909" s="2">
        <v>3.2</v>
      </c>
      <c r="O909" s="2">
        <v>2</v>
      </c>
      <c r="P909" s="2">
        <v>1</v>
      </c>
      <c r="Q909" s="2">
        <v>34.92</v>
      </c>
      <c r="R909" s="2" t="str" cm="1">
        <f t="array" ref="R909">_xlfn.IFS(Q909&lt;18.5,"Underweight",
AND(Q909&gt;=18.5,Q909&lt;25),"Normal Weight",
AND(Q909&gt;=25,Q909&lt;30),"Overweight",
Q909&gt;=30,"Obesity")</f>
        <v>Obesity</v>
      </c>
      <c r="S909" s="2">
        <f t="shared" si="14"/>
        <v>742.70833333333337</v>
      </c>
      <c r="T909" s="2" t="str" cm="1">
        <f t="array" ref="T909">_xlfn.IFS(N909&lt;=2.5,"Low",N909&lt;=3,"Medium",N909&gt;3,"High")</f>
        <v>High</v>
      </c>
    </row>
    <row r="910" spans="1:20" x14ac:dyDescent="0.3">
      <c r="A910" s="2">
        <v>909</v>
      </c>
      <c r="B910" s="2" t="s">
        <v>26</v>
      </c>
      <c r="C910" s="2">
        <v>26</v>
      </c>
      <c r="D910" s="2" t="s">
        <v>15</v>
      </c>
      <c r="E910" s="2">
        <v>51.9</v>
      </c>
      <c r="F910" s="2">
        <v>2</v>
      </c>
      <c r="G910" s="2">
        <v>173</v>
      </c>
      <c r="H910" s="2">
        <v>133</v>
      </c>
      <c r="I910" s="2">
        <v>54</v>
      </c>
      <c r="J910" s="2">
        <v>0.75</v>
      </c>
      <c r="K910" s="2">
        <v>549</v>
      </c>
      <c r="L910" s="2" t="s">
        <v>18</v>
      </c>
      <c r="M910" s="2">
        <v>26.6</v>
      </c>
      <c r="N910" s="2">
        <v>2.2999999999999998</v>
      </c>
      <c r="O910" s="2">
        <v>2</v>
      </c>
      <c r="P910" s="2">
        <v>1</v>
      </c>
      <c r="Q910" s="2">
        <v>12.97</v>
      </c>
      <c r="R910" s="2" t="str" cm="1">
        <f t="array" ref="R910">_xlfn.IFS(Q910&lt;18.5,"Underweight",
AND(Q910&gt;=18.5,Q910&lt;25),"Normal Weight",
AND(Q910&gt;=25,Q910&lt;30),"Overweight",
Q910&gt;=30,"Obesity")</f>
        <v>Underweight</v>
      </c>
      <c r="S910" s="2">
        <f t="shared" si="14"/>
        <v>732</v>
      </c>
      <c r="T910" s="2" t="str" cm="1">
        <f t="array" ref="T910">_xlfn.IFS(N910&lt;=2.5,"Low",N910&lt;=3,"Medium",N910&gt;3,"High")</f>
        <v>Low</v>
      </c>
    </row>
    <row r="911" spans="1:20" x14ac:dyDescent="0.3">
      <c r="A911" s="2">
        <v>910</v>
      </c>
      <c r="B911" s="2" t="s">
        <v>26</v>
      </c>
      <c r="C911" s="2">
        <v>28</v>
      </c>
      <c r="D911" s="2" t="s">
        <v>15</v>
      </c>
      <c r="E911" s="2">
        <v>58.3</v>
      </c>
      <c r="F911" s="2">
        <v>2</v>
      </c>
      <c r="G911" s="2">
        <v>198</v>
      </c>
      <c r="H911" s="2">
        <v>135</v>
      </c>
      <c r="I911" s="2">
        <v>65</v>
      </c>
      <c r="J911" s="2">
        <v>1.32</v>
      </c>
      <c r="K911" s="2">
        <v>980</v>
      </c>
      <c r="L911" s="2" t="s">
        <v>20</v>
      </c>
      <c r="M911" s="2">
        <v>28.2</v>
      </c>
      <c r="N911" s="2">
        <v>3</v>
      </c>
      <c r="O911" s="2">
        <v>4</v>
      </c>
      <c r="P911" s="2">
        <v>2</v>
      </c>
      <c r="Q911" s="2">
        <v>14.57</v>
      </c>
      <c r="R911" s="2" t="str" cm="1">
        <f t="array" ref="R911">_xlfn.IFS(Q911&lt;18.5,"Underweight",
AND(Q911&gt;=18.5,Q911&lt;25),"Normal Weight",
AND(Q911&gt;=25,Q911&lt;30),"Overweight",
Q911&gt;=30,"Obesity")</f>
        <v>Underweight</v>
      </c>
      <c r="S911" s="2">
        <f t="shared" si="14"/>
        <v>742.42424242424238</v>
      </c>
      <c r="T911" s="2" t="str" cm="1">
        <f t="array" ref="T911">_xlfn.IFS(N911&lt;=2.5,"Low",N911&lt;=3,"Medium",N911&gt;3,"High")</f>
        <v>Medium</v>
      </c>
    </row>
    <row r="912" spans="1:20" x14ac:dyDescent="0.3">
      <c r="A912" s="2">
        <v>911</v>
      </c>
      <c r="B912" s="2" t="s">
        <v>29</v>
      </c>
      <c r="C912" s="2">
        <v>32</v>
      </c>
      <c r="D912" s="2" t="s">
        <v>15</v>
      </c>
      <c r="E912" s="2">
        <v>89.8</v>
      </c>
      <c r="F912" s="2">
        <v>1.92</v>
      </c>
      <c r="G912" s="2">
        <v>199</v>
      </c>
      <c r="H912" s="2">
        <v>168</v>
      </c>
      <c r="I912" s="2">
        <v>67</v>
      </c>
      <c r="J912" s="2">
        <v>1.93</v>
      </c>
      <c r="K912" s="2">
        <v>1783</v>
      </c>
      <c r="L912" s="2" t="s">
        <v>20</v>
      </c>
      <c r="M912" s="2">
        <v>10.6</v>
      </c>
      <c r="N912" s="2">
        <v>3.5</v>
      </c>
      <c r="O912" s="2">
        <v>4</v>
      </c>
      <c r="P912" s="2">
        <v>3</v>
      </c>
      <c r="Q912" s="2">
        <v>24.36</v>
      </c>
      <c r="R912" s="2" t="str" cm="1">
        <f t="array" ref="R912">_xlfn.IFS(Q912&lt;18.5,"Underweight",
AND(Q912&gt;=18.5,Q912&lt;25),"Normal Weight",
AND(Q912&gt;=25,Q912&lt;30),"Overweight",
Q912&gt;=30,"Obesity")</f>
        <v>Normal Weight</v>
      </c>
      <c r="S912" s="2">
        <f t="shared" si="14"/>
        <v>923.83419689119171</v>
      </c>
      <c r="T912" s="2" t="str" cm="1">
        <f t="array" ref="T912">_xlfn.IFS(N912&lt;=2.5,"Low",N912&lt;=3,"Medium",N912&gt;3,"High")</f>
        <v>High</v>
      </c>
    </row>
    <row r="913" spans="1:20" x14ac:dyDescent="0.3">
      <c r="A913" s="2">
        <v>912</v>
      </c>
      <c r="B913" s="2" t="s">
        <v>23</v>
      </c>
      <c r="C913" s="2">
        <v>41</v>
      </c>
      <c r="D913" s="2" t="s">
        <v>15</v>
      </c>
      <c r="E913" s="2">
        <v>101.1</v>
      </c>
      <c r="F913" s="2">
        <v>1.83</v>
      </c>
      <c r="G913" s="2">
        <v>160</v>
      </c>
      <c r="H913" s="2">
        <v>162</v>
      </c>
      <c r="I913" s="2">
        <v>66</v>
      </c>
      <c r="J913" s="2">
        <v>0.79</v>
      </c>
      <c r="K913" s="2">
        <v>634</v>
      </c>
      <c r="L913" s="2" t="s">
        <v>17</v>
      </c>
      <c r="M913" s="2">
        <v>28.6</v>
      </c>
      <c r="N913" s="2">
        <v>3.2</v>
      </c>
      <c r="O913" s="2">
        <v>2</v>
      </c>
      <c r="P913" s="2">
        <v>1</v>
      </c>
      <c r="Q913" s="2">
        <v>30.19</v>
      </c>
      <c r="R913" s="2" t="str" cm="1">
        <f t="array" ref="R913">_xlfn.IFS(Q913&lt;18.5,"Underweight",
AND(Q913&gt;=18.5,Q913&lt;25),"Normal Weight",
AND(Q913&gt;=25,Q913&lt;30),"Overweight",
Q913&gt;=30,"Obesity")</f>
        <v>Obesity</v>
      </c>
      <c r="S913" s="2">
        <f t="shared" si="14"/>
        <v>802.5316455696202</v>
      </c>
      <c r="T913" s="2" t="str" cm="1">
        <f t="array" ref="T913">_xlfn.IFS(N913&lt;=2.5,"Low",N913&lt;=3,"Medium",N913&gt;3,"High")</f>
        <v>High</v>
      </c>
    </row>
    <row r="914" spans="1:20" x14ac:dyDescent="0.3">
      <c r="A914" s="2">
        <v>913</v>
      </c>
      <c r="B914" s="2" t="s">
        <v>27</v>
      </c>
      <c r="C914" s="2">
        <v>55</v>
      </c>
      <c r="D914" s="2" t="s">
        <v>15</v>
      </c>
      <c r="E914" s="2">
        <v>118.6</v>
      </c>
      <c r="F914" s="2">
        <v>1.72</v>
      </c>
      <c r="G914" s="2">
        <v>163</v>
      </c>
      <c r="H914" s="2">
        <v>168</v>
      </c>
      <c r="I914" s="2">
        <v>67</v>
      </c>
      <c r="J914" s="2">
        <v>0.77</v>
      </c>
      <c r="K914" s="2">
        <v>640</v>
      </c>
      <c r="L914" s="2" t="s">
        <v>20</v>
      </c>
      <c r="M914" s="2">
        <v>25.9</v>
      </c>
      <c r="N914" s="2">
        <v>2.6</v>
      </c>
      <c r="O914" s="2">
        <v>3</v>
      </c>
      <c r="P914" s="2">
        <v>1</v>
      </c>
      <c r="Q914" s="2">
        <v>40.090000000000003</v>
      </c>
      <c r="R914" s="2" t="str" cm="1">
        <f t="array" ref="R914">_xlfn.IFS(Q914&lt;18.5,"Underweight",
AND(Q914&gt;=18.5,Q914&lt;25),"Normal Weight",
AND(Q914&gt;=25,Q914&lt;30),"Overweight",
Q914&gt;=30,"Obesity")</f>
        <v>Obesity</v>
      </c>
      <c r="S914" s="2">
        <f t="shared" si="14"/>
        <v>831.16883116883116</v>
      </c>
      <c r="T914" s="2" t="str" cm="1">
        <f t="array" ref="T914">_xlfn.IFS(N914&lt;=2.5,"Low",N914&lt;=3,"Medium",N914&gt;3,"High")</f>
        <v>Medium</v>
      </c>
    </row>
    <row r="915" spans="1:20" x14ac:dyDescent="0.3">
      <c r="A915" s="2">
        <v>914</v>
      </c>
      <c r="B915" s="2" t="s">
        <v>23</v>
      </c>
      <c r="C915" s="2">
        <v>52</v>
      </c>
      <c r="D915" s="2" t="s">
        <v>15</v>
      </c>
      <c r="E915" s="2">
        <v>84.8</v>
      </c>
      <c r="F915" s="2">
        <v>1.85</v>
      </c>
      <c r="G915" s="2">
        <v>189</v>
      </c>
      <c r="H915" s="2">
        <v>152</v>
      </c>
      <c r="I915" s="2">
        <v>50</v>
      </c>
      <c r="J915" s="2">
        <v>1.19</v>
      </c>
      <c r="K915" s="2">
        <v>895</v>
      </c>
      <c r="L915" s="2" t="s">
        <v>19</v>
      </c>
      <c r="M915" s="2">
        <v>23.4</v>
      </c>
      <c r="N915" s="2">
        <v>3.2</v>
      </c>
      <c r="O915" s="2">
        <v>2</v>
      </c>
      <c r="P915" s="2">
        <v>1</v>
      </c>
      <c r="Q915" s="2">
        <v>24.78</v>
      </c>
      <c r="R915" s="2" t="str" cm="1">
        <f t="array" ref="R915">_xlfn.IFS(Q915&lt;18.5,"Underweight",
AND(Q915&gt;=18.5,Q915&lt;25),"Normal Weight",
AND(Q915&gt;=25,Q915&lt;30),"Overweight",
Q915&gt;=30,"Obesity")</f>
        <v>Normal Weight</v>
      </c>
      <c r="S915" s="2">
        <f t="shared" si="14"/>
        <v>752.10084033613452</v>
      </c>
      <c r="T915" s="2" t="str" cm="1">
        <f t="array" ref="T915">_xlfn.IFS(N915&lt;=2.5,"Low",N915&lt;=3,"Medium",N915&gt;3,"High")</f>
        <v>High</v>
      </c>
    </row>
    <row r="916" spans="1:20" x14ac:dyDescent="0.3">
      <c r="A916" s="2">
        <v>915</v>
      </c>
      <c r="B916" s="2" t="s">
        <v>30</v>
      </c>
      <c r="C916" s="2">
        <v>47</v>
      </c>
      <c r="D916" s="2" t="s">
        <v>15</v>
      </c>
      <c r="E916" s="2">
        <v>80</v>
      </c>
      <c r="F916" s="2">
        <v>1.77</v>
      </c>
      <c r="G916" s="2">
        <v>171</v>
      </c>
      <c r="H916" s="2">
        <v>149</v>
      </c>
      <c r="I916" s="2">
        <v>68</v>
      </c>
      <c r="J916" s="2">
        <v>0.72</v>
      </c>
      <c r="K916" s="2">
        <v>531</v>
      </c>
      <c r="L916" s="2" t="s">
        <v>18</v>
      </c>
      <c r="M916" s="2">
        <v>28.2</v>
      </c>
      <c r="N916" s="2">
        <v>3.5</v>
      </c>
      <c r="O916" s="2">
        <v>3</v>
      </c>
      <c r="P916" s="2">
        <v>1</v>
      </c>
      <c r="Q916" s="2">
        <v>25.54</v>
      </c>
      <c r="R916" s="2" t="str" cm="1">
        <f t="array" ref="R916">_xlfn.IFS(Q916&lt;18.5,"Underweight",
AND(Q916&gt;=18.5,Q916&lt;25),"Normal Weight",
AND(Q916&gt;=25,Q916&lt;30),"Overweight",
Q916&gt;=30,"Obesity")</f>
        <v>Overweight</v>
      </c>
      <c r="S916" s="2">
        <f t="shared" si="14"/>
        <v>737.5</v>
      </c>
      <c r="T916" s="2" t="str" cm="1">
        <f t="array" ref="T916">_xlfn.IFS(N916&lt;=2.5,"Low",N916&lt;=3,"Medium",N916&gt;3,"High")</f>
        <v>High</v>
      </c>
    </row>
    <row r="917" spans="1:20" x14ac:dyDescent="0.3">
      <c r="A917" s="2">
        <v>916</v>
      </c>
      <c r="B917" s="2" t="s">
        <v>24</v>
      </c>
      <c r="C917" s="2">
        <v>48</v>
      </c>
      <c r="D917" s="2" t="s">
        <v>15</v>
      </c>
      <c r="E917" s="2">
        <v>73.099999999999994</v>
      </c>
      <c r="F917" s="2">
        <v>1.83</v>
      </c>
      <c r="G917" s="2">
        <v>194</v>
      </c>
      <c r="H917" s="2">
        <v>131</v>
      </c>
      <c r="I917" s="2">
        <v>71</v>
      </c>
      <c r="J917" s="2">
        <v>1.05</v>
      </c>
      <c r="K917" s="2">
        <v>681</v>
      </c>
      <c r="L917" s="2" t="s">
        <v>17</v>
      </c>
      <c r="M917" s="2">
        <v>28</v>
      </c>
      <c r="N917" s="2">
        <v>2.8</v>
      </c>
      <c r="O917" s="2">
        <v>4</v>
      </c>
      <c r="P917" s="2">
        <v>2</v>
      </c>
      <c r="Q917" s="2">
        <v>21.83</v>
      </c>
      <c r="R917" s="2" t="str" cm="1">
        <f t="array" ref="R917">_xlfn.IFS(Q917&lt;18.5,"Underweight",
AND(Q917&gt;=18.5,Q917&lt;25),"Normal Weight",
AND(Q917&gt;=25,Q917&lt;30),"Overweight",
Q917&gt;=30,"Obesity")</f>
        <v>Normal Weight</v>
      </c>
      <c r="S917" s="2">
        <f t="shared" si="14"/>
        <v>648.57142857142856</v>
      </c>
      <c r="T917" s="2" t="str" cm="1">
        <f t="array" ref="T917">_xlfn.IFS(N917&lt;=2.5,"Low",N917&lt;=3,"Medium",N917&gt;3,"High")</f>
        <v>Medium</v>
      </c>
    </row>
    <row r="918" spans="1:20" x14ac:dyDescent="0.3">
      <c r="A918" s="2">
        <v>917</v>
      </c>
      <c r="B918" s="2" t="s">
        <v>26</v>
      </c>
      <c r="C918" s="2">
        <v>22</v>
      </c>
      <c r="D918" s="2" t="s">
        <v>15</v>
      </c>
      <c r="E918" s="2">
        <v>117.3</v>
      </c>
      <c r="F918" s="2">
        <v>1.68</v>
      </c>
      <c r="G918" s="2">
        <v>172</v>
      </c>
      <c r="H918" s="2">
        <v>134</v>
      </c>
      <c r="I918" s="2">
        <v>57</v>
      </c>
      <c r="J918" s="2">
        <v>1.24</v>
      </c>
      <c r="K918" s="2">
        <v>914</v>
      </c>
      <c r="L918" s="2" t="s">
        <v>17</v>
      </c>
      <c r="M918" s="2">
        <v>28.5</v>
      </c>
      <c r="N918" s="2">
        <v>2.7</v>
      </c>
      <c r="O918" s="2">
        <v>3</v>
      </c>
      <c r="P918" s="2">
        <v>2</v>
      </c>
      <c r="Q918" s="2">
        <v>41.56</v>
      </c>
      <c r="R918" s="2" t="str" cm="1">
        <f t="array" ref="R918">_xlfn.IFS(Q918&lt;18.5,"Underweight",
AND(Q918&gt;=18.5,Q918&lt;25),"Normal Weight",
AND(Q918&gt;=25,Q918&lt;30),"Overweight",
Q918&gt;=30,"Obesity")</f>
        <v>Obesity</v>
      </c>
      <c r="S918" s="2">
        <f t="shared" si="14"/>
        <v>737.09677419354841</v>
      </c>
      <c r="T918" s="2" t="str" cm="1">
        <f t="array" ref="T918">_xlfn.IFS(N918&lt;=2.5,"Low",N918&lt;=3,"Medium",N918&gt;3,"High")</f>
        <v>Medium</v>
      </c>
    </row>
    <row r="919" spans="1:20" x14ac:dyDescent="0.3">
      <c r="A919" s="2">
        <v>918</v>
      </c>
      <c r="B919" s="2" t="s">
        <v>24</v>
      </c>
      <c r="C919" s="2">
        <v>31</v>
      </c>
      <c r="D919" s="2" t="s">
        <v>16</v>
      </c>
      <c r="E919" s="2">
        <v>77.400000000000006</v>
      </c>
      <c r="F919" s="2">
        <v>1.71</v>
      </c>
      <c r="G919" s="2">
        <v>190</v>
      </c>
      <c r="H919" s="2">
        <v>137</v>
      </c>
      <c r="I919" s="2">
        <v>52</v>
      </c>
      <c r="J919" s="2">
        <v>1.26</v>
      </c>
      <c r="K919" s="2">
        <v>863</v>
      </c>
      <c r="L919" s="2" t="s">
        <v>19</v>
      </c>
      <c r="M919" s="2">
        <v>26.2</v>
      </c>
      <c r="N919" s="2">
        <v>1.8</v>
      </c>
      <c r="O919" s="2">
        <v>4</v>
      </c>
      <c r="P919" s="2">
        <v>2</v>
      </c>
      <c r="Q919" s="2">
        <v>26.47</v>
      </c>
      <c r="R919" s="2" t="str" cm="1">
        <f t="array" ref="R919">_xlfn.IFS(Q919&lt;18.5,"Underweight",
AND(Q919&gt;=18.5,Q919&lt;25),"Normal Weight",
AND(Q919&gt;=25,Q919&lt;30),"Overweight",
Q919&gt;=30,"Obesity")</f>
        <v>Overweight</v>
      </c>
      <c r="S919" s="2">
        <f t="shared" si="14"/>
        <v>684.92063492063494</v>
      </c>
      <c r="T919" s="2" t="str" cm="1">
        <f t="array" ref="T919">_xlfn.IFS(N919&lt;=2.5,"Low",N919&lt;=3,"Medium",N919&gt;3,"High")</f>
        <v>Low</v>
      </c>
    </row>
    <row r="920" spans="1:20" x14ac:dyDescent="0.3">
      <c r="A920" s="2">
        <v>919</v>
      </c>
      <c r="B920" s="2" t="s">
        <v>24</v>
      </c>
      <c r="C920" s="2">
        <v>28</v>
      </c>
      <c r="D920" s="2" t="s">
        <v>16</v>
      </c>
      <c r="E920" s="2">
        <v>72.900000000000006</v>
      </c>
      <c r="F920" s="2">
        <v>1.67</v>
      </c>
      <c r="G920" s="2">
        <v>197</v>
      </c>
      <c r="H920" s="2">
        <v>147</v>
      </c>
      <c r="I920" s="2">
        <v>74</v>
      </c>
      <c r="J920" s="2">
        <v>1.1299999999999999</v>
      </c>
      <c r="K920" s="2">
        <v>831</v>
      </c>
      <c r="L920" s="2" t="s">
        <v>19</v>
      </c>
      <c r="M920" s="2">
        <v>34.700000000000003</v>
      </c>
      <c r="N920" s="2">
        <v>2.2000000000000002</v>
      </c>
      <c r="O920" s="2">
        <v>3</v>
      </c>
      <c r="P920" s="2">
        <v>2</v>
      </c>
      <c r="Q920" s="2">
        <v>26.14</v>
      </c>
      <c r="R920" s="2" t="str" cm="1">
        <f t="array" ref="R920">_xlfn.IFS(Q920&lt;18.5,"Underweight",
AND(Q920&gt;=18.5,Q920&lt;25),"Normal Weight",
AND(Q920&gt;=25,Q920&lt;30),"Overweight",
Q920&gt;=30,"Obesity")</f>
        <v>Overweight</v>
      </c>
      <c r="S920" s="2">
        <f t="shared" si="14"/>
        <v>735.39823008849567</v>
      </c>
      <c r="T920" s="2" t="str" cm="1">
        <f t="array" ref="T920">_xlfn.IFS(N920&lt;=2.5,"Low",N920&lt;=3,"Medium",N920&gt;3,"High")</f>
        <v>Low</v>
      </c>
    </row>
    <row r="921" spans="1:20" x14ac:dyDescent="0.3">
      <c r="A921" s="2">
        <v>920</v>
      </c>
      <c r="B921" s="2" t="s">
        <v>24</v>
      </c>
      <c r="C921" s="2">
        <v>26</v>
      </c>
      <c r="D921" s="2" t="s">
        <v>16</v>
      </c>
      <c r="E921" s="2">
        <v>71.2</v>
      </c>
      <c r="F921" s="2">
        <v>1.5</v>
      </c>
      <c r="G921" s="2">
        <v>182</v>
      </c>
      <c r="H921" s="2">
        <v>142</v>
      </c>
      <c r="I921" s="2">
        <v>54</v>
      </c>
      <c r="J921" s="2">
        <v>1.1499999999999999</v>
      </c>
      <c r="K921" s="2">
        <v>816</v>
      </c>
      <c r="L921" s="2" t="s">
        <v>19</v>
      </c>
      <c r="M921" s="2">
        <v>34.6</v>
      </c>
      <c r="N921" s="2">
        <v>2.6</v>
      </c>
      <c r="O921" s="2">
        <v>2</v>
      </c>
      <c r="P921" s="2">
        <v>1</v>
      </c>
      <c r="Q921" s="2">
        <v>31.64</v>
      </c>
      <c r="R921" s="2" t="str" cm="1">
        <f t="array" ref="R921">_xlfn.IFS(Q921&lt;18.5,"Underweight",
AND(Q921&gt;=18.5,Q921&lt;25),"Normal Weight",
AND(Q921&gt;=25,Q921&lt;30),"Overweight",
Q921&gt;=30,"Obesity")</f>
        <v>Obesity</v>
      </c>
      <c r="S921" s="2">
        <f t="shared" si="14"/>
        <v>709.56521739130437</v>
      </c>
      <c r="T921" s="2" t="str" cm="1">
        <f t="array" ref="T921">_xlfn.IFS(N921&lt;=2.5,"Low",N921&lt;=3,"Medium",N921&gt;3,"High")</f>
        <v>Medium</v>
      </c>
    </row>
    <row r="922" spans="1:20" x14ac:dyDescent="0.3">
      <c r="A922" s="2">
        <v>921</v>
      </c>
      <c r="B922" s="2" t="s">
        <v>26</v>
      </c>
      <c r="C922" s="2">
        <v>51</v>
      </c>
      <c r="D922" s="2" t="s">
        <v>15</v>
      </c>
      <c r="E922" s="2">
        <v>88.2</v>
      </c>
      <c r="F922" s="2">
        <v>1.62</v>
      </c>
      <c r="G922" s="2">
        <v>163</v>
      </c>
      <c r="H922" s="2">
        <v>133</v>
      </c>
      <c r="I922" s="2">
        <v>72</v>
      </c>
      <c r="J922" s="2">
        <v>1.56</v>
      </c>
      <c r="K922" s="2">
        <v>1027</v>
      </c>
      <c r="L922" s="2" t="s">
        <v>19</v>
      </c>
      <c r="M922" s="2">
        <v>11.8</v>
      </c>
      <c r="N922" s="2">
        <v>3.5</v>
      </c>
      <c r="O922" s="2">
        <v>4</v>
      </c>
      <c r="P922" s="2">
        <v>3</v>
      </c>
      <c r="Q922" s="2">
        <v>33.61</v>
      </c>
      <c r="R922" s="2" t="str" cm="1">
        <f t="array" ref="R922">_xlfn.IFS(Q922&lt;18.5,"Underweight",
AND(Q922&gt;=18.5,Q922&lt;25),"Normal Weight",
AND(Q922&gt;=25,Q922&lt;30),"Overweight",
Q922&gt;=30,"Obesity")</f>
        <v>Obesity</v>
      </c>
      <c r="S922" s="2">
        <f t="shared" si="14"/>
        <v>658.33333333333326</v>
      </c>
      <c r="T922" s="2" t="str" cm="1">
        <f t="array" ref="T922">_xlfn.IFS(N922&lt;=2.5,"Low",N922&lt;=3,"Medium",N922&gt;3,"High")</f>
        <v>High</v>
      </c>
    </row>
    <row r="923" spans="1:20" x14ac:dyDescent="0.3">
      <c r="A923" s="2">
        <v>922</v>
      </c>
      <c r="B923" s="2" t="s">
        <v>25</v>
      </c>
      <c r="C923" s="2">
        <v>29</v>
      </c>
      <c r="D923" s="2" t="s">
        <v>16</v>
      </c>
      <c r="E923" s="2">
        <v>75.599999999999994</v>
      </c>
      <c r="F923" s="2">
        <v>1.8</v>
      </c>
      <c r="G923" s="2">
        <v>175</v>
      </c>
      <c r="H923" s="2">
        <v>149</v>
      </c>
      <c r="I923" s="2">
        <v>57</v>
      </c>
      <c r="J923" s="2">
        <v>1.31</v>
      </c>
      <c r="K923" s="2">
        <v>976</v>
      </c>
      <c r="L923" s="2" t="s">
        <v>17</v>
      </c>
      <c r="M923" s="2">
        <v>25.7</v>
      </c>
      <c r="N923" s="2">
        <v>1.9</v>
      </c>
      <c r="O923" s="2">
        <v>4</v>
      </c>
      <c r="P923" s="2">
        <v>2</v>
      </c>
      <c r="Q923" s="2">
        <v>23.33</v>
      </c>
      <c r="R923" s="2" t="str" cm="1">
        <f t="array" ref="R923">_xlfn.IFS(Q923&lt;18.5,"Underweight",
AND(Q923&gt;=18.5,Q923&lt;25),"Normal Weight",
AND(Q923&gt;=25,Q923&lt;30),"Overweight",
Q923&gt;=30,"Obesity")</f>
        <v>Normal Weight</v>
      </c>
      <c r="S923" s="2">
        <f t="shared" si="14"/>
        <v>745.03816793893122</v>
      </c>
      <c r="T923" s="2" t="str" cm="1">
        <f t="array" ref="T923">_xlfn.IFS(N923&lt;=2.5,"Low",N923&lt;=3,"Medium",N923&gt;3,"High")</f>
        <v>Low</v>
      </c>
    </row>
    <row r="924" spans="1:20" x14ac:dyDescent="0.3">
      <c r="A924" s="2">
        <v>923</v>
      </c>
      <c r="B924" s="2" t="s">
        <v>22</v>
      </c>
      <c r="C924" s="2">
        <v>52</v>
      </c>
      <c r="D924" s="2" t="s">
        <v>16</v>
      </c>
      <c r="E924" s="2">
        <v>57.9</v>
      </c>
      <c r="F924" s="2">
        <v>1.56</v>
      </c>
      <c r="G924" s="2">
        <v>166</v>
      </c>
      <c r="H924" s="2">
        <v>152</v>
      </c>
      <c r="I924" s="2">
        <v>68</v>
      </c>
      <c r="J924" s="2">
        <v>1.66</v>
      </c>
      <c r="K924" s="2">
        <v>1135</v>
      </c>
      <c r="L924" s="2" t="s">
        <v>18</v>
      </c>
      <c r="M924" s="2">
        <v>15.8</v>
      </c>
      <c r="N924" s="2">
        <v>2.7</v>
      </c>
      <c r="O924" s="2">
        <v>4</v>
      </c>
      <c r="P924" s="2">
        <v>3</v>
      </c>
      <c r="Q924" s="2">
        <v>23.79</v>
      </c>
      <c r="R924" s="2" t="str" cm="1">
        <f t="array" ref="R924">_xlfn.IFS(Q924&lt;18.5,"Underweight",
AND(Q924&gt;=18.5,Q924&lt;25),"Normal Weight",
AND(Q924&gt;=25,Q924&lt;30),"Overweight",
Q924&gt;=30,"Obesity")</f>
        <v>Normal Weight</v>
      </c>
      <c r="S924" s="2">
        <f t="shared" si="14"/>
        <v>683.73493975903614</v>
      </c>
      <c r="T924" s="2" t="str" cm="1">
        <f t="array" ref="T924">_xlfn.IFS(N924&lt;=2.5,"Low",N924&lt;=3,"Medium",N924&gt;3,"High")</f>
        <v>Medium</v>
      </c>
    </row>
    <row r="925" spans="1:20" x14ac:dyDescent="0.3">
      <c r="A925" s="2">
        <v>924</v>
      </c>
      <c r="B925" s="2" t="s">
        <v>30</v>
      </c>
      <c r="C925" s="2">
        <v>52</v>
      </c>
      <c r="D925" s="2" t="s">
        <v>16</v>
      </c>
      <c r="E925" s="2">
        <v>70.599999999999994</v>
      </c>
      <c r="F925" s="2">
        <v>1.58</v>
      </c>
      <c r="G925" s="2">
        <v>181</v>
      </c>
      <c r="H925" s="2">
        <v>164</v>
      </c>
      <c r="I925" s="2">
        <v>67</v>
      </c>
      <c r="J925" s="2">
        <v>1.02</v>
      </c>
      <c r="K925" s="2">
        <v>753</v>
      </c>
      <c r="L925" s="2" t="s">
        <v>18</v>
      </c>
      <c r="M925" s="2">
        <v>34.9</v>
      </c>
      <c r="N925" s="2">
        <v>2</v>
      </c>
      <c r="O925" s="2">
        <v>3</v>
      </c>
      <c r="P925" s="2">
        <v>2</v>
      </c>
      <c r="Q925" s="2">
        <v>28.28</v>
      </c>
      <c r="R925" s="2" t="str" cm="1">
        <f t="array" ref="R925">_xlfn.IFS(Q925&lt;18.5,"Underweight",
AND(Q925&gt;=18.5,Q925&lt;25),"Normal Weight",
AND(Q925&gt;=25,Q925&lt;30),"Overweight",
Q925&gt;=30,"Obesity")</f>
        <v>Overweight</v>
      </c>
      <c r="S925" s="2">
        <f t="shared" si="14"/>
        <v>738.23529411764707</v>
      </c>
      <c r="T925" s="2" t="str" cm="1">
        <f t="array" ref="T925">_xlfn.IFS(N925&lt;=2.5,"Low",N925&lt;=3,"Medium",N925&gt;3,"High")</f>
        <v>Low</v>
      </c>
    </row>
    <row r="926" spans="1:20" x14ac:dyDescent="0.3">
      <c r="A926" s="2">
        <v>925</v>
      </c>
      <c r="B926" s="2" t="s">
        <v>25</v>
      </c>
      <c r="C926" s="2">
        <v>18</v>
      </c>
      <c r="D926" s="2" t="s">
        <v>15</v>
      </c>
      <c r="E926" s="2">
        <v>118.6</v>
      </c>
      <c r="F926" s="2">
        <v>1.64</v>
      </c>
      <c r="G926" s="2">
        <v>188</v>
      </c>
      <c r="H926" s="2">
        <v>134</v>
      </c>
      <c r="I926" s="2">
        <v>67</v>
      </c>
      <c r="J926" s="2">
        <v>0.94</v>
      </c>
      <c r="K926" s="2">
        <v>693</v>
      </c>
      <c r="L926" s="2" t="s">
        <v>19</v>
      </c>
      <c r="M926" s="2">
        <v>25.6</v>
      </c>
      <c r="N926" s="2">
        <v>2.7</v>
      </c>
      <c r="O926" s="2">
        <v>3</v>
      </c>
      <c r="P926" s="2">
        <v>1</v>
      </c>
      <c r="Q926" s="2">
        <v>44.1</v>
      </c>
      <c r="R926" s="2" t="str" cm="1">
        <f t="array" ref="R926">_xlfn.IFS(Q926&lt;18.5,"Underweight",
AND(Q926&gt;=18.5,Q926&lt;25),"Normal Weight",
AND(Q926&gt;=25,Q926&lt;30),"Overweight",
Q926&gt;=30,"Obesity")</f>
        <v>Obesity</v>
      </c>
      <c r="S926" s="2">
        <f t="shared" si="14"/>
        <v>737.23404255319156</v>
      </c>
      <c r="T926" s="2" t="str" cm="1">
        <f t="array" ref="T926">_xlfn.IFS(N926&lt;=2.5,"Low",N926&lt;=3,"Medium",N926&gt;3,"High")</f>
        <v>Medium</v>
      </c>
    </row>
    <row r="927" spans="1:20" x14ac:dyDescent="0.3">
      <c r="A927" s="2">
        <v>926</v>
      </c>
      <c r="B927" s="2" t="s">
        <v>30</v>
      </c>
      <c r="C927" s="2">
        <v>57</v>
      </c>
      <c r="D927" s="2" t="s">
        <v>15</v>
      </c>
      <c r="E927" s="2">
        <v>55.7</v>
      </c>
      <c r="F927" s="2">
        <v>1.99</v>
      </c>
      <c r="G927" s="2">
        <v>170</v>
      </c>
      <c r="H927" s="2">
        <v>126</v>
      </c>
      <c r="I927" s="2">
        <v>70</v>
      </c>
      <c r="J927" s="2">
        <v>1.1299999999999999</v>
      </c>
      <c r="K927" s="2">
        <v>705</v>
      </c>
      <c r="L927" s="2" t="s">
        <v>20</v>
      </c>
      <c r="M927" s="2">
        <v>23.6</v>
      </c>
      <c r="N927" s="2">
        <v>3</v>
      </c>
      <c r="O927" s="2">
        <v>3</v>
      </c>
      <c r="P927" s="2">
        <v>2</v>
      </c>
      <c r="Q927" s="2">
        <v>14.07</v>
      </c>
      <c r="R927" s="2" t="str" cm="1">
        <f t="array" ref="R927">_xlfn.IFS(Q927&lt;18.5,"Underweight",
AND(Q927&gt;=18.5,Q927&lt;25),"Normal Weight",
AND(Q927&gt;=25,Q927&lt;30),"Overweight",
Q927&gt;=30,"Obesity")</f>
        <v>Underweight</v>
      </c>
      <c r="S927" s="2">
        <f t="shared" si="14"/>
        <v>623.8938053097346</v>
      </c>
      <c r="T927" s="2" t="str" cm="1">
        <f t="array" ref="T927">_xlfn.IFS(N927&lt;=2.5,"Low",N927&lt;=3,"Medium",N927&gt;3,"High")</f>
        <v>Medium</v>
      </c>
    </row>
    <row r="928" spans="1:20" x14ac:dyDescent="0.3">
      <c r="A928" s="2">
        <v>927</v>
      </c>
      <c r="B928" s="2" t="s">
        <v>28</v>
      </c>
      <c r="C928" s="2">
        <v>39</v>
      </c>
      <c r="D928" s="2" t="s">
        <v>15</v>
      </c>
      <c r="E928" s="2">
        <v>102.3</v>
      </c>
      <c r="F928" s="2">
        <v>1.94</v>
      </c>
      <c r="G928" s="2">
        <v>192</v>
      </c>
      <c r="H928" s="2">
        <v>134</v>
      </c>
      <c r="I928" s="2">
        <v>50</v>
      </c>
      <c r="J928" s="2">
        <v>0.89</v>
      </c>
      <c r="K928" s="2">
        <v>656</v>
      </c>
      <c r="L928" s="2" t="s">
        <v>17</v>
      </c>
      <c r="M928" s="2">
        <v>22.9</v>
      </c>
      <c r="N928" s="2">
        <v>2.4</v>
      </c>
      <c r="O928" s="2">
        <v>3</v>
      </c>
      <c r="P928" s="2">
        <v>1</v>
      </c>
      <c r="Q928" s="2">
        <v>27.18</v>
      </c>
      <c r="R928" s="2" t="str" cm="1">
        <f t="array" ref="R928">_xlfn.IFS(Q928&lt;18.5,"Underweight",
AND(Q928&gt;=18.5,Q928&lt;25),"Normal Weight",
AND(Q928&gt;=25,Q928&lt;30),"Overweight",
Q928&gt;=30,"Obesity")</f>
        <v>Overweight</v>
      </c>
      <c r="S928" s="2">
        <f t="shared" si="14"/>
        <v>737.0786516853932</v>
      </c>
      <c r="T928" s="2" t="str" cm="1">
        <f t="array" ref="T928">_xlfn.IFS(N928&lt;=2.5,"Low",N928&lt;=3,"Medium",N928&gt;3,"High")</f>
        <v>Low</v>
      </c>
    </row>
    <row r="929" spans="1:20" x14ac:dyDescent="0.3">
      <c r="A929" s="2">
        <v>928</v>
      </c>
      <c r="B929" s="2" t="s">
        <v>23</v>
      </c>
      <c r="C929" s="2">
        <v>46</v>
      </c>
      <c r="D929" s="2" t="s">
        <v>15</v>
      </c>
      <c r="E929" s="2">
        <v>72.599999999999994</v>
      </c>
      <c r="F929" s="2">
        <v>1.87</v>
      </c>
      <c r="G929" s="2">
        <v>188</v>
      </c>
      <c r="H929" s="2">
        <v>161</v>
      </c>
      <c r="I929" s="2">
        <v>64</v>
      </c>
      <c r="J929" s="2">
        <v>1.31</v>
      </c>
      <c r="K929" s="2">
        <v>1044</v>
      </c>
      <c r="L929" s="2" t="s">
        <v>18</v>
      </c>
      <c r="M929" s="2">
        <v>22.6</v>
      </c>
      <c r="N929" s="2">
        <v>3.4</v>
      </c>
      <c r="O929" s="2">
        <v>4</v>
      </c>
      <c r="P929" s="2">
        <v>2</v>
      </c>
      <c r="Q929" s="2">
        <v>20.76</v>
      </c>
      <c r="R929" s="2" t="str" cm="1">
        <f t="array" ref="R929">_xlfn.IFS(Q929&lt;18.5,"Underweight",
AND(Q929&gt;=18.5,Q929&lt;25),"Normal Weight",
AND(Q929&gt;=25,Q929&lt;30),"Overweight",
Q929&gt;=30,"Obesity")</f>
        <v>Normal Weight</v>
      </c>
      <c r="S929" s="2">
        <f t="shared" si="14"/>
        <v>796.94656488549617</v>
      </c>
      <c r="T929" s="2" t="str" cm="1">
        <f t="array" ref="T929">_xlfn.IFS(N929&lt;=2.5,"Low",N929&lt;=3,"Medium",N929&gt;3,"High")</f>
        <v>High</v>
      </c>
    </row>
    <row r="930" spans="1:20" x14ac:dyDescent="0.3">
      <c r="A930" s="2">
        <v>929</v>
      </c>
      <c r="B930" s="2" t="s">
        <v>23</v>
      </c>
      <c r="C930" s="2">
        <v>25</v>
      </c>
      <c r="D930" s="2" t="s">
        <v>16</v>
      </c>
      <c r="E930" s="2">
        <v>63.8</v>
      </c>
      <c r="F930" s="2">
        <v>1.68</v>
      </c>
      <c r="G930" s="2">
        <v>198</v>
      </c>
      <c r="H930" s="2">
        <v>165</v>
      </c>
      <c r="I930" s="2">
        <v>67</v>
      </c>
      <c r="J930" s="2">
        <v>0.95</v>
      </c>
      <c r="K930" s="2">
        <v>784</v>
      </c>
      <c r="L930" s="2" t="s">
        <v>19</v>
      </c>
      <c r="M930" s="2">
        <v>31.6</v>
      </c>
      <c r="N930" s="2">
        <v>1.9</v>
      </c>
      <c r="O930" s="2">
        <v>2</v>
      </c>
      <c r="P930" s="2">
        <v>1</v>
      </c>
      <c r="Q930" s="2">
        <v>22.6</v>
      </c>
      <c r="R930" s="2" t="str" cm="1">
        <f t="array" ref="R930">_xlfn.IFS(Q930&lt;18.5,"Underweight",
AND(Q930&gt;=18.5,Q930&lt;25),"Normal Weight",
AND(Q930&gt;=25,Q930&lt;30),"Overweight",
Q930&gt;=30,"Obesity")</f>
        <v>Normal Weight</v>
      </c>
      <c r="S930" s="2">
        <f t="shared" si="14"/>
        <v>825.26315789473688</v>
      </c>
      <c r="T930" s="2" t="str" cm="1">
        <f t="array" ref="T930">_xlfn.IFS(N930&lt;=2.5,"Low",N930&lt;=3,"Medium",N930&gt;3,"High")</f>
        <v>Low</v>
      </c>
    </row>
    <row r="931" spans="1:20" x14ac:dyDescent="0.3">
      <c r="A931" s="2">
        <v>930</v>
      </c>
      <c r="B931" s="2" t="s">
        <v>21</v>
      </c>
      <c r="C931" s="2">
        <v>28</v>
      </c>
      <c r="D931" s="2" t="s">
        <v>16</v>
      </c>
      <c r="E931" s="2">
        <v>67.3</v>
      </c>
      <c r="F931" s="2">
        <v>1.67</v>
      </c>
      <c r="G931" s="2">
        <v>171</v>
      </c>
      <c r="H931" s="2">
        <v>157</v>
      </c>
      <c r="I931" s="2">
        <v>74</v>
      </c>
      <c r="J931" s="2">
        <v>0.61</v>
      </c>
      <c r="K931" s="2">
        <v>479</v>
      </c>
      <c r="L931" s="2" t="s">
        <v>20</v>
      </c>
      <c r="M931" s="2">
        <v>29.2</v>
      </c>
      <c r="N931" s="2">
        <v>2.2999999999999998</v>
      </c>
      <c r="O931" s="2">
        <v>3</v>
      </c>
      <c r="P931" s="2">
        <v>1</v>
      </c>
      <c r="Q931" s="2">
        <v>24.13</v>
      </c>
      <c r="R931" s="2" t="str" cm="1">
        <f t="array" ref="R931">_xlfn.IFS(Q931&lt;18.5,"Underweight",
AND(Q931&gt;=18.5,Q931&lt;25),"Normal Weight",
AND(Q931&gt;=25,Q931&lt;30),"Overweight",
Q931&gt;=30,"Obesity")</f>
        <v>Normal Weight</v>
      </c>
      <c r="S931" s="2">
        <f t="shared" si="14"/>
        <v>785.24590163934431</v>
      </c>
      <c r="T931" s="2" t="str" cm="1">
        <f t="array" ref="T931">_xlfn.IFS(N931&lt;=2.5,"Low",N931&lt;=3,"Medium",N931&gt;3,"High")</f>
        <v>Low</v>
      </c>
    </row>
    <row r="932" spans="1:20" x14ac:dyDescent="0.3">
      <c r="A932" s="2">
        <v>931</v>
      </c>
      <c r="B932" s="2" t="s">
        <v>23</v>
      </c>
      <c r="C932" s="2">
        <v>58</v>
      </c>
      <c r="D932" s="2" t="s">
        <v>16</v>
      </c>
      <c r="E932" s="2">
        <v>59.3</v>
      </c>
      <c r="F932" s="2">
        <v>1.58</v>
      </c>
      <c r="G932" s="2">
        <v>166</v>
      </c>
      <c r="H932" s="2">
        <v>165</v>
      </c>
      <c r="I932" s="2">
        <v>56</v>
      </c>
      <c r="J932" s="2">
        <v>1.97</v>
      </c>
      <c r="K932" s="2">
        <v>1463</v>
      </c>
      <c r="L932" s="2" t="s">
        <v>20</v>
      </c>
      <c r="M932" s="2">
        <v>19.8</v>
      </c>
      <c r="N932" s="2">
        <v>2.7</v>
      </c>
      <c r="O932" s="2">
        <v>4</v>
      </c>
      <c r="P932" s="2">
        <v>3</v>
      </c>
      <c r="Q932" s="2">
        <v>23.75</v>
      </c>
      <c r="R932" s="2" t="str" cm="1">
        <f t="array" ref="R932">_xlfn.IFS(Q932&lt;18.5,"Underweight",
AND(Q932&gt;=18.5,Q932&lt;25),"Normal Weight",
AND(Q932&gt;=25,Q932&lt;30),"Overweight",
Q932&gt;=30,"Obesity")</f>
        <v>Normal Weight</v>
      </c>
      <c r="S932" s="2">
        <f t="shared" si="14"/>
        <v>742.63959390862942</v>
      </c>
      <c r="T932" s="2" t="str" cm="1">
        <f t="array" ref="T932">_xlfn.IFS(N932&lt;=2.5,"Low",N932&lt;=3,"Medium",N932&gt;3,"High")</f>
        <v>Medium</v>
      </c>
    </row>
    <row r="933" spans="1:20" x14ac:dyDescent="0.3">
      <c r="A933" s="2">
        <v>932</v>
      </c>
      <c r="B933" s="2" t="s">
        <v>26</v>
      </c>
      <c r="C933" s="2">
        <v>54</v>
      </c>
      <c r="D933" s="2" t="s">
        <v>16</v>
      </c>
      <c r="E933" s="2">
        <v>70.7</v>
      </c>
      <c r="F933" s="2">
        <v>1.57</v>
      </c>
      <c r="G933" s="2">
        <v>198</v>
      </c>
      <c r="H933" s="2">
        <v>163</v>
      </c>
      <c r="I933" s="2">
        <v>65</v>
      </c>
      <c r="J933" s="2">
        <v>1.1399999999999999</v>
      </c>
      <c r="K933" s="2">
        <v>836</v>
      </c>
      <c r="L933" s="2" t="s">
        <v>19</v>
      </c>
      <c r="M933" s="2">
        <v>31.8</v>
      </c>
      <c r="N933" s="2">
        <v>2.1</v>
      </c>
      <c r="O933" s="2">
        <v>3</v>
      </c>
      <c r="P933" s="2">
        <v>1</v>
      </c>
      <c r="Q933" s="2">
        <v>28.68</v>
      </c>
      <c r="R933" s="2" t="str" cm="1">
        <f t="array" ref="R933">_xlfn.IFS(Q933&lt;18.5,"Underweight",
AND(Q933&gt;=18.5,Q933&lt;25),"Normal Weight",
AND(Q933&gt;=25,Q933&lt;30),"Overweight",
Q933&gt;=30,"Obesity")</f>
        <v>Overweight</v>
      </c>
      <c r="S933" s="2">
        <f t="shared" si="14"/>
        <v>733.33333333333337</v>
      </c>
      <c r="T933" s="2" t="str" cm="1">
        <f t="array" ref="T933">_xlfn.IFS(N933&lt;=2.5,"Low",N933&lt;=3,"Medium",N933&gt;3,"High")</f>
        <v>Low</v>
      </c>
    </row>
    <row r="934" spans="1:20" x14ac:dyDescent="0.3">
      <c r="A934" s="2">
        <v>933</v>
      </c>
      <c r="B934" s="2" t="s">
        <v>27</v>
      </c>
      <c r="C934" s="2">
        <v>31</v>
      </c>
      <c r="D934" s="2" t="s">
        <v>15</v>
      </c>
      <c r="E934" s="2">
        <v>86.9</v>
      </c>
      <c r="F934" s="2">
        <v>1.69</v>
      </c>
      <c r="G934" s="2">
        <v>185</v>
      </c>
      <c r="H934" s="2">
        <v>130</v>
      </c>
      <c r="I934" s="2">
        <v>65</v>
      </c>
      <c r="J934" s="2">
        <v>1.72</v>
      </c>
      <c r="K934" s="2">
        <v>1230</v>
      </c>
      <c r="L934" s="2" t="s">
        <v>17</v>
      </c>
      <c r="M934" s="2">
        <v>14</v>
      </c>
      <c r="N934" s="2">
        <v>3.5</v>
      </c>
      <c r="O934" s="2">
        <v>4</v>
      </c>
      <c r="P934" s="2">
        <v>3</v>
      </c>
      <c r="Q934" s="2">
        <v>30.43</v>
      </c>
      <c r="R934" s="2" t="str" cm="1">
        <f t="array" ref="R934">_xlfn.IFS(Q934&lt;18.5,"Underweight",
AND(Q934&gt;=18.5,Q934&lt;25),"Normal Weight",
AND(Q934&gt;=25,Q934&lt;30),"Overweight",
Q934&gt;=30,"Obesity")</f>
        <v>Obesity</v>
      </c>
      <c r="S934" s="2">
        <f t="shared" si="14"/>
        <v>715.11627906976742</v>
      </c>
      <c r="T934" s="2" t="str" cm="1">
        <f t="array" ref="T934">_xlfn.IFS(N934&lt;=2.5,"Low",N934&lt;=3,"Medium",N934&gt;3,"High")</f>
        <v>High</v>
      </c>
    </row>
    <row r="935" spans="1:20" x14ac:dyDescent="0.3">
      <c r="A935" s="2">
        <v>934</v>
      </c>
      <c r="B935" s="2" t="s">
        <v>29</v>
      </c>
      <c r="C935" s="2">
        <v>47</v>
      </c>
      <c r="D935" s="2" t="s">
        <v>15</v>
      </c>
      <c r="E935" s="2">
        <v>98.2</v>
      </c>
      <c r="F935" s="2">
        <v>1.9</v>
      </c>
      <c r="G935" s="2">
        <v>199</v>
      </c>
      <c r="H935" s="2">
        <v>148</v>
      </c>
      <c r="I935" s="2">
        <v>64</v>
      </c>
      <c r="J935" s="2">
        <v>0.76</v>
      </c>
      <c r="K935" s="2">
        <v>557</v>
      </c>
      <c r="L935" s="2" t="s">
        <v>18</v>
      </c>
      <c r="M935" s="2">
        <v>22.9</v>
      </c>
      <c r="N935" s="2">
        <v>3</v>
      </c>
      <c r="O935" s="2">
        <v>3</v>
      </c>
      <c r="P935" s="2">
        <v>1</v>
      </c>
      <c r="Q935" s="2">
        <v>27.2</v>
      </c>
      <c r="R935" s="2" t="str" cm="1">
        <f t="array" ref="R935">_xlfn.IFS(Q935&lt;18.5,"Underweight",
AND(Q935&gt;=18.5,Q935&lt;25),"Normal Weight",
AND(Q935&gt;=25,Q935&lt;30),"Overweight",
Q935&gt;=30,"Obesity")</f>
        <v>Overweight</v>
      </c>
      <c r="S935" s="2">
        <f t="shared" si="14"/>
        <v>732.8947368421052</v>
      </c>
      <c r="T935" s="2" t="str" cm="1">
        <f t="array" ref="T935">_xlfn.IFS(N935&lt;=2.5,"Low",N935&lt;=3,"Medium",N935&gt;3,"High")</f>
        <v>Medium</v>
      </c>
    </row>
    <row r="936" spans="1:20" x14ac:dyDescent="0.3">
      <c r="A936" s="2">
        <v>935</v>
      </c>
      <c r="B936" s="2" t="s">
        <v>21</v>
      </c>
      <c r="C936" s="2">
        <v>52</v>
      </c>
      <c r="D936" s="2" t="s">
        <v>15</v>
      </c>
      <c r="E936" s="2">
        <v>63.6</v>
      </c>
      <c r="F936" s="2">
        <v>1.62</v>
      </c>
      <c r="G936" s="2">
        <v>168</v>
      </c>
      <c r="H936" s="2">
        <v>150</v>
      </c>
      <c r="I936" s="2">
        <v>55</v>
      </c>
      <c r="J936" s="2">
        <v>1.3</v>
      </c>
      <c r="K936" s="2">
        <v>965</v>
      </c>
      <c r="L936" s="2" t="s">
        <v>20</v>
      </c>
      <c r="M936" s="2">
        <v>20.8</v>
      </c>
      <c r="N936" s="2">
        <v>2.2999999999999998</v>
      </c>
      <c r="O936" s="2">
        <v>4</v>
      </c>
      <c r="P936" s="2">
        <v>2</v>
      </c>
      <c r="Q936" s="2">
        <v>24.23</v>
      </c>
      <c r="R936" s="2" t="str" cm="1">
        <f t="array" ref="R936">_xlfn.IFS(Q936&lt;18.5,"Underweight",
AND(Q936&gt;=18.5,Q936&lt;25),"Normal Weight",
AND(Q936&gt;=25,Q936&lt;30),"Overweight",
Q936&gt;=30,"Obesity")</f>
        <v>Normal Weight</v>
      </c>
      <c r="S936" s="2">
        <f t="shared" si="14"/>
        <v>742.30769230769226</v>
      </c>
      <c r="T936" s="2" t="str" cm="1">
        <f t="array" ref="T936">_xlfn.IFS(N936&lt;=2.5,"Low",N936&lt;=3,"Medium",N936&gt;3,"High")</f>
        <v>Low</v>
      </c>
    </row>
    <row r="937" spans="1:20" x14ac:dyDescent="0.3">
      <c r="A937" s="2">
        <v>936</v>
      </c>
      <c r="B937" s="2" t="s">
        <v>29</v>
      </c>
      <c r="C937" s="2">
        <v>38</v>
      </c>
      <c r="D937" s="2" t="s">
        <v>16</v>
      </c>
      <c r="E937" s="2">
        <v>45.2</v>
      </c>
      <c r="F937" s="2">
        <v>1.68</v>
      </c>
      <c r="G937" s="2">
        <v>193</v>
      </c>
      <c r="H937" s="2">
        <v>144</v>
      </c>
      <c r="I937" s="2">
        <v>58</v>
      </c>
      <c r="J937" s="2">
        <v>1.01</v>
      </c>
      <c r="K937" s="2">
        <v>727</v>
      </c>
      <c r="L937" s="2" t="s">
        <v>18</v>
      </c>
      <c r="M937" s="2">
        <v>29.9</v>
      </c>
      <c r="N937" s="2">
        <v>2.4</v>
      </c>
      <c r="O937" s="2">
        <v>3</v>
      </c>
      <c r="P937" s="2">
        <v>2</v>
      </c>
      <c r="Q937" s="2">
        <v>16.010000000000002</v>
      </c>
      <c r="R937" s="2" t="str" cm="1">
        <f t="array" ref="R937">_xlfn.IFS(Q937&lt;18.5,"Underweight",
AND(Q937&gt;=18.5,Q937&lt;25),"Normal Weight",
AND(Q937&gt;=25,Q937&lt;30),"Overweight",
Q937&gt;=30,"Obesity")</f>
        <v>Underweight</v>
      </c>
      <c r="S937" s="2">
        <f t="shared" si="14"/>
        <v>719.80198019801981</v>
      </c>
      <c r="T937" s="2" t="str" cm="1">
        <f t="array" ref="T937">_xlfn.IFS(N937&lt;=2.5,"Low",N937&lt;=3,"Medium",N937&gt;3,"High")</f>
        <v>Low</v>
      </c>
    </row>
    <row r="938" spans="1:20" x14ac:dyDescent="0.3">
      <c r="A938" s="2">
        <v>937</v>
      </c>
      <c r="B938" s="2" t="s">
        <v>30</v>
      </c>
      <c r="C938" s="2">
        <v>54</v>
      </c>
      <c r="D938" s="2" t="s">
        <v>15</v>
      </c>
      <c r="E938" s="2">
        <v>117.2</v>
      </c>
      <c r="F938" s="2">
        <v>1.62</v>
      </c>
      <c r="G938" s="2">
        <v>172</v>
      </c>
      <c r="H938" s="2">
        <v>143</v>
      </c>
      <c r="I938" s="2">
        <v>56</v>
      </c>
      <c r="J938" s="2">
        <v>1.04</v>
      </c>
      <c r="K938" s="2">
        <v>736</v>
      </c>
      <c r="L938" s="2" t="s">
        <v>18</v>
      </c>
      <c r="M938" s="2">
        <v>23.1</v>
      </c>
      <c r="N938" s="2">
        <v>2.2999999999999998</v>
      </c>
      <c r="O938" s="2">
        <v>4</v>
      </c>
      <c r="P938" s="2">
        <v>2</v>
      </c>
      <c r="Q938" s="2">
        <v>44.66</v>
      </c>
      <c r="R938" s="2" t="str" cm="1">
        <f t="array" ref="R938">_xlfn.IFS(Q938&lt;18.5,"Underweight",
AND(Q938&gt;=18.5,Q938&lt;25),"Normal Weight",
AND(Q938&gt;=25,Q938&lt;30),"Overweight",
Q938&gt;=30,"Obesity")</f>
        <v>Obesity</v>
      </c>
      <c r="S938" s="2">
        <f t="shared" si="14"/>
        <v>707.69230769230762</v>
      </c>
      <c r="T938" s="2" t="str" cm="1">
        <f t="array" ref="T938">_xlfn.IFS(N938&lt;=2.5,"Low",N938&lt;=3,"Medium",N938&gt;3,"High")</f>
        <v>Low</v>
      </c>
    </row>
    <row r="939" spans="1:20" x14ac:dyDescent="0.3">
      <c r="A939" s="2">
        <v>938</v>
      </c>
      <c r="B939" s="2" t="s">
        <v>29</v>
      </c>
      <c r="C939" s="2">
        <v>22</v>
      </c>
      <c r="D939" s="2" t="s">
        <v>15</v>
      </c>
      <c r="E939" s="2">
        <v>107.4</v>
      </c>
      <c r="F939" s="2">
        <v>1.74</v>
      </c>
      <c r="G939" s="2">
        <v>195</v>
      </c>
      <c r="H939" s="2">
        <v>138</v>
      </c>
      <c r="I939" s="2">
        <v>63</v>
      </c>
      <c r="J939" s="2">
        <v>1.34</v>
      </c>
      <c r="K939" s="2">
        <v>1017</v>
      </c>
      <c r="L939" s="2" t="s">
        <v>20</v>
      </c>
      <c r="M939" s="2">
        <v>22</v>
      </c>
      <c r="N939" s="2">
        <v>2.2000000000000002</v>
      </c>
      <c r="O939" s="2">
        <v>2</v>
      </c>
      <c r="P939" s="2">
        <v>1</v>
      </c>
      <c r="Q939" s="2">
        <v>35.47</v>
      </c>
      <c r="R939" s="2" t="str" cm="1">
        <f t="array" ref="R939">_xlfn.IFS(Q939&lt;18.5,"Underweight",
AND(Q939&gt;=18.5,Q939&lt;25),"Normal Weight",
AND(Q939&gt;=25,Q939&lt;30),"Overweight",
Q939&gt;=30,"Obesity")</f>
        <v>Obesity</v>
      </c>
      <c r="S939" s="2">
        <f t="shared" si="14"/>
        <v>758.95522388059692</v>
      </c>
      <c r="T939" s="2" t="str" cm="1">
        <f t="array" ref="T939">_xlfn.IFS(N939&lt;=2.5,"Low",N939&lt;=3,"Medium",N939&gt;3,"High")</f>
        <v>Low</v>
      </c>
    </row>
    <row r="940" spans="1:20" x14ac:dyDescent="0.3">
      <c r="A940" s="2">
        <v>939</v>
      </c>
      <c r="B940" s="2" t="s">
        <v>29</v>
      </c>
      <c r="C940" s="2">
        <v>36</v>
      </c>
      <c r="D940" s="2" t="s">
        <v>16</v>
      </c>
      <c r="E940" s="2">
        <v>59.1</v>
      </c>
      <c r="F940" s="2">
        <v>1.78</v>
      </c>
      <c r="G940" s="2">
        <v>184</v>
      </c>
      <c r="H940" s="2">
        <v>121</v>
      </c>
      <c r="I940" s="2">
        <v>60</v>
      </c>
      <c r="J940" s="2">
        <v>0.85</v>
      </c>
      <c r="K940" s="2">
        <v>514</v>
      </c>
      <c r="L940" s="2" t="s">
        <v>19</v>
      </c>
      <c r="M940" s="2">
        <v>34.5</v>
      </c>
      <c r="N940" s="2">
        <v>2.2000000000000002</v>
      </c>
      <c r="O940" s="2">
        <v>2</v>
      </c>
      <c r="P940" s="2">
        <v>1</v>
      </c>
      <c r="Q940" s="2">
        <v>18.649999999999999</v>
      </c>
      <c r="R940" s="2" t="str" cm="1">
        <f t="array" ref="R940">_xlfn.IFS(Q940&lt;18.5,"Underweight",
AND(Q940&gt;=18.5,Q940&lt;25),"Normal Weight",
AND(Q940&gt;=25,Q940&lt;30),"Overweight",
Q940&gt;=30,"Obesity")</f>
        <v>Normal Weight</v>
      </c>
      <c r="S940" s="2">
        <f t="shared" si="14"/>
        <v>604.70588235294122</v>
      </c>
      <c r="T940" s="2" t="str" cm="1">
        <f t="array" ref="T940">_xlfn.IFS(N940&lt;=2.5,"Low",N940&lt;=3,"Medium",N940&gt;3,"High")</f>
        <v>Low</v>
      </c>
    </row>
    <row r="941" spans="1:20" x14ac:dyDescent="0.3">
      <c r="A941" s="2">
        <v>940</v>
      </c>
      <c r="B941" s="2" t="s">
        <v>21</v>
      </c>
      <c r="C941" s="2">
        <v>31</v>
      </c>
      <c r="D941" s="2" t="s">
        <v>16</v>
      </c>
      <c r="E941" s="2">
        <v>53.3</v>
      </c>
      <c r="F941" s="2">
        <v>1.64</v>
      </c>
      <c r="G941" s="2">
        <v>183</v>
      </c>
      <c r="H941" s="2">
        <v>141</v>
      </c>
      <c r="I941" s="2">
        <v>70</v>
      </c>
      <c r="J941" s="2">
        <v>0.56999999999999995</v>
      </c>
      <c r="K941" s="2">
        <v>402</v>
      </c>
      <c r="L941" s="2" t="s">
        <v>20</v>
      </c>
      <c r="M941" s="2">
        <v>29.4</v>
      </c>
      <c r="N941" s="2">
        <v>2.4</v>
      </c>
      <c r="O941" s="2">
        <v>3</v>
      </c>
      <c r="P941" s="2">
        <v>1</v>
      </c>
      <c r="Q941" s="2">
        <v>19.82</v>
      </c>
      <c r="R941" s="2" t="str" cm="1">
        <f t="array" ref="R941">_xlfn.IFS(Q941&lt;18.5,"Underweight",
AND(Q941&gt;=18.5,Q941&lt;25),"Normal Weight",
AND(Q941&gt;=25,Q941&lt;30),"Overweight",
Q941&gt;=30,"Obesity")</f>
        <v>Normal Weight</v>
      </c>
      <c r="S941" s="2">
        <f t="shared" si="14"/>
        <v>705.26315789473688</v>
      </c>
      <c r="T941" s="2" t="str" cm="1">
        <f t="array" ref="T941">_xlfn.IFS(N941&lt;=2.5,"Low",N941&lt;=3,"Medium",N941&gt;3,"High")</f>
        <v>Low</v>
      </c>
    </row>
    <row r="942" spans="1:20" x14ac:dyDescent="0.3">
      <c r="A942" s="2">
        <v>941</v>
      </c>
      <c r="B942" s="2" t="s">
        <v>28</v>
      </c>
      <c r="C942" s="2">
        <v>43</v>
      </c>
      <c r="D942" s="2" t="s">
        <v>15</v>
      </c>
      <c r="E942" s="2">
        <v>46.2</v>
      </c>
      <c r="F942" s="2">
        <v>1.63</v>
      </c>
      <c r="G942" s="2">
        <v>176</v>
      </c>
      <c r="H942" s="2">
        <v>139</v>
      </c>
      <c r="I942" s="2">
        <v>65</v>
      </c>
      <c r="J942" s="2">
        <v>1.18</v>
      </c>
      <c r="K942" s="2">
        <v>812</v>
      </c>
      <c r="L942" s="2" t="s">
        <v>20</v>
      </c>
      <c r="M942" s="2">
        <v>21.7</v>
      </c>
      <c r="N942" s="2">
        <v>2.1</v>
      </c>
      <c r="O942" s="2">
        <v>2</v>
      </c>
      <c r="P942" s="2">
        <v>1</v>
      </c>
      <c r="Q942" s="2">
        <v>17.39</v>
      </c>
      <c r="R942" s="2" t="str" cm="1">
        <f t="array" ref="R942">_xlfn.IFS(Q942&lt;18.5,"Underweight",
AND(Q942&gt;=18.5,Q942&lt;25),"Normal Weight",
AND(Q942&gt;=25,Q942&lt;30),"Overweight",
Q942&gt;=30,"Obesity")</f>
        <v>Underweight</v>
      </c>
      <c r="S942" s="2">
        <f t="shared" si="14"/>
        <v>688.13559322033905</v>
      </c>
      <c r="T942" s="2" t="str" cm="1">
        <f t="array" ref="T942">_xlfn.IFS(N942&lt;=2.5,"Low",N942&lt;=3,"Medium",N942&gt;3,"High")</f>
        <v>Low</v>
      </c>
    </row>
    <row r="943" spans="1:20" x14ac:dyDescent="0.3">
      <c r="A943" s="2">
        <v>942</v>
      </c>
      <c r="B943" s="2" t="s">
        <v>24</v>
      </c>
      <c r="C943" s="2">
        <v>21</v>
      </c>
      <c r="D943" s="2" t="s">
        <v>15</v>
      </c>
      <c r="E943" s="2">
        <v>67</v>
      </c>
      <c r="F943" s="2">
        <v>1.61</v>
      </c>
      <c r="G943" s="2">
        <v>161</v>
      </c>
      <c r="H943" s="2">
        <v>152</v>
      </c>
      <c r="I943" s="2">
        <v>74</v>
      </c>
      <c r="J943" s="2">
        <v>1.32</v>
      </c>
      <c r="K943" s="2">
        <v>1104</v>
      </c>
      <c r="L943" s="2" t="s">
        <v>17</v>
      </c>
      <c r="M943" s="2">
        <v>22</v>
      </c>
      <c r="N943" s="2">
        <v>2.1</v>
      </c>
      <c r="O943" s="2">
        <v>3</v>
      </c>
      <c r="P943" s="2">
        <v>2</v>
      </c>
      <c r="Q943" s="2">
        <v>25.85</v>
      </c>
      <c r="R943" s="2" t="str" cm="1">
        <f t="array" ref="R943">_xlfn.IFS(Q943&lt;18.5,"Underweight",
AND(Q943&gt;=18.5,Q943&lt;25),"Normal Weight",
AND(Q943&gt;=25,Q943&lt;30),"Overweight",
Q943&gt;=30,"Obesity")</f>
        <v>Overweight</v>
      </c>
      <c r="S943" s="2">
        <f t="shared" si="14"/>
        <v>836.36363636363637</v>
      </c>
      <c r="T943" s="2" t="str" cm="1">
        <f t="array" ref="T943">_xlfn.IFS(N943&lt;=2.5,"Low",N943&lt;=3,"Medium",N943&gt;3,"High")</f>
        <v>Low</v>
      </c>
    </row>
    <row r="944" spans="1:20" x14ac:dyDescent="0.3">
      <c r="A944" s="2">
        <v>943</v>
      </c>
      <c r="B944" s="2" t="s">
        <v>23</v>
      </c>
      <c r="C944" s="2">
        <v>42</v>
      </c>
      <c r="D944" s="2" t="s">
        <v>15</v>
      </c>
      <c r="E944" s="2">
        <v>86.3</v>
      </c>
      <c r="F944" s="2">
        <v>1.77</v>
      </c>
      <c r="G944" s="2">
        <v>172</v>
      </c>
      <c r="H944" s="2">
        <v>127</v>
      </c>
      <c r="I944" s="2">
        <v>55</v>
      </c>
      <c r="J944" s="2">
        <v>1.77</v>
      </c>
      <c r="K944" s="2">
        <v>1113</v>
      </c>
      <c r="L944" s="2" t="s">
        <v>18</v>
      </c>
      <c r="M944" s="2">
        <v>11.4</v>
      </c>
      <c r="N944" s="2">
        <v>3.5</v>
      </c>
      <c r="O944" s="2">
        <v>4</v>
      </c>
      <c r="P944" s="2">
        <v>3</v>
      </c>
      <c r="Q944" s="2">
        <v>27.55</v>
      </c>
      <c r="R944" s="2" t="str" cm="1">
        <f t="array" ref="R944">_xlfn.IFS(Q944&lt;18.5,"Underweight",
AND(Q944&gt;=18.5,Q944&lt;25),"Normal Weight",
AND(Q944&gt;=25,Q944&lt;30),"Overweight",
Q944&gt;=30,"Obesity")</f>
        <v>Overweight</v>
      </c>
      <c r="S944" s="2">
        <f t="shared" si="14"/>
        <v>628.81355932203394</v>
      </c>
      <c r="T944" s="2" t="str" cm="1">
        <f t="array" ref="T944">_xlfn.IFS(N944&lt;=2.5,"Low",N944&lt;=3,"Medium",N944&gt;3,"High")</f>
        <v>High</v>
      </c>
    </row>
    <row r="945" spans="1:20" x14ac:dyDescent="0.3">
      <c r="A945" s="2">
        <v>944</v>
      </c>
      <c r="B945" s="2" t="s">
        <v>23</v>
      </c>
      <c r="C945" s="2">
        <v>59</v>
      </c>
      <c r="D945" s="2" t="s">
        <v>15</v>
      </c>
      <c r="E945" s="2">
        <v>85.5</v>
      </c>
      <c r="F945" s="2">
        <v>1.67</v>
      </c>
      <c r="G945" s="2">
        <v>190</v>
      </c>
      <c r="H945" s="2">
        <v>144</v>
      </c>
      <c r="I945" s="2">
        <v>71</v>
      </c>
      <c r="J945" s="2">
        <v>1.99</v>
      </c>
      <c r="K945" s="2">
        <v>1418</v>
      </c>
      <c r="L945" s="2" t="s">
        <v>19</v>
      </c>
      <c r="M945" s="2">
        <v>15</v>
      </c>
      <c r="N945" s="2">
        <v>3.5</v>
      </c>
      <c r="O945" s="2">
        <v>5</v>
      </c>
      <c r="P945" s="2">
        <v>3</v>
      </c>
      <c r="Q945" s="2">
        <v>30.66</v>
      </c>
      <c r="R945" s="2" t="str" cm="1">
        <f t="array" ref="R945">_xlfn.IFS(Q945&lt;18.5,"Underweight",
AND(Q945&gt;=18.5,Q945&lt;25),"Normal Weight",
AND(Q945&gt;=25,Q945&lt;30),"Overweight",
Q945&gt;=30,"Obesity")</f>
        <v>Obesity</v>
      </c>
      <c r="S945" s="2">
        <f t="shared" si="14"/>
        <v>712.56281407035181</v>
      </c>
      <c r="T945" s="2" t="str" cm="1">
        <f t="array" ref="T945">_xlfn.IFS(N945&lt;=2.5,"Low",N945&lt;=3,"Medium",N945&gt;3,"High")</f>
        <v>High</v>
      </c>
    </row>
    <row r="946" spans="1:20" x14ac:dyDescent="0.3">
      <c r="A946" s="2">
        <v>945</v>
      </c>
      <c r="B946" s="2" t="s">
        <v>26</v>
      </c>
      <c r="C946" s="2">
        <v>42</v>
      </c>
      <c r="D946" s="2" t="s">
        <v>15</v>
      </c>
      <c r="E946" s="2">
        <v>70.2</v>
      </c>
      <c r="F946" s="2">
        <v>1.87</v>
      </c>
      <c r="G946" s="2">
        <v>188</v>
      </c>
      <c r="H946" s="2">
        <v>165</v>
      </c>
      <c r="I946" s="2">
        <v>65</v>
      </c>
      <c r="J946" s="2">
        <v>1.38</v>
      </c>
      <c r="K946" s="2">
        <v>1127</v>
      </c>
      <c r="L946" s="2" t="s">
        <v>18</v>
      </c>
      <c r="M946" s="2">
        <v>22.7</v>
      </c>
      <c r="N946" s="2">
        <v>3.4</v>
      </c>
      <c r="O946" s="2">
        <v>3</v>
      </c>
      <c r="P946" s="2">
        <v>2</v>
      </c>
      <c r="Q946" s="2">
        <v>20.07</v>
      </c>
      <c r="R946" s="2" t="str" cm="1">
        <f t="array" ref="R946">_xlfn.IFS(Q946&lt;18.5,"Underweight",
AND(Q946&gt;=18.5,Q946&lt;25),"Normal Weight",
AND(Q946&gt;=25,Q946&lt;30),"Overweight",
Q946&gt;=30,"Obesity")</f>
        <v>Normal Weight</v>
      </c>
      <c r="S946" s="2">
        <f t="shared" si="14"/>
        <v>816.66666666666674</v>
      </c>
      <c r="T946" s="2" t="str" cm="1">
        <f t="array" ref="T946">_xlfn.IFS(N946&lt;=2.5,"Low",N946&lt;=3,"Medium",N946&gt;3,"High")</f>
        <v>High</v>
      </c>
    </row>
    <row r="947" spans="1:20" x14ac:dyDescent="0.3">
      <c r="A947" s="2">
        <v>946</v>
      </c>
      <c r="B947" s="2" t="s">
        <v>21</v>
      </c>
      <c r="C947" s="2">
        <v>35</v>
      </c>
      <c r="D947" s="2" t="s">
        <v>15</v>
      </c>
      <c r="E947" s="2">
        <v>127.1</v>
      </c>
      <c r="F947" s="2">
        <v>1.62</v>
      </c>
      <c r="G947" s="2">
        <v>187</v>
      </c>
      <c r="H947" s="2">
        <v>128</v>
      </c>
      <c r="I947" s="2">
        <v>69</v>
      </c>
      <c r="J947" s="2">
        <v>1.02</v>
      </c>
      <c r="K947" s="2">
        <v>718</v>
      </c>
      <c r="L947" s="2" t="s">
        <v>20</v>
      </c>
      <c r="M947" s="2">
        <v>23.3</v>
      </c>
      <c r="N947" s="2">
        <v>3.4</v>
      </c>
      <c r="O947" s="2">
        <v>4</v>
      </c>
      <c r="P947" s="2">
        <v>2</v>
      </c>
      <c r="Q947" s="2">
        <v>48.43</v>
      </c>
      <c r="R947" s="2" t="str" cm="1">
        <f t="array" ref="R947">_xlfn.IFS(Q947&lt;18.5,"Underweight",
AND(Q947&gt;=18.5,Q947&lt;25),"Normal Weight",
AND(Q947&gt;=25,Q947&lt;30),"Overweight",
Q947&gt;=30,"Obesity")</f>
        <v>Obesity</v>
      </c>
      <c r="S947" s="2">
        <f t="shared" si="14"/>
        <v>703.92156862745094</v>
      </c>
      <c r="T947" s="2" t="str" cm="1">
        <f t="array" ref="T947">_xlfn.IFS(N947&lt;=2.5,"Low",N947&lt;=3,"Medium",N947&gt;3,"High")</f>
        <v>High</v>
      </c>
    </row>
    <row r="948" spans="1:20" x14ac:dyDescent="0.3">
      <c r="A948" s="2">
        <v>947</v>
      </c>
      <c r="B948" s="2" t="s">
        <v>26</v>
      </c>
      <c r="C948" s="2">
        <v>57</v>
      </c>
      <c r="D948" s="2" t="s">
        <v>16</v>
      </c>
      <c r="E948" s="2">
        <v>75.599999999999994</v>
      </c>
      <c r="F948" s="2">
        <v>1.67</v>
      </c>
      <c r="G948" s="2">
        <v>186</v>
      </c>
      <c r="H948" s="2">
        <v>153</v>
      </c>
      <c r="I948" s="2">
        <v>65</v>
      </c>
      <c r="J948" s="2">
        <v>1.05</v>
      </c>
      <c r="K948" s="2">
        <v>723</v>
      </c>
      <c r="L948" s="2" t="s">
        <v>19</v>
      </c>
      <c r="M948" s="2">
        <v>31.6</v>
      </c>
      <c r="N948" s="2">
        <v>1.8</v>
      </c>
      <c r="O948" s="2">
        <v>3</v>
      </c>
      <c r="P948" s="2">
        <v>2</v>
      </c>
      <c r="Q948" s="2">
        <v>27.11</v>
      </c>
      <c r="R948" s="2" t="str" cm="1">
        <f t="array" ref="R948">_xlfn.IFS(Q948&lt;18.5,"Underweight",
AND(Q948&gt;=18.5,Q948&lt;25),"Normal Weight",
AND(Q948&gt;=25,Q948&lt;30),"Overweight",
Q948&gt;=30,"Obesity")</f>
        <v>Overweight</v>
      </c>
      <c r="S948" s="2">
        <f t="shared" si="14"/>
        <v>688.57142857142856</v>
      </c>
      <c r="T948" s="2" t="str" cm="1">
        <f t="array" ref="T948">_xlfn.IFS(N948&lt;=2.5,"Low",N948&lt;=3,"Medium",N948&gt;3,"High")</f>
        <v>Low</v>
      </c>
    </row>
    <row r="949" spans="1:20" x14ac:dyDescent="0.3">
      <c r="A949" s="2">
        <v>948</v>
      </c>
      <c r="B949" s="2" t="s">
        <v>27</v>
      </c>
      <c r="C949" s="2">
        <v>25</v>
      </c>
      <c r="D949" s="2" t="s">
        <v>16</v>
      </c>
      <c r="E949" s="2">
        <v>62.6</v>
      </c>
      <c r="F949" s="2">
        <v>1.65</v>
      </c>
      <c r="G949" s="2">
        <v>174</v>
      </c>
      <c r="H949" s="2">
        <v>142</v>
      </c>
      <c r="I949" s="2">
        <v>61</v>
      </c>
      <c r="J949" s="2">
        <v>1.2</v>
      </c>
      <c r="K949" s="2">
        <v>852</v>
      </c>
      <c r="L949" s="2" t="s">
        <v>19</v>
      </c>
      <c r="M949" s="2">
        <v>27.9</v>
      </c>
      <c r="N949" s="2">
        <v>2.2000000000000002</v>
      </c>
      <c r="O949" s="2">
        <v>3</v>
      </c>
      <c r="P949" s="2">
        <v>1</v>
      </c>
      <c r="Q949" s="2">
        <v>22.99</v>
      </c>
      <c r="R949" s="2" t="str" cm="1">
        <f t="array" ref="R949">_xlfn.IFS(Q949&lt;18.5,"Underweight",
AND(Q949&gt;=18.5,Q949&lt;25),"Normal Weight",
AND(Q949&gt;=25,Q949&lt;30),"Overweight",
Q949&gt;=30,"Obesity")</f>
        <v>Normal Weight</v>
      </c>
      <c r="S949" s="2">
        <f t="shared" si="14"/>
        <v>710</v>
      </c>
      <c r="T949" s="2" t="str" cm="1">
        <f t="array" ref="T949">_xlfn.IFS(N949&lt;=2.5,"Low",N949&lt;=3,"Medium",N949&gt;3,"High")</f>
        <v>Low</v>
      </c>
    </row>
    <row r="950" spans="1:20" x14ac:dyDescent="0.3">
      <c r="A950" s="2">
        <v>949</v>
      </c>
      <c r="B950" s="2" t="s">
        <v>27</v>
      </c>
      <c r="C950" s="2">
        <v>56</v>
      </c>
      <c r="D950" s="2" t="s">
        <v>16</v>
      </c>
      <c r="E950" s="2">
        <v>55.7</v>
      </c>
      <c r="F950" s="2">
        <v>1.53</v>
      </c>
      <c r="G950" s="2">
        <v>190</v>
      </c>
      <c r="H950" s="2">
        <v>124</v>
      </c>
      <c r="I950" s="2">
        <v>66</v>
      </c>
      <c r="J950" s="2">
        <v>1.91</v>
      </c>
      <c r="K950" s="2">
        <v>1066</v>
      </c>
      <c r="L950" s="2" t="s">
        <v>19</v>
      </c>
      <c r="M950" s="2">
        <v>16.100000000000001</v>
      </c>
      <c r="N950" s="2">
        <v>2.7</v>
      </c>
      <c r="O950" s="2">
        <v>5</v>
      </c>
      <c r="P950" s="2">
        <v>3</v>
      </c>
      <c r="Q950" s="2">
        <v>23.79</v>
      </c>
      <c r="R950" s="2" t="str" cm="1">
        <f t="array" ref="R950">_xlfn.IFS(Q950&lt;18.5,"Underweight",
AND(Q950&gt;=18.5,Q950&lt;25),"Normal Weight",
AND(Q950&gt;=25,Q950&lt;30),"Overweight",
Q950&gt;=30,"Obesity")</f>
        <v>Normal Weight</v>
      </c>
      <c r="S950" s="2">
        <f t="shared" si="14"/>
        <v>558.11518324607334</v>
      </c>
      <c r="T950" s="2" t="str" cm="1">
        <f t="array" ref="T950">_xlfn.IFS(N950&lt;=2.5,"Low",N950&lt;=3,"Medium",N950&gt;3,"High")</f>
        <v>Medium</v>
      </c>
    </row>
    <row r="951" spans="1:20" x14ac:dyDescent="0.3">
      <c r="A951" s="2">
        <v>950</v>
      </c>
      <c r="B951" s="2" t="s">
        <v>26</v>
      </c>
      <c r="C951" s="2">
        <v>57</v>
      </c>
      <c r="D951" s="2" t="s">
        <v>15</v>
      </c>
      <c r="E951" s="2">
        <v>96.1</v>
      </c>
      <c r="F951" s="2">
        <v>1.74</v>
      </c>
      <c r="G951" s="2">
        <v>199</v>
      </c>
      <c r="H951" s="2">
        <v>144</v>
      </c>
      <c r="I951" s="2">
        <v>54</v>
      </c>
      <c r="J951" s="2">
        <v>1.21</v>
      </c>
      <c r="K951" s="2">
        <v>862</v>
      </c>
      <c r="L951" s="2" t="s">
        <v>19</v>
      </c>
      <c r="M951" s="2">
        <v>21.6</v>
      </c>
      <c r="N951" s="2">
        <v>2.8</v>
      </c>
      <c r="O951" s="2">
        <v>3</v>
      </c>
      <c r="P951" s="2">
        <v>2</v>
      </c>
      <c r="Q951" s="2">
        <v>31.74</v>
      </c>
      <c r="R951" s="2" t="str" cm="1">
        <f t="array" ref="R951">_xlfn.IFS(Q951&lt;18.5,"Underweight",
AND(Q951&gt;=18.5,Q951&lt;25),"Normal Weight",
AND(Q951&gt;=25,Q951&lt;30),"Overweight",
Q951&gt;=30,"Obesity")</f>
        <v>Obesity</v>
      </c>
      <c r="S951" s="2">
        <f t="shared" si="14"/>
        <v>712.39669421487611</v>
      </c>
      <c r="T951" s="2" t="str" cm="1">
        <f t="array" ref="T951">_xlfn.IFS(N951&lt;=2.5,"Low",N951&lt;=3,"Medium",N951&gt;3,"High")</f>
        <v>Medium</v>
      </c>
    </row>
    <row r="952" spans="1:20" x14ac:dyDescent="0.3">
      <c r="A952" s="2">
        <v>951</v>
      </c>
      <c r="B952" s="2" t="s">
        <v>21</v>
      </c>
      <c r="C952" s="2">
        <v>31</v>
      </c>
      <c r="D952" s="2" t="s">
        <v>16</v>
      </c>
      <c r="E952" s="2">
        <v>76.7</v>
      </c>
      <c r="F952" s="2">
        <v>1.62</v>
      </c>
      <c r="G952" s="2">
        <v>174</v>
      </c>
      <c r="H952" s="2">
        <v>127</v>
      </c>
      <c r="I952" s="2">
        <v>74</v>
      </c>
      <c r="J952" s="2">
        <v>1.39</v>
      </c>
      <c r="K952" s="2">
        <v>883</v>
      </c>
      <c r="L952" s="2" t="s">
        <v>17</v>
      </c>
      <c r="M952" s="2">
        <v>28.1</v>
      </c>
      <c r="N952" s="2">
        <v>2.2999999999999998</v>
      </c>
      <c r="O952" s="2">
        <v>4</v>
      </c>
      <c r="P952" s="2">
        <v>2</v>
      </c>
      <c r="Q952" s="2">
        <v>29.23</v>
      </c>
      <c r="R952" s="2" t="str" cm="1">
        <f t="array" ref="R952">_xlfn.IFS(Q952&lt;18.5,"Underweight",
AND(Q952&gt;=18.5,Q952&lt;25),"Normal Weight",
AND(Q952&gt;=25,Q952&lt;30),"Overweight",
Q952&gt;=30,"Obesity")</f>
        <v>Overweight</v>
      </c>
      <c r="S952" s="2">
        <f t="shared" si="14"/>
        <v>635.25179856115108</v>
      </c>
      <c r="T952" s="2" t="str" cm="1">
        <f t="array" ref="T952">_xlfn.IFS(N952&lt;=2.5,"Low",N952&lt;=3,"Medium",N952&gt;3,"High")</f>
        <v>Low</v>
      </c>
    </row>
    <row r="953" spans="1:20" x14ac:dyDescent="0.3">
      <c r="A953" s="2">
        <v>952</v>
      </c>
      <c r="B953" s="2" t="s">
        <v>26</v>
      </c>
      <c r="C953" s="2">
        <v>49</v>
      </c>
      <c r="D953" s="2" t="s">
        <v>15</v>
      </c>
      <c r="E953" s="2">
        <v>57.2</v>
      </c>
      <c r="F953" s="2">
        <v>1.89</v>
      </c>
      <c r="G953" s="2">
        <v>192</v>
      </c>
      <c r="H953" s="2">
        <v>135</v>
      </c>
      <c r="I953" s="2">
        <v>62</v>
      </c>
      <c r="J953" s="2">
        <v>1.1399999999999999</v>
      </c>
      <c r="K953" s="2">
        <v>762</v>
      </c>
      <c r="L953" s="2" t="s">
        <v>19</v>
      </c>
      <c r="M953" s="2">
        <v>21.1</v>
      </c>
      <c r="N953" s="2">
        <v>3.5</v>
      </c>
      <c r="O953" s="2">
        <v>2</v>
      </c>
      <c r="P953" s="2">
        <v>1</v>
      </c>
      <c r="Q953" s="2">
        <v>16.010000000000002</v>
      </c>
      <c r="R953" s="2" t="str" cm="1">
        <f t="array" ref="R953">_xlfn.IFS(Q953&lt;18.5,"Underweight",
AND(Q953&gt;=18.5,Q953&lt;25),"Normal Weight",
AND(Q953&gt;=25,Q953&lt;30),"Overweight",
Q953&gt;=30,"Obesity")</f>
        <v>Underweight</v>
      </c>
      <c r="S953" s="2">
        <f t="shared" si="14"/>
        <v>668.42105263157896</v>
      </c>
      <c r="T953" s="2" t="str" cm="1">
        <f t="array" ref="T953">_xlfn.IFS(N953&lt;=2.5,"Low",N953&lt;=3,"Medium",N953&gt;3,"High")</f>
        <v>High</v>
      </c>
    </row>
    <row r="954" spans="1:20" x14ac:dyDescent="0.3">
      <c r="A954" s="2">
        <v>953</v>
      </c>
      <c r="B954" s="2" t="s">
        <v>23</v>
      </c>
      <c r="C954" s="2">
        <v>55</v>
      </c>
      <c r="D954" s="2" t="s">
        <v>15</v>
      </c>
      <c r="E954" s="2">
        <v>69.900000000000006</v>
      </c>
      <c r="F954" s="2">
        <v>1.81</v>
      </c>
      <c r="G954" s="2">
        <v>179</v>
      </c>
      <c r="H954" s="2">
        <v>167</v>
      </c>
      <c r="I954" s="2">
        <v>57</v>
      </c>
      <c r="J954" s="2">
        <v>1.2</v>
      </c>
      <c r="K954" s="2">
        <v>992</v>
      </c>
      <c r="L954" s="2" t="s">
        <v>20</v>
      </c>
      <c r="M954" s="2">
        <v>20.2</v>
      </c>
      <c r="N954" s="2">
        <v>2.1</v>
      </c>
      <c r="O954" s="2">
        <v>4</v>
      </c>
      <c r="P954" s="2">
        <v>2</v>
      </c>
      <c r="Q954" s="2">
        <v>21.34</v>
      </c>
      <c r="R954" s="2" t="str" cm="1">
        <f t="array" ref="R954">_xlfn.IFS(Q954&lt;18.5,"Underweight",
AND(Q954&gt;=18.5,Q954&lt;25),"Normal Weight",
AND(Q954&gt;=25,Q954&lt;30),"Overweight",
Q954&gt;=30,"Obesity")</f>
        <v>Normal Weight</v>
      </c>
      <c r="S954" s="2">
        <f t="shared" si="14"/>
        <v>826.66666666666674</v>
      </c>
      <c r="T954" s="2" t="str" cm="1">
        <f t="array" ref="T954">_xlfn.IFS(N954&lt;=2.5,"Low",N954&lt;=3,"Medium",N954&gt;3,"High")</f>
        <v>Low</v>
      </c>
    </row>
    <row r="955" spans="1:20" x14ac:dyDescent="0.3">
      <c r="A955" s="2">
        <v>954</v>
      </c>
      <c r="B955" s="2" t="s">
        <v>25</v>
      </c>
      <c r="C955" s="2">
        <v>50</v>
      </c>
      <c r="D955" s="2" t="s">
        <v>16</v>
      </c>
      <c r="E955" s="2">
        <v>67.900000000000006</v>
      </c>
      <c r="F955" s="2">
        <v>1.77</v>
      </c>
      <c r="G955" s="2">
        <v>171</v>
      </c>
      <c r="H955" s="2">
        <v>164</v>
      </c>
      <c r="I955" s="2">
        <v>73</v>
      </c>
      <c r="J955" s="2">
        <v>1.03</v>
      </c>
      <c r="K955" s="2">
        <v>760</v>
      </c>
      <c r="L955" s="2" t="s">
        <v>17</v>
      </c>
      <c r="M955" s="2">
        <v>33</v>
      </c>
      <c r="N955" s="2">
        <v>2.4</v>
      </c>
      <c r="O955" s="2">
        <v>3</v>
      </c>
      <c r="P955" s="2">
        <v>2</v>
      </c>
      <c r="Q955" s="2">
        <v>21.67</v>
      </c>
      <c r="R955" s="2" t="str" cm="1">
        <f t="array" ref="R955">_xlfn.IFS(Q955&lt;18.5,"Underweight",
AND(Q955&gt;=18.5,Q955&lt;25),"Normal Weight",
AND(Q955&gt;=25,Q955&lt;30),"Overweight",
Q955&gt;=30,"Obesity")</f>
        <v>Normal Weight</v>
      </c>
      <c r="S955" s="2">
        <f t="shared" si="14"/>
        <v>737.86407766990294</v>
      </c>
      <c r="T955" s="2" t="str" cm="1">
        <f t="array" ref="T955">_xlfn.IFS(N955&lt;=2.5,"Low",N955&lt;=3,"Medium",N955&gt;3,"High")</f>
        <v>Low</v>
      </c>
    </row>
    <row r="956" spans="1:20" x14ac:dyDescent="0.3">
      <c r="A956" s="2">
        <v>955</v>
      </c>
      <c r="B956" s="2" t="s">
        <v>22</v>
      </c>
      <c r="C956" s="2">
        <v>40</v>
      </c>
      <c r="D956" s="2" t="s">
        <v>15</v>
      </c>
      <c r="E956" s="2">
        <v>87.9</v>
      </c>
      <c r="F956" s="2">
        <v>1.87</v>
      </c>
      <c r="G956" s="2">
        <v>196</v>
      </c>
      <c r="H956" s="2">
        <v>134</v>
      </c>
      <c r="I956" s="2">
        <v>54</v>
      </c>
      <c r="J956" s="2">
        <v>1.96</v>
      </c>
      <c r="K956" s="2">
        <v>1445</v>
      </c>
      <c r="L956" s="2" t="s">
        <v>20</v>
      </c>
      <c r="M956" s="2">
        <v>10.7</v>
      </c>
      <c r="N956" s="2">
        <v>3.5</v>
      </c>
      <c r="O956" s="2">
        <v>5</v>
      </c>
      <c r="P956" s="2">
        <v>3</v>
      </c>
      <c r="Q956" s="2">
        <v>25.14</v>
      </c>
      <c r="R956" s="2" t="str" cm="1">
        <f t="array" ref="R956">_xlfn.IFS(Q956&lt;18.5,"Underweight",
AND(Q956&gt;=18.5,Q956&lt;25),"Normal Weight",
AND(Q956&gt;=25,Q956&lt;30),"Overweight",
Q956&gt;=30,"Obesity")</f>
        <v>Overweight</v>
      </c>
      <c r="S956" s="2">
        <f t="shared" si="14"/>
        <v>737.24489795918373</v>
      </c>
      <c r="T956" s="2" t="str" cm="1">
        <f t="array" ref="T956">_xlfn.IFS(N956&lt;=2.5,"Low",N956&lt;=3,"Medium",N956&gt;3,"High")</f>
        <v>High</v>
      </c>
    </row>
    <row r="957" spans="1:20" x14ac:dyDescent="0.3">
      <c r="A957" s="2">
        <v>956</v>
      </c>
      <c r="B957" s="2" t="s">
        <v>29</v>
      </c>
      <c r="C957" s="2">
        <v>32</v>
      </c>
      <c r="D957" s="2" t="s">
        <v>15</v>
      </c>
      <c r="E957" s="2">
        <v>102.8</v>
      </c>
      <c r="F957" s="2">
        <v>1.98</v>
      </c>
      <c r="G957" s="2">
        <v>168</v>
      </c>
      <c r="H957" s="2">
        <v>120</v>
      </c>
      <c r="I957" s="2">
        <v>61</v>
      </c>
      <c r="J957" s="2">
        <v>1.24</v>
      </c>
      <c r="K957" s="2">
        <v>818</v>
      </c>
      <c r="L957" s="2" t="s">
        <v>20</v>
      </c>
      <c r="M957" s="2">
        <v>27.8</v>
      </c>
      <c r="N957" s="2">
        <v>2.8</v>
      </c>
      <c r="O957" s="2">
        <v>3</v>
      </c>
      <c r="P957" s="2">
        <v>2</v>
      </c>
      <c r="Q957" s="2">
        <v>26.22</v>
      </c>
      <c r="R957" s="2" t="str" cm="1">
        <f t="array" ref="R957">_xlfn.IFS(Q957&lt;18.5,"Underweight",
AND(Q957&gt;=18.5,Q957&lt;25),"Normal Weight",
AND(Q957&gt;=25,Q957&lt;30),"Overweight",
Q957&gt;=30,"Obesity")</f>
        <v>Overweight</v>
      </c>
      <c r="S957" s="2">
        <f t="shared" si="14"/>
        <v>659.67741935483866</v>
      </c>
      <c r="T957" s="2" t="str" cm="1">
        <f t="array" ref="T957">_xlfn.IFS(N957&lt;=2.5,"Low",N957&lt;=3,"Medium",N957&gt;3,"High")</f>
        <v>Medium</v>
      </c>
    </row>
    <row r="958" spans="1:20" x14ac:dyDescent="0.3">
      <c r="A958" s="2">
        <v>957</v>
      </c>
      <c r="B958" s="2" t="s">
        <v>22</v>
      </c>
      <c r="C958" s="2">
        <v>50</v>
      </c>
      <c r="D958" s="2" t="s">
        <v>16</v>
      </c>
      <c r="E958" s="2">
        <v>51.8</v>
      </c>
      <c r="F958" s="2">
        <v>1.5</v>
      </c>
      <c r="G958" s="2">
        <v>182</v>
      </c>
      <c r="H958" s="2">
        <v>141</v>
      </c>
      <c r="I958" s="2">
        <v>58</v>
      </c>
      <c r="J958" s="2">
        <v>1.32</v>
      </c>
      <c r="K958" s="2">
        <v>838</v>
      </c>
      <c r="L958" s="2" t="s">
        <v>18</v>
      </c>
      <c r="M958" s="2">
        <v>33</v>
      </c>
      <c r="N958" s="2">
        <v>2.2000000000000002</v>
      </c>
      <c r="O958" s="2">
        <v>3</v>
      </c>
      <c r="P958" s="2">
        <v>1</v>
      </c>
      <c r="Q958" s="2">
        <v>23.02</v>
      </c>
      <c r="R958" s="2" t="str" cm="1">
        <f t="array" ref="R958">_xlfn.IFS(Q958&lt;18.5,"Underweight",
AND(Q958&gt;=18.5,Q958&lt;25),"Normal Weight",
AND(Q958&gt;=25,Q958&lt;30),"Overweight",
Q958&gt;=30,"Obesity")</f>
        <v>Normal Weight</v>
      </c>
      <c r="S958" s="2">
        <f t="shared" si="14"/>
        <v>634.84848484848487</v>
      </c>
      <c r="T958" s="2" t="str" cm="1">
        <f t="array" ref="T958">_xlfn.IFS(N958&lt;=2.5,"Low",N958&lt;=3,"Medium",N958&gt;3,"High")</f>
        <v>Low</v>
      </c>
    </row>
    <row r="959" spans="1:20" x14ac:dyDescent="0.3">
      <c r="A959" s="2">
        <v>958</v>
      </c>
      <c r="B959" s="2" t="s">
        <v>21</v>
      </c>
      <c r="C959" s="2">
        <v>42</v>
      </c>
      <c r="D959" s="2" t="s">
        <v>16</v>
      </c>
      <c r="E959" s="2">
        <v>57.7</v>
      </c>
      <c r="F959" s="2">
        <v>1.57</v>
      </c>
      <c r="G959" s="2">
        <v>167</v>
      </c>
      <c r="H959" s="2">
        <v>122</v>
      </c>
      <c r="I959" s="2">
        <v>52</v>
      </c>
      <c r="J959" s="2">
        <v>1.83</v>
      </c>
      <c r="K959" s="2">
        <v>1005</v>
      </c>
      <c r="L959" s="2" t="s">
        <v>19</v>
      </c>
      <c r="M959" s="2">
        <v>17.7</v>
      </c>
      <c r="N959" s="2">
        <v>2.7</v>
      </c>
      <c r="O959" s="2">
        <v>4</v>
      </c>
      <c r="P959" s="2">
        <v>3</v>
      </c>
      <c r="Q959" s="2">
        <v>23.41</v>
      </c>
      <c r="R959" s="2" t="str" cm="1">
        <f t="array" ref="R959">_xlfn.IFS(Q959&lt;18.5,"Underweight",
AND(Q959&gt;=18.5,Q959&lt;25),"Normal Weight",
AND(Q959&gt;=25,Q959&lt;30),"Overweight",
Q959&gt;=30,"Obesity")</f>
        <v>Normal Weight</v>
      </c>
      <c r="S959" s="2">
        <f t="shared" si="14"/>
        <v>549.18032786885249</v>
      </c>
      <c r="T959" s="2" t="str" cm="1">
        <f t="array" ref="T959">_xlfn.IFS(N959&lt;=2.5,"Low",N959&lt;=3,"Medium",N959&gt;3,"High")</f>
        <v>Medium</v>
      </c>
    </row>
    <row r="960" spans="1:20" x14ac:dyDescent="0.3">
      <c r="A960" s="2">
        <v>959</v>
      </c>
      <c r="B960" s="2" t="s">
        <v>22</v>
      </c>
      <c r="C960" s="2">
        <v>34</v>
      </c>
      <c r="D960" s="2" t="s">
        <v>16</v>
      </c>
      <c r="E960" s="2">
        <v>66.5</v>
      </c>
      <c r="F960" s="2">
        <v>1.69</v>
      </c>
      <c r="G960" s="2">
        <v>191</v>
      </c>
      <c r="H960" s="2">
        <v>157</v>
      </c>
      <c r="I960" s="2">
        <v>52</v>
      </c>
      <c r="J960" s="2">
        <v>0.81</v>
      </c>
      <c r="K960" s="2">
        <v>636</v>
      </c>
      <c r="L960" s="2" t="s">
        <v>19</v>
      </c>
      <c r="M960" s="2">
        <v>28.1</v>
      </c>
      <c r="N960" s="2">
        <v>2.2999999999999998</v>
      </c>
      <c r="O960" s="2">
        <v>3</v>
      </c>
      <c r="P960" s="2">
        <v>1</v>
      </c>
      <c r="Q960" s="2">
        <v>23.28</v>
      </c>
      <c r="R960" s="2" t="str" cm="1">
        <f t="array" ref="R960">_xlfn.IFS(Q960&lt;18.5,"Underweight",
AND(Q960&gt;=18.5,Q960&lt;25),"Normal Weight",
AND(Q960&gt;=25,Q960&lt;30),"Overweight",
Q960&gt;=30,"Obesity")</f>
        <v>Normal Weight</v>
      </c>
      <c r="S960" s="2">
        <f t="shared" si="14"/>
        <v>785.18518518518511</v>
      </c>
      <c r="T960" s="2" t="str" cm="1">
        <f t="array" ref="T960">_xlfn.IFS(N960&lt;=2.5,"Low",N960&lt;=3,"Medium",N960&gt;3,"High")</f>
        <v>Low</v>
      </c>
    </row>
    <row r="961" spans="1:20" x14ac:dyDescent="0.3">
      <c r="A961" s="2">
        <v>960</v>
      </c>
      <c r="B961" s="2" t="s">
        <v>27</v>
      </c>
      <c r="C961" s="2">
        <v>50</v>
      </c>
      <c r="D961" s="2" t="s">
        <v>15</v>
      </c>
      <c r="E961" s="2">
        <v>95.4</v>
      </c>
      <c r="F961" s="2">
        <v>1.61</v>
      </c>
      <c r="G961" s="2">
        <v>173</v>
      </c>
      <c r="H961" s="2">
        <v>133</v>
      </c>
      <c r="I961" s="2">
        <v>50</v>
      </c>
      <c r="J961" s="2">
        <v>1.1599999999999999</v>
      </c>
      <c r="K961" s="2">
        <v>764</v>
      </c>
      <c r="L961" s="2" t="s">
        <v>20</v>
      </c>
      <c r="M961" s="2">
        <v>21.5</v>
      </c>
      <c r="N961" s="2">
        <v>3.6</v>
      </c>
      <c r="O961" s="2">
        <v>4</v>
      </c>
      <c r="P961" s="2">
        <v>2</v>
      </c>
      <c r="Q961" s="2">
        <v>36.799999999999997</v>
      </c>
      <c r="R961" s="2" t="str" cm="1">
        <f t="array" ref="R961">_xlfn.IFS(Q961&lt;18.5,"Underweight",
AND(Q961&gt;=18.5,Q961&lt;25),"Normal Weight",
AND(Q961&gt;=25,Q961&lt;30),"Overweight",
Q961&gt;=30,"Obesity")</f>
        <v>Obesity</v>
      </c>
      <c r="S961" s="2">
        <f t="shared" si="14"/>
        <v>658.62068965517244</v>
      </c>
      <c r="T961" s="2" t="str" cm="1">
        <f t="array" ref="T961">_xlfn.IFS(N961&lt;=2.5,"Low",N961&lt;=3,"Medium",N961&gt;3,"High")</f>
        <v>High</v>
      </c>
    </row>
    <row r="962" spans="1:20" x14ac:dyDescent="0.3">
      <c r="A962" s="2">
        <v>961</v>
      </c>
      <c r="B962" s="2" t="s">
        <v>30</v>
      </c>
      <c r="C962" s="2">
        <v>19</v>
      </c>
      <c r="D962" s="2" t="s">
        <v>16</v>
      </c>
      <c r="E962" s="2">
        <v>69.2</v>
      </c>
      <c r="F962" s="2">
        <v>1.6</v>
      </c>
      <c r="G962" s="2">
        <v>186</v>
      </c>
      <c r="H962" s="2">
        <v>155</v>
      </c>
      <c r="I962" s="2">
        <v>74</v>
      </c>
      <c r="J962" s="2">
        <v>1.17</v>
      </c>
      <c r="K962" s="2">
        <v>907</v>
      </c>
      <c r="L962" s="2" t="s">
        <v>19</v>
      </c>
      <c r="M962" s="2">
        <v>32.4</v>
      </c>
      <c r="N962" s="2">
        <v>1.6</v>
      </c>
      <c r="O962" s="2">
        <v>3</v>
      </c>
      <c r="P962" s="2">
        <v>1</v>
      </c>
      <c r="Q962" s="2">
        <v>27.03</v>
      </c>
      <c r="R962" s="2" t="str" cm="1">
        <f t="array" ref="R962">_xlfn.IFS(Q962&lt;18.5,"Underweight",
AND(Q962&gt;=18.5,Q962&lt;25),"Normal Weight",
AND(Q962&gt;=25,Q962&lt;30),"Overweight",
Q962&gt;=30,"Obesity")</f>
        <v>Overweight</v>
      </c>
      <c r="S962" s="2">
        <f t="shared" si="14"/>
        <v>775.21367521367529</v>
      </c>
      <c r="T962" s="2" t="str" cm="1">
        <f t="array" ref="T962">_xlfn.IFS(N962&lt;=2.5,"Low",N962&lt;=3,"Medium",N962&gt;3,"High")</f>
        <v>Low</v>
      </c>
    </row>
    <row r="963" spans="1:20" x14ac:dyDescent="0.3">
      <c r="A963" s="2">
        <v>962</v>
      </c>
      <c r="B963" s="2" t="s">
        <v>29</v>
      </c>
      <c r="C963" s="2">
        <v>31</v>
      </c>
      <c r="D963" s="2" t="s">
        <v>16</v>
      </c>
      <c r="E963" s="2">
        <v>66.599999999999994</v>
      </c>
      <c r="F963" s="2">
        <v>1.67</v>
      </c>
      <c r="G963" s="2">
        <v>184</v>
      </c>
      <c r="H963" s="2">
        <v>137</v>
      </c>
      <c r="I963" s="2">
        <v>71</v>
      </c>
      <c r="J963" s="2">
        <v>1.02</v>
      </c>
      <c r="K963" s="2">
        <v>699</v>
      </c>
      <c r="L963" s="2" t="s">
        <v>17</v>
      </c>
      <c r="M963" s="2">
        <v>31</v>
      </c>
      <c r="N963" s="2">
        <v>1.5</v>
      </c>
      <c r="O963" s="2">
        <v>4</v>
      </c>
      <c r="P963" s="2">
        <v>2</v>
      </c>
      <c r="Q963" s="2">
        <v>23.88</v>
      </c>
      <c r="R963" s="2" t="str" cm="1">
        <f t="array" ref="R963">_xlfn.IFS(Q963&lt;18.5,"Underweight",
AND(Q963&gt;=18.5,Q963&lt;25),"Normal Weight",
AND(Q963&gt;=25,Q963&lt;30),"Overweight",
Q963&gt;=30,"Obesity")</f>
        <v>Normal Weight</v>
      </c>
      <c r="S963" s="2">
        <f t="shared" ref="S963:S974" si="15">K963/J963</f>
        <v>685.29411764705878</v>
      </c>
      <c r="T963" s="2" t="str" cm="1">
        <f t="array" ref="T963">_xlfn.IFS(N963&lt;=2.5,"Low",N963&lt;=3,"Medium",N963&gt;3,"High")</f>
        <v>Low</v>
      </c>
    </row>
    <row r="964" spans="1:20" x14ac:dyDescent="0.3">
      <c r="A964" s="2">
        <v>963</v>
      </c>
      <c r="B964" s="2" t="s">
        <v>24</v>
      </c>
      <c r="C964" s="2">
        <v>57</v>
      </c>
      <c r="D964" s="2" t="s">
        <v>15</v>
      </c>
      <c r="E964" s="2">
        <v>83.4</v>
      </c>
      <c r="F964" s="2">
        <v>1.65</v>
      </c>
      <c r="G964" s="2">
        <v>172</v>
      </c>
      <c r="H964" s="2">
        <v>166</v>
      </c>
      <c r="I964" s="2">
        <v>67</v>
      </c>
      <c r="J964" s="2">
        <v>1.57</v>
      </c>
      <c r="K964" s="2">
        <v>1290</v>
      </c>
      <c r="L964" s="2" t="s">
        <v>18</v>
      </c>
      <c r="M964" s="2">
        <v>13.3</v>
      </c>
      <c r="N964" s="2">
        <v>3.5</v>
      </c>
      <c r="O964" s="2">
        <v>4</v>
      </c>
      <c r="P964" s="2">
        <v>3</v>
      </c>
      <c r="Q964" s="2">
        <v>30.63</v>
      </c>
      <c r="R964" s="2" t="str" cm="1">
        <f t="array" ref="R964">_xlfn.IFS(Q964&lt;18.5,"Underweight",
AND(Q964&gt;=18.5,Q964&lt;25),"Normal Weight",
AND(Q964&gt;=25,Q964&lt;30),"Overweight",
Q964&gt;=30,"Obesity")</f>
        <v>Obesity</v>
      </c>
      <c r="S964" s="2">
        <f t="shared" si="15"/>
        <v>821.656050955414</v>
      </c>
      <c r="T964" s="2" t="str" cm="1">
        <f t="array" ref="T964">_xlfn.IFS(N964&lt;=2.5,"Low",N964&lt;=3,"Medium",N964&gt;3,"High")</f>
        <v>High</v>
      </c>
    </row>
    <row r="965" spans="1:20" x14ac:dyDescent="0.3">
      <c r="A965" s="2">
        <v>964</v>
      </c>
      <c r="B965" s="2" t="s">
        <v>21</v>
      </c>
      <c r="C965" s="2">
        <v>57</v>
      </c>
      <c r="D965" s="2" t="s">
        <v>16</v>
      </c>
      <c r="E965" s="2">
        <v>43.8</v>
      </c>
      <c r="F965" s="2">
        <v>1.75</v>
      </c>
      <c r="G965" s="2">
        <v>180</v>
      </c>
      <c r="H965" s="2">
        <v>160</v>
      </c>
      <c r="I965" s="2">
        <v>73</v>
      </c>
      <c r="J965" s="2">
        <v>1.39</v>
      </c>
      <c r="K965" s="2">
        <v>1001</v>
      </c>
      <c r="L965" s="2" t="s">
        <v>19</v>
      </c>
      <c r="M965" s="2">
        <v>25.1</v>
      </c>
      <c r="N965" s="2">
        <v>1.7</v>
      </c>
      <c r="O965" s="2">
        <v>2</v>
      </c>
      <c r="P965" s="2">
        <v>1</v>
      </c>
      <c r="Q965" s="2">
        <v>14.3</v>
      </c>
      <c r="R965" s="2" t="str" cm="1">
        <f t="array" ref="R965">_xlfn.IFS(Q965&lt;18.5,"Underweight",
AND(Q965&gt;=18.5,Q965&lt;25),"Normal Weight",
AND(Q965&gt;=25,Q965&lt;30),"Overweight",
Q965&gt;=30,"Obesity")</f>
        <v>Underweight</v>
      </c>
      <c r="S965" s="2">
        <f t="shared" si="15"/>
        <v>720.14388489208636</v>
      </c>
      <c r="T965" s="2" t="str" cm="1">
        <f t="array" ref="T965">_xlfn.IFS(N965&lt;=2.5,"Low",N965&lt;=3,"Medium",N965&gt;3,"High")</f>
        <v>Low</v>
      </c>
    </row>
    <row r="966" spans="1:20" x14ac:dyDescent="0.3">
      <c r="A966" s="2">
        <v>965</v>
      </c>
      <c r="B966" s="2" t="s">
        <v>29</v>
      </c>
      <c r="C966" s="2">
        <v>56</v>
      </c>
      <c r="D966" s="2" t="s">
        <v>16</v>
      </c>
      <c r="E966" s="2">
        <v>64.2</v>
      </c>
      <c r="F966" s="2">
        <v>1.69</v>
      </c>
      <c r="G966" s="2">
        <v>190</v>
      </c>
      <c r="H966" s="2">
        <v>137</v>
      </c>
      <c r="I966" s="2">
        <v>61</v>
      </c>
      <c r="J966" s="2">
        <v>1.99</v>
      </c>
      <c r="K966" s="2">
        <v>1227</v>
      </c>
      <c r="L966" s="2" t="s">
        <v>19</v>
      </c>
      <c r="M966" s="2">
        <v>19.600000000000001</v>
      </c>
      <c r="N966" s="2">
        <v>2.7</v>
      </c>
      <c r="O966" s="2">
        <v>5</v>
      </c>
      <c r="P966" s="2">
        <v>3</v>
      </c>
      <c r="Q966" s="2">
        <v>22.48</v>
      </c>
      <c r="R966" s="2" t="str" cm="1">
        <f t="array" ref="R966">_xlfn.IFS(Q966&lt;18.5,"Underweight",
AND(Q966&gt;=18.5,Q966&lt;25),"Normal Weight",
AND(Q966&gt;=25,Q966&lt;30),"Overweight",
Q966&gt;=30,"Obesity")</f>
        <v>Normal Weight</v>
      </c>
      <c r="S966" s="2">
        <f t="shared" si="15"/>
        <v>616.5829145728643</v>
      </c>
      <c r="T966" s="2" t="str" cm="1">
        <f t="array" ref="T966">_xlfn.IFS(N966&lt;=2.5,"Low",N966&lt;=3,"Medium",N966&gt;3,"High")</f>
        <v>Medium</v>
      </c>
    </row>
    <row r="967" spans="1:20" x14ac:dyDescent="0.3">
      <c r="A967" s="2">
        <v>966</v>
      </c>
      <c r="B967" s="2" t="s">
        <v>22</v>
      </c>
      <c r="C967" s="2">
        <v>23</v>
      </c>
      <c r="D967" s="2" t="s">
        <v>16</v>
      </c>
      <c r="E967" s="2">
        <v>44.1</v>
      </c>
      <c r="F967" s="2">
        <v>1.62</v>
      </c>
      <c r="G967" s="2">
        <v>196</v>
      </c>
      <c r="H967" s="2">
        <v>122</v>
      </c>
      <c r="I967" s="2">
        <v>58</v>
      </c>
      <c r="J967" s="2">
        <v>0.57999999999999996</v>
      </c>
      <c r="K967" s="2">
        <v>354</v>
      </c>
      <c r="L967" s="2" t="s">
        <v>17</v>
      </c>
      <c r="M967" s="2">
        <v>25.7</v>
      </c>
      <c r="N967" s="2">
        <v>2.7</v>
      </c>
      <c r="O967" s="2">
        <v>2</v>
      </c>
      <c r="P967" s="2">
        <v>1</v>
      </c>
      <c r="Q967" s="2">
        <v>16.8</v>
      </c>
      <c r="R967" s="2" t="str" cm="1">
        <f t="array" ref="R967">_xlfn.IFS(Q967&lt;18.5,"Underweight",
AND(Q967&gt;=18.5,Q967&lt;25),"Normal Weight",
AND(Q967&gt;=25,Q967&lt;30),"Overweight",
Q967&gt;=30,"Obesity")</f>
        <v>Underweight</v>
      </c>
      <c r="S967" s="2">
        <f t="shared" si="15"/>
        <v>610.34482758620697</v>
      </c>
      <c r="T967" s="2" t="str" cm="1">
        <f t="array" ref="T967">_xlfn.IFS(N967&lt;=2.5,"Low",N967&lt;=3,"Medium",N967&gt;3,"High")</f>
        <v>Medium</v>
      </c>
    </row>
    <row r="968" spans="1:20" x14ac:dyDescent="0.3">
      <c r="A968" s="2">
        <v>967</v>
      </c>
      <c r="B968" s="2" t="s">
        <v>27</v>
      </c>
      <c r="C968" s="2">
        <v>23</v>
      </c>
      <c r="D968" s="2" t="s">
        <v>15</v>
      </c>
      <c r="E968" s="2">
        <v>87.3</v>
      </c>
      <c r="F968" s="2">
        <v>1.91</v>
      </c>
      <c r="G968" s="2">
        <v>164</v>
      </c>
      <c r="H968" s="2">
        <v>129</v>
      </c>
      <c r="I968" s="2">
        <v>58</v>
      </c>
      <c r="J968" s="2">
        <v>1.87</v>
      </c>
      <c r="K968" s="2">
        <v>1327</v>
      </c>
      <c r="L968" s="2" t="s">
        <v>18</v>
      </c>
      <c r="M968" s="2">
        <v>11.8</v>
      </c>
      <c r="N968" s="2">
        <v>3.5</v>
      </c>
      <c r="O968" s="2">
        <v>5</v>
      </c>
      <c r="P968" s="2">
        <v>3</v>
      </c>
      <c r="Q968" s="2">
        <v>23.93</v>
      </c>
      <c r="R968" s="2" t="str" cm="1">
        <f t="array" ref="R968">_xlfn.IFS(Q968&lt;18.5,"Underweight",
AND(Q968&gt;=18.5,Q968&lt;25),"Normal Weight",
AND(Q968&gt;=25,Q968&lt;30),"Overweight",
Q968&gt;=30,"Obesity")</f>
        <v>Normal Weight</v>
      </c>
      <c r="S968" s="2">
        <f t="shared" si="15"/>
        <v>709.62566844919786</v>
      </c>
      <c r="T968" s="2" t="str" cm="1">
        <f t="array" ref="T968">_xlfn.IFS(N968&lt;=2.5,"Low",N968&lt;=3,"Medium",N968&gt;3,"High")</f>
        <v>High</v>
      </c>
    </row>
    <row r="969" spans="1:20" x14ac:dyDescent="0.3">
      <c r="A969" s="2">
        <v>968</v>
      </c>
      <c r="B969" s="2" t="s">
        <v>28</v>
      </c>
      <c r="C969" s="2">
        <v>20</v>
      </c>
      <c r="D969" s="2" t="s">
        <v>15</v>
      </c>
      <c r="E969" s="2">
        <v>55</v>
      </c>
      <c r="F969" s="2">
        <v>1.6</v>
      </c>
      <c r="G969" s="2">
        <v>172</v>
      </c>
      <c r="H969" s="2">
        <v>168</v>
      </c>
      <c r="I969" s="2">
        <v>67</v>
      </c>
      <c r="J969" s="2">
        <v>1.1200000000000001</v>
      </c>
      <c r="K969" s="2">
        <v>1035</v>
      </c>
      <c r="L969" s="2" t="s">
        <v>17</v>
      </c>
      <c r="M969" s="2">
        <v>24</v>
      </c>
      <c r="N969" s="2">
        <v>3.2</v>
      </c>
      <c r="O969" s="2">
        <v>4</v>
      </c>
      <c r="P969" s="2">
        <v>2</v>
      </c>
      <c r="Q969" s="2">
        <v>21.48</v>
      </c>
      <c r="R969" s="2" t="str" cm="1">
        <f t="array" ref="R969">_xlfn.IFS(Q969&lt;18.5,"Underweight",
AND(Q969&gt;=18.5,Q969&lt;25),"Normal Weight",
AND(Q969&gt;=25,Q969&lt;30),"Overweight",
Q969&gt;=30,"Obesity")</f>
        <v>Normal Weight</v>
      </c>
      <c r="S969" s="2">
        <f t="shared" si="15"/>
        <v>924.10714285714278</v>
      </c>
      <c r="T969" s="2" t="str" cm="1">
        <f t="array" ref="T969">_xlfn.IFS(N969&lt;=2.5,"Low",N969&lt;=3,"Medium",N969&gt;3,"High")</f>
        <v>High</v>
      </c>
    </row>
    <row r="970" spans="1:20" x14ac:dyDescent="0.3">
      <c r="A970" s="2">
        <v>969</v>
      </c>
      <c r="B970" s="2" t="s">
        <v>25</v>
      </c>
      <c r="C970" s="2">
        <v>24</v>
      </c>
      <c r="D970" s="2" t="s">
        <v>15</v>
      </c>
      <c r="E970" s="2">
        <v>87.1</v>
      </c>
      <c r="F970" s="2">
        <v>1.74</v>
      </c>
      <c r="G970" s="2">
        <v>187</v>
      </c>
      <c r="H970" s="2">
        <v>158</v>
      </c>
      <c r="I970" s="2">
        <v>67</v>
      </c>
      <c r="J970" s="2">
        <v>1.57</v>
      </c>
      <c r="K970" s="2">
        <v>1364</v>
      </c>
      <c r="L970" s="2" t="s">
        <v>20</v>
      </c>
      <c r="M970" s="2">
        <v>10</v>
      </c>
      <c r="N970" s="2">
        <v>3.5</v>
      </c>
      <c r="O970" s="2">
        <v>4</v>
      </c>
      <c r="P970" s="2">
        <v>3</v>
      </c>
      <c r="Q970" s="2">
        <v>28.77</v>
      </c>
      <c r="R970" s="2" t="str" cm="1">
        <f t="array" ref="R970">_xlfn.IFS(Q970&lt;18.5,"Underweight",
AND(Q970&gt;=18.5,Q970&lt;25),"Normal Weight",
AND(Q970&gt;=25,Q970&lt;30),"Overweight",
Q970&gt;=30,"Obesity")</f>
        <v>Overweight</v>
      </c>
      <c r="S970" s="2">
        <f t="shared" si="15"/>
        <v>868.78980891719743</v>
      </c>
      <c r="T970" s="2" t="str" cm="1">
        <f t="array" ref="T970">_xlfn.IFS(N970&lt;=2.5,"Low",N970&lt;=3,"Medium",N970&gt;3,"High")</f>
        <v>High</v>
      </c>
    </row>
    <row r="971" spans="1:20" x14ac:dyDescent="0.3">
      <c r="A971" s="2">
        <v>970</v>
      </c>
      <c r="B971" s="2" t="s">
        <v>24</v>
      </c>
      <c r="C971" s="2">
        <v>25</v>
      </c>
      <c r="D971" s="2" t="s">
        <v>15</v>
      </c>
      <c r="E971" s="2">
        <v>66.599999999999994</v>
      </c>
      <c r="F971" s="2">
        <v>1.61</v>
      </c>
      <c r="G971" s="2">
        <v>184</v>
      </c>
      <c r="H971" s="2">
        <v>166</v>
      </c>
      <c r="I971" s="2">
        <v>56</v>
      </c>
      <c r="J971" s="2">
        <v>1.38</v>
      </c>
      <c r="K971" s="2">
        <v>1260</v>
      </c>
      <c r="L971" s="2" t="s">
        <v>20</v>
      </c>
      <c r="M971" s="2">
        <v>25</v>
      </c>
      <c r="N971" s="2">
        <v>3</v>
      </c>
      <c r="O971" s="2">
        <v>2</v>
      </c>
      <c r="P971" s="2">
        <v>1</v>
      </c>
      <c r="Q971" s="2">
        <v>25.69</v>
      </c>
      <c r="R971" s="2" t="str" cm="1">
        <f t="array" ref="R971">_xlfn.IFS(Q971&lt;18.5,"Underweight",
AND(Q971&gt;=18.5,Q971&lt;25),"Normal Weight",
AND(Q971&gt;=25,Q971&lt;30),"Overweight",
Q971&gt;=30,"Obesity")</f>
        <v>Overweight</v>
      </c>
      <c r="S971" s="2">
        <f t="shared" si="15"/>
        <v>913.04347826086962</v>
      </c>
      <c r="T971" s="2" t="str" cm="1">
        <f t="array" ref="T971">_xlfn.IFS(N971&lt;=2.5,"Low",N971&lt;=3,"Medium",N971&gt;3,"High")</f>
        <v>Medium</v>
      </c>
    </row>
    <row r="972" spans="1:20" x14ac:dyDescent="0.3">
      <c r="A972" s="2">
        <v>971</v>
      </c>
      <c r="B972" s="2" t="s">
        <v>25</v>
      </c>
      <c r="C972" s="2">
        <v>59</v>
      </c>
      <c r="D972" s="2" t="s">
        <v>16</v>
      </c>
      <c r="E972" s="2">
        <v>60.4</v>
      </c>
      <c r="F972" s="2">
        <v>1.76</v>
      </c>
      <c r="G972" s="2">
        <v>194</v>
      </c>
      <c r="H972" s="2">
        <v>120</v>
      </c>
      <c r="I972" s="2">
        <v>53</v>
      </c>
      <c r="J972" s="2">
        <v>1.72</v>
      </c>
      <c r="K972" s="2">
        <v>929</v>
      </c>
      <c r="L972" s="2" t="s">
        <v>19</v>
      </c>
      <c r="M972" s="2">
        <v>18.8</v>
      </c>
      <c r="N972" s="2">
        <v>2.7</v>
      </c>
      <c r="O972" s="2">
        <v>5</v>
      </c>
      <c r="P972" s="2">
        <v>3</v>
      </c>
      <c r="Q972" s="2">
        <v>19.5</v>
      </c>
      <c r="R972" s="2" t="str" cm="1">
        <f t="array" ref="R972">_xlfn.IFS(Q972&lt;18.5,"Underweight",
AND(Q972&gt;=18.5,Q972&lt;25),"Normal Weight",
AND(Q972&gt;=25,Q972&lt;30),"Overweight",
Q972&gt;=30,"Obesity")</f>
        <v>Normal Weight</v>
      </c>
      <c r="S972" s="2">
        <f t="shared" si="15"/>
        <v>540.11627906976742</v>
      </c>
      <c r="T972" s="2" t="str" cm="1">
        <f t="array" ref="T972">_xlfn.IFS(N972&lt;=2.5,"Low",N972&lt;=3,"Medium",N972&gt;3,"High")</f>
        <v>Medium</v>
      </c>
    </row>
    <row r="973" spans="1:20" x14ac:dyDescent="0.3">
      <c r="A973" s="2">
        <v>972</v>
      </c>
      <c r="B973" s="2" t="s">
        <v>29</v>
      </c>
      <c r="C973" s="2">
        <v>32</v>
      </c>
      <c r="D973" s="2" t="s">
        <v>15</v>
      </c>
      <c r="E973" s="2">
        <v>126.4</v>
      </c>
      <c r="F973" s="2">
        <v>1.83</v>
      </c>
      <c r="G973" s="2">
        <v>198</v>
      </c>
      <c r="H973" s="2">
        <v>146</v>
      </c>
      <c r="I973" s="2">
        <v>62</v>
      </c>
      <c r="J973" s="2">
        <v>1.1000000000000001</v>
      </c>
      <c r="K973" s="2">
        <v>883</v>
      </c>
      <c r="L973" s="2" t="s">
        <v>18</v>
      </c>
      <c r="M973" s="2">
        <v>28.2</v>
      </c>
      <c r="N973" s="2">
        <v>2.1</v>
      </c>
      <c r="O973" s="2">
        <v>3</v>
      </c>
      <c r="P973" s="2">
        <v>2</v>
      </c>
      <c r="Q973" s="2">
        <v>37.74</v>
      </c>
      <c r="R973" s="2" t="str" cm="1">
        <f t="array" ref="R973">_xlfn.IFS(Q973&lt;18.5,"Underweight",
AND(Q973&gt;=18.5,Q973&lt;25),"Normal Weight",
AND(Q973&gt;=25,Q973&lt;30),"Overweight",
Q973&gt;=30,"Obesity")</f>
        <v>Obesity</v>
      </c>
      <c r="S973" s="2">
        <f t="shared" si="15"/>
        <v>802.72727272727263</v>
      </c>
      <c r="T973" s="2" t="str" cm="1">
        <f t="array" ref="T973">_xlfn.IFS(N973&lt;=2.5,"Low",N973&lt;=3,"Medium",N973&gt;3,"High")</f>
        <v>Low</v>
      </c>
    </row>
    <row r="974" spans="1:20" x14ac:dyDescent="0.3">
      <c r="A974" s="2">
        <v>973</v>
      </c>
      <c r="B974" s="2" t="s">
        <v>27</v>
      </c>
      <c r="C974" s="2">
        <v>46</v>
      </c>
      <c r="D974" s="2" t="s">
        <v>15</v>
      </c>
      <c r="E974" s="2">
        <v>88.7</v>
      </c>
      <c r="F974" s="2">
        <v>1.63</v>
      </c>
      <c r="G974" s="2">
        <v>166</v>
      </c>
      <c r="H974" s="2">
        <v>146</v>
      </c>
      <c r="I974" s="2">
        <v>66</v>
      </c>
      <c r="J974" s="2">
        <v>0.75</v>
      </c>
      <c r="K974" s="2">
        <v>542</v>
      </c>
      <c r="L974" s="2" t="s">
        <v>20</v>
      </c>
      <c r="M974" s="2">
        <v>28.8</v>
      </c>
      <c r="N974" s="2">
        <v>3.5</v>
      </c>
      <c r="O974" s="2">
        <v>2</v>
      </c>
      <c r="P974" s="2">
        <v>1</v>
      </c>
      <c r="Q974" s="2">
        <v>33.380000000000003</v>
      </c>
      <c r="R974" s="2" t="str" cm="1">
        <f t="array" ref="R974">_xlfn.IFS(Q974&lt;18.5,"Underweight",
AND(Q974&gt;=18.5,Q974&lt;25),"Normal Weight",
AND(Q974&gt;=25,Q974&lt;30),"Overweight",
Q974&gt;=30,"Obesity")</f>
        <v>Obesity</v>
      </c>
      <c r="S974" s="2">
        <f t="shared" si="15"/>
        <v>722.66666666666663</v>
      </c>
      <c r="T974" s="2" t="str" cm="1">
        <f t="array" ref="T974">_xlfn.IFS(N974&lt;=2.5,"Low",N974&lt;=3,"Medium",N974&gt;3,"High")</f>
        <v>High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F5FB0-1D25-427B-B94B-02F18F35470E}">
  <dimension ref="A1"/>
  <sheetViews>
    <sheetView topLeftCell="B10" workbookViewId="0">
      <selection activeCell="S13" sqref="S1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10651-070A-413D-9134-5B02FBA65CCD}">
  <dimension ref="B8:L20"/>
  <sheetViews>
    <sheetView zoomScaleNormal="100" workbookViewId="0">
      <selection activeCell="G23" sqref="G23"/>
    </sheetView>
  </sheetViews>
  <sheetFormatPr defaultRowHeight="14.4" x14ac:dyDescent="0.3"/>
  <cols>
    <col min="2" max="2" width="10.6640625" bestFit="1" customWidth="1"/>
    <col min="3" max="3" width="13.88671875" bestFit="1" customWidth="1"/>
    <col min="5" max="5" width="10.77734375" bestFit="1" customWidth="1"/>
    <col min="6" max="6" width="18.77734375" bestFit="1" customWidth="1"/>
    <col min="8" max="8" width="15" bestFit="1" customWidth="1"/>
    <col min="9" max="9" width="15.5546875" bestFit="1" customWidth="1"/>
    <col min="10" max="10" width="5.21875" bestFit="1" customWidth="1"/>
    <col min="11" max="11" width="10.77734375" bestFit="1" customWidth="1"/>
    <col min="12" max="12" width="8" bestFit="1" customWidth="1"/>
    <col min="13" max="13" width="8.21875" bestFit="1" customWidth="1"/>
    <col min="14" max="14" width="10.21875" bestFit="1" customWidth="1"/>
    <col min="15" max="15" width="7.33203125" bestFit="1" customWidth="1"/>
    <col min="16" max="16" width="8.109375" bestFit="1" customWidth="1"/>
    <col min="17" max="17" width="6" bestFit="1" customWidth="1"/>
    <col min="18" max="18" width="5.33203125" bestFit="1" customWidth="1"/>
    <col min="19" max="19" width="10.77734375" bestFit="1" customWidth="1"/>
  </cols>
  <sheetData>
    <row r="8" spans="2:12" x14ac:dyDescent="0.3">
      <c r="B8" s="3" t="s">
        <v>35</v>
      </c>
      <c r="C8" s="4" t="s">
        <v>34</v>
      </c>
      <c r="E8" s="3" t="s">
        <v>35</v>
      </c>
      <c r="F8" s="4" t="s">
        <v>36</v>
      </c>
      <c r="H8" s="3" t="s">
        <v>39</v>
      </c>
      <c r="I8" s="3" t="s">
        <v>37</v>
      </c>
      <c r="J8" s="4"/>
      <c r="K8" s="4"/>
      <c r="L8" s="6"/>
    </row>
    <row r="9" spans="2:12" x14ac:dyDescent="0.3">
      <c r="B9" s="5" t="s">
        <v>23</v>
      </c>
      <c r="C9" s="4">
        <v>39.202127659574465</v>
      </c>
      <c r="E9" s="5" t="s">
        <v>29</v>
      </c>
      <c r="F9" s="4">
        <v>118</v>
      </c>
      <c r="H9" s="3" t="s">
        <v>35</v>
      </c>
      <c r="I9" s="4" t="s">
        <v>16</v>
      </c>
      <c r="J9" s="4" t="s">
        <v>15</v>
      </c>
      <c r="K9" s="4" t="s">
        <v>33</v>
      </c>
      <c r="L9" s="7" t="s">
        <v>38</v>
      </c>
    </row>
    <row r="10" spans="2:12" x14ac:dyDescent="0.3">
      <c r="B10" s="5" t="s">
        <v>26</v>
      </c>
      <c r="C10" s="4">
        <v>39.75925925925926</v>
      </c>
      <c r="E10" s="5" t="s">
        <v>26</v>
      </c>
      <c r="F10" s="4">
        <v>108</v>
      </c>
      <c r="H10" s="5" t="s">
        <v>23</v>
      </c>
      <c r="I10" s="4">
        <v>41</v>
      </c>
      <c r="J10" s="4">
        <v>53</v>
      </c>
      <c r="K10" s="4">
        <v>94</v>
      </c>
      <c r="L10" s="4" t="str">
        <f>ROUND(J10/I10,1)&amp;":1"</f>
        <v>1.3:1</v>
      </c>
    </row>
    <row r="11" spans="2:12" x14ac:dyDescent="0.3">
      <c r="B11" s="5" t="s">
        <v>27</v>
      </c>
      <c r="C11" s="4">
        <v>37.43010752688172</v>
      </c>
      <c r="E11" s="5" t="s">
        <v>24</v>
      </c>
      <c r="F11" s="4">
        <v>105</v>
      </c>
      <c r="H11" s="5" t="s">
        <v>26</v>
      </c>
      <c r="I11" s="4">
        <v>44</v>
      </c>
      <c r="J11" s="4">
        <v>64</v>
      </c>
      <c r="K11" s="4">
        <v>108</v>
      </c>
      <c r="L11" s="4" t="str">
        <f t="shared" ref="L11:L19" si="0">ROUND(J11/I11,1)&amp;":1"</f>
        <v>1.5:1</v>
      </c>
    </row>
    <row r="12" spans="2:12" x14ac:dyDescent="0.3">
      <c r="B12" s="5" t="s">
        <v>28</v>
      </c>
      <c r="C12" s="4">
        <v>36.839506172839506</v>
      </c>
      <c r="E12" s="5" t="s">
        <v>25</v>
      </c>
      <c r="F12" s="4">
        <v>103</v>
      </c>
      <c r="H12" s="5" t="s">
        <v>27</v>
      </c>
      <c r="I12" s="4">
        <v>46</v>
      </c>
      <c r="J12" s="4">
        <v>47</v>
      </c>
      <c r="K12" s="4">
        <v>93</v>
      </c>
      <c r="L12" s="4" t="str">
        <f t="shared" si="0"/>
        <v>1:1</v>
      </c>
    </row>
    <row r="13" spans="2:12" x14ac:dyDescent="0.3">
      <c r="B13" s="5" t="s">
        <v>30</v>
      </c>
      <c r="C13" s="4">
        <v>38.522222222222226</v>
      </c>
      <c r="E13" s="5" t="s">
        <v>23</v>
      </c>
      <c r="F13" s="4">
        <v>94</v>
      </c>
      <c r="H13" s="5" t="s">
        <v>28</v>
      </c>
      <c r="I13" s="4">
        <v>39</v>
      </c>
      <c r="J13" s="4">
        <v>42</v>
      </c>
      <c r="K13" s="4">
        <v>81</v>
      </c>
      <c r="L13" s="4" t="str">
        <f t="shared" si="0"/>
        <v>1.1:1</v>
      </c>
    </row>
    <row r="14" spans="2:12" x14ac:dyDescent="0.3">
      <c r="B14" s="5" t="s">
        <v>22</v>
      </c>
      <c r="C14" s="4">
        <v>37.68181818181818</v>
      </c>
      <c r="E14" s="5" t="s">
        <v>21</v>
      </c>
      <c r="F14" s="4">
        <v>93</v>
      </c>
      <c r="H14" s="5" t="s">
        <v>30</v>
      </c>
      <c r="I14" s="4">
        <v>45</v>
      </c>
      <c r="J14" s="4">
        <v>45</v>
      </c>
      <c r="K14" s="4">
        <v>90</v>
      </c>
      <c r="L14" s="4" t="str">
        <f t="shared" si="0"/>
        <v>1:1</v>
      </c>
    </row>
    <row r="15" spans="2:12" x14ac:dyDescent="0.3">
      <c r="B15" s="5" t="s">
        <v>21</v>
      </c>
      <c r="C15" s="4">
        <v>38.645161290322584</v>
      </c>
      <c r="E15" s="5" t="s">
        <v>27</v>
      </c>
      <c r="F15" s="4">
        <v>93</v>
      </c>
      <c r="H15" s="5" t="s">
        <v>22</v>
      </c>
      <c r="I15" s="4">
        <v>46</v>
      </c>
      <c r="J15" s="4">
        <v>42</v>
      </c>
      <c r="K15" s="4">
        <v>88</v>
      </c>
      <c r="L15" s="4" t="str">
        <f t="shared" si="0"/>
        <v>0.9:1</v>
      </c>
    </row>
    <row r="16" spans="2:12" x14ac:dyDescent="0.3">
      <c r="B16" s="5" t="s">
        <v>29</v>
      </c>
      <c r="C16" s="4">
        <v>39.203389830508478</v>
      </c>
      <c r="E16" s="5" t="s">
        <v>30</v>
      </c>
      <c r="F16" s="4">
        <v>90</v>
      </c>
      <c r="H16" s="5" t="s">
        <v>21</v>
      </c>
      <c r="I16" s="4">
        <v>43</v>
      </c>
      <c r="J16" s="4">
        <v>50</v>
      </c>
      <c r="K16" s="4">
        <v>93</v>
      </c>
      <c r="L16" s="4" t="str">
        <f t="shared" si="0"/>
        <v>1.2:1</v>
      </c>
    </row>
    <row r="17" spans="2:12" x14ac:dyDescent="0.3">
      <c r="B17" s="5" t="s">
        <v>25</v>
      </c>
      <c r="C17" s="4">
        <v>39.66990291262136</v>
      </c>
      <c r="E17" s="5" t="s">
        <v>22</v>
      </c>
      <c r="F17" s="4">
        <v>88</v>
      </c>
      <c r="H17" s="5" t="s">
        <v>29</v>
      </c>
      <c r="I17" s="4">
        <v>58</v>
      </c>
      <c r="J17" s="4">
        <v>60</v>
      </c>
      <c r="K17" s="4">
        <v>118</v>
      </c>
      <c r="L17" s="4" t="str">
        <f t="shared" si="0"/>
        <v>1:1</v>
      </c>
    </row>
    <row r="18" spans="2:12" x14ac:dyDescent="0.3">
      <c r="B18" s="5" t="s">
        <v>24</v>
      </c>
      <c r="C18" s="4">
        <v>39.104761904761908</v>
      </c>
      <c r="E18" s="5" t="s">
        <v>28</v>
      </c>
      <c r="F18" s="4">
        <v>81</v>
      </c>
      <c r="H18" s="5" t="s">
        <v>25</v>
      </c>
      <c r="I18" s="4">
        <v>48</v>
      </c>
      <c r="J18" s="4">
        <v>55</v>
      </c>
      <c r="K18" s="4">
        <v>103</v>
      </c>
      <c r="L18" s="4" t="str">
        <f t="shared" si="0"/>
        <v>1.1:1</v>
      </c>
    </row>
    <row r="19" spans="2:12" x14ac:dyDescent="0.3">
      <c r="E19" s="5" t="s">
        <v>33</v>
      </c>
      <c r="F19" s="4">
        <v>973</v>
      </c>
      <c r="H19" s="5" t="s">
        <v>24</v>
      </c>
      <c r="I19" s="4">
        <v>52</v>
      </c>
      <c r="J19" s="4">
        <v>53</v>
      </c>
      <c r="K19" s="4">
        <v>105</v>
      </c>
      <c r="L19" s="4" t="str">
        <f t="shared" si="0"/>
        <v>1:1</v>
      </c>
    </row>
    <row r="20" spans="2:12" x14ac:dyDescent="0.3">
      <c r="H20" s="5" t="s">
        <v>33</v>
      </c>
      <c r="I20" s="4">
        <v>462</v>
      </c>
      <c r="J20" s="4">
        <v>511</v>
      </c>
      <c r="K20" s="4">
        <v>973</v>
      </c>
      <c r="L20" s="7" t="str">
        <f t="shared" ref="L20" si="1">ROUND(J20/I20,1)&amp;":1"</f>
        <v>1.1:1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4E18C-41BE-4F60-A1E4-2F132E36D9F4}">
  <dimension ref="B8:I18"/>
  <sheetViews>
    <sheetView workbookViewId="0">
      <selection activeCell="K17" sqref="K17"/>
    </sheetView>
  </sheetViews>
  <sheetFormatPr defaultRowHeight="14.4" x14ac:dyDescent="0.3"/>
  <cols>
    <col min="2" max="2" width="12.5546875" bestFit="1" customWidth="1"/>
    <col min="3" max="3" width="14.109375" bestFit="1" customWidth="1"/>
    <col min="5" max="5" width="13.44140625" bestFit="1" customWidth="1"/>
    <col min="6" max="6" width="22.33203125" bestFit="1" customWidth="1"/>
    <col min="7" max="7" width="7.33203125" bestFit="1" customWidth="1"/>
    <col min="8" max="8" width="12.5546875" bestFit="1" customWidth="1"/>
    <col min="9" max="9" width="14.109375" bestFit="1" customWidth="1"/>
    <col min="10" max="10" width="10.77734375" bestFit="1" customWidth="1"/>
    <col min="12" max="12" width="12.5546875" bestFit="1" customWidth="1"/>
    <col min="13" max="13" width="14.109375" bestFit="1" customWidth="1"/>
    <col min="14" max="32" width="6" bestFit="1" customWidth="1"/>
    <col min="33" max="34" width="5" bestFit="1" customWidth="1"/>
    <col min="35" max="39" width="6" bestFit="1" customWidth="1"/>
    <col min="40" max="40" width="5" bestFit="1" customWidth="1"/>
    <col min="41" max="59" width="6" bestFit="1" customWidth="1"/>
    <col min="60" max="60" width="5" bestFit="1" customWidth="1"/>
    <col min="61" max="64" width="6" bestFit="1" customWidth="1"/>
    <col min="65" max="65" width="5" bestFit="1" customWidth="1"/>
    <col min="66" max="68" width="6" bestFit="1" customWidth="1"/>
    <col min="69" max="69" width="5" bestFit="1" customWidth="1"/>
    <col min="70" max="70" width="6" bestFit="1" customWidth="1"/>
    <col min="71" max="71" width="5" bestFit="1" customWidth="1"/>
    <col min="72" max="77" width="6" bestFit="1" customWidth="1"/>
    <col min="78" max="78" width="5" bestFit="1" customWidth="1"/>
    <col min="79" max="87" width="6" bestFit="1" customWidth="1"/>
    <col min="88" max="88" width="5" bestFit="1" customWidth="1"/>
    <col min="89" max="95" width="6" bestFit="1" customWidth="1"/>
    <col min="96" max="96" width="5" bestFit="1" customWidth="1"/>
    <col min="97" max="105" width="6" bestFit="1" customWidth="1"/>
    <col min="106" max="106" width="5" bestFit="1" customWidth="1"/>
    <col min="107" max="108" width="6" bestFit="1" customWidth="1"/>
    <col min="109" max="109" width="5" bestFit="1" customWidth="1"/>
    <col min="110" max="112" width="6" bestFit="1" customWidth="1"/>
    <col min="113" max="113" width="5" bestFit="1" customWidth="1"/>
    <col min="114" max="120" width="6" bestFit="1" customWidth="1"/>
    <col min="121" max="121" width="5" bestFit="1" customWidth="1"/>
    <col min="122" max="124" width="6" bestFit="1" customWidth="1"/>
    <col min="125" max="125" width="5" bestFit="1" customWidth="1"/>
    <col min="126" max="139" width="6" bestFit="1" customWidth="1"/>
    <col min="140" max="140" width="5" bestFit="1" customWidth="1"/>
    <col min="141" max="168" width="6" bestFit="1" customWidth="1"/>
    <col min="169" max="169" width="5" bestFit="1" customWidth="1"/>
    <col min="170" max="178" width="6" bestFit="1" customWidth="1"/>
    <col min="179" max="179" width="5" bestFit="1" customWidth="1"/>
    <col min="180" max="194" width="6" bestFit="1" customWidth="1"/>
    <col min="195" max="195" width="5" bestFit="1" customWidth="1"/>
    <col min="196" max="215" width="6" bestFit="1" customWidth="1"/>
    <col min="216" max="216" width="5" bestFit="1" customWidth="1"/>
    <col min="217" max="221" width="6" bestFit="1" customWidth="1"/>
    <col min="222" max="222" width="5" bestFit="1" customWidth="1"/>
    <col min="223" max="227" width="6" bestFit="1" customWidth="1"/>
    <col min="228" max="228" width="5" bestFit="1" customWidth="1"/>
    <col min="229" max="235" width="6" bestFit="1" customWidth="1"/>
    <col min="236" max="236" width="5" bestFit="1" customWidth="1"/>
    <col min="237" max="243" width="6" bestFit="1" customWidth="1"/>
    <col min="244" max="244" width="3" bestFit="1" customWidth="1"/>
    <col min="245" max="254" width="6" bestFit="1" customWidth="1"/>
    <col min="255" max="255" width="5" bestFit="1" customWidth="1"/>
    <col min="256" max="258" width="6" bestFit="1" customWidth="1"/>
    <col min="259" max="259" width="5" bestFit="1" customWidth="1"/>
    <col min="260" max="273" width="6" bestFit="1" customWidth="1"/>
    <col min="274" max="274" width="5" bestFit="1" customWidth="1"/>
    <col min="275" max="285" width="6" bestFit="1" customWidth="1"/>
    <col min="286" max="286" width="5" bestFit="1" customWidth="1"/>
    <col min="287" max="310" width="6" bestFit="1" customWidth="1"/>
    <col min="311" max="311" width="5" bestFit="1" customWidth="1"/>
    <col min="312" max="335" width="6" bestFit="1" customWidth="1"/>
    <col min="336" max="336" width="5" bestFit="1" customWidth="1"/>
    <col min="337" max="339" width="6" bestFit="1" customWidth="1"/>
    <col min="340" max="340" width="5" bestFit="1" customWidth="1"/>
    <col min="341" max="357" width="6" bestFit="1" customWidth="1"/>
    <col min="358" max="358" width="5" bestFit="1" customWidth="1"/>
    <col min="359" max="361" width="6" bestFit="1" customWidth="1"/>
    <col min="362" max="362" width="5" bestFit="1" customWidth="1"/>
    <col min="363" max="370" width="6" bestFit="1" customWidth="1"/>
    <col min="371" max="371" width="5" bestFit="1" customWidth="1"/>
    <col min="372" max="387" width="6" bestFit="1" customWidth="1"/>
    <col min="388" max="388" width="5" bestFit="1" customWidth="1"/>
    <col min="389" max="401" width="6" bestFit="1" customWidth="1"/>
    <col min="402" max="402" width="5" bestFit="1" customWidth="1"/>
    <col min="403" max="424" width="6" bestFit="1" customWidth="1"/>
    <col min="425" max="425" width="5" bestFit="1" customWidth="1"/>
    <col min="426" max="431" width="6" bestFit="1" customWidth="1"/>
    <col min="432" max="432" width="5" bestFit="1" customWidth="1"/>
    <col min="433" max="454" width="6" bestFit="1" customWidth="1"/>
    <col min="455" max="455" width="5" bestFit="1" customWidth="1"/>
    <col min="456" max="469" width="6" bestFit="1" customWidth="1"/>
    <col min="470" max="470" width="5" bestFit="1" customWidth="1"/>
    <col min="471" max="481" width="6" bestFit="1" customWidth="1"/>
    <col min="482" max="482" width="5" bestFit="1" customWidth="1"/>
    <col min="483" max="506" width="6" bestFit="1" customWidth="1"/>
    <col min="507" max="507" width="5" bestFit="1" customWidth="1"/>
    <col min="508" max="519" width="6" bestFit="1" customWidth="1"/>
    <col min="520" max="520" width="5" bestFit="1" customWidth="1"/>
    <col min="521" max="536" width="6" bestFit="1" customWidth="1"/>
    <col min="537" max="537" width="5" bestFit="1" customWidth="1"/>
    <col min="538" max="556" width="6" bestFit="1" customWidth="1"/>
    <col min="557" max="557" width="5" bestFit="1" customWidth="1"/>
    <col min="558" max="573" width="6" bestFit="1" customWidth="1"/>
    <col min="574" max="574" width="5" bestFit="1" customWidth="1"/>
    <col min="575" max="583" width="6" bestFit="1" customWidth="1"/>
    <col min="584" max="584" width="5" bestFit="1" customWidth="1"/>
    <col min="585" max="590" width="6" bestFit="1" customWidth="1"/>
    <col min="591" max="591" width="5" bestFit="1" customWidth="1"/>
    <col min="592" max="594" width="6" bestFit="1" customWidth="1"/>
    <col min="595" max="595" width="5" bestFit="1" customWidth="1"/>
    <col min="596" max="600" width="6" bestFit="1" customWidth="1"/>
    <col min="601" max="601" width="5" bestFit="1" customWidth="1"/>
    <col min="602" max="613" width="6" bestFit="1" customWidth="1"/>
    <col min="614" max="614" width="5" bestFit="1" customWidth="1"/>
    <col min="615" max="617" width="6" bestFit="1" customWidth="1"/>
    <col min="618" max="618" width="5" bestFit="1" customWidth="1"/>
    <col min="619" max="620" width="6" bestFit="1" customWidth="1"/>
    <col min="621" max="621" width="5" bestFit="1" customWidth="1"/>
    <col min="622" max="623" width="6" bestFit="1" customWidth="1"/>
    <col min="624" max="624" width="5" bestFit="1" customWidth="1"/>
    <col min="625" max="649" width="6" bestFit="1" customWidth="1"/>
    <col min="650" max="650" width="5" bestFit="1" customWidth="1"/>
    <col min="651" max="652" width="6" bestFit="1" customWidth="1"/>
    <col min="653" max="653" width="5" bestFit="1" customWidth="1"/>
    <col min="654" max="666" width="6" bestFit="1" customWidth="1"/>
    <col min="667" max="667" width="3" bestFit="1" customWidth="1"/>
    <col min="668" max="675" width="6" bestFit="1" customWidth="1"/>
    <col min="676" max="676" width="5" bestFit="1" customWidth="1"/>
    <col min="677" max="687" width="6" bestFit="1" customWidth="1"/>
    <col min="688" max="688" width="5" bestFit="1" customWidth="1"/>
    <col min="689" max="691" width="6" bestFit="1" customWidth="1"/>
    <col min="692" max="692" width="5" bestFit="1" customWidth="1"/>
    <col min="693" max="693" width="6" bestFit="1" customWidth="1"/>
    <col min="694" max="694" width="5" bestFit="1" customWidth="1"/>
    <col min="695" max="697" width="6" bestFit="1" customWidth="1"/>
    <col min="698" max="698" width="5" bestFit="1" customWidth="1"/>
    <col min="699" max="708" width="6" bestFit="1" customWidth="1"/>
    <col min="709" max="709" width="5" bestFit="1" customWidth="1"/>
    <col min="710" max="712" width="6" bestFit="1" customWidth="1"/>
    <col min="713" max="713" width="5" bestFit="1" customWidth="1"/>
    <col min="714" max="734" width="6" bestFit="1" customWidth="1"/>
    <col min="735" max="735" width="5" bestFit="1" customWidth="1"/>
    <col min="736" max="745" width="6" bestFit="1" customWidth="1"/>
    <col min="746" max="746" width="5" bestFit="1" customWidth="1"/>
    <col min="747" max="751" width="6" bestFit="1" customWidth="1"/>
    <col min="752" max="752" width="5" bestFit="1" customWidth="1"/>
    <col min="753" max="754" width="6" bestFit="1" customWidth="1"/>
    <col min="755" max="755" width="5" bestFit="1" customWidth="1"/>
    <col min="756" max="763" width="6" bestFit="1" customWidth="1"/>
    <col min="764" max="764" width="5" bestFit="1" customWidth="1"/>
    <col min="765" max="765" width="6" bestFit="1" customWidth="1"/>
    <col min="766" max="766" width="5" bestFit="1" customWidth="1"/>
    <col min="767" max="768" width="6" bestFit="1" customWidth="1"/>
    <col min="769" max="770" width="5" bestFit="1" customWidth="1"/>
    <col min="771" max="777" width="6" bestFit="1" customWidth="1"/>
    <col min="778" max="778" width="5" bestFit="1" customWidth="1"/>
    <col min="779" max="783" width="6" bestFit="1" customWidth="1"/>
    <col min="784" max="784" width="10.77734375" bestFit="1" customWidth="1"/>
    <col min="785" max="926" width="7.109375" bestFit="1" customWidth="1"/>
    <col min="927" max="927" width="9.77734375" bestFit="1" customWidth="1"/>
    <col min="928" max="928" width="10.77734375" bestFit="1" customWidth="1"/>
  </cols>
  <sheetData>
    <row r="8" spans="2:9" x14ac:dyDescent="0.3">
      <c r="B8" s="3" t="s">
        <v>40</v>
      </c>
      <c r="C8" s="4" t="s">
        <v>41</v>
      </c>
      <c r="E8" s="3" t="s">
        <v>40</v>
      </c>
      <c r="F8" s="4" t="s">
        <v>47</v>
      </c>
      <c r="H8" s="3" t="s">
        <v>40</v>
      </c>
      <c r="I8" s="4" t="s">
        <v>41</v>
      </c>
    </row>
    <row r="9" spans="2:9" x14ac:dyDescent="0.3">
      <c r="B9" s="5" t="s">
        <v>22</v>
      </c>
      <c r="C9" s="9">
        <v>26.259886363636369</v>
      </c>
      <c r="E9" s="5" t="s">
        <v>43</v>
      </c>
      <c r="F9" s="4">
        <v>370</v>
      </c>
      <c r="H9" s="5" t="s">
        <v>19</v>
      </c>
      <c r="I9" s="9">
        <v>25.377686274509809</v>
      </c>
    </row>
    <row r="10" spans="2:9" x14ac:dyDescent="0.3">
      <c r="B10" s="5" t="s">
        <v>27</v>
      </c>
      <c r="C10" s="9">
        <v>25.856129032258067</v>
      </c>
      <c r="E10" s="5" t="s">
        <v>45</v>
      </c>
      <c r="F10" s="4">
        <v>243</v>
      </c>
      <c r="H10" s="5" t="s">
        <v>18</v>
      </c>
      <c r="I10" s="9">
        <v>25.201945701357477</v>
      </c>
    </row>
    <row r="11" spans="2:9" x14ac:dyDescent="0.3">
      <c r="B11" s="5" t="s">
        <v>21</v>
      </c>
      <c r="C11" s="9">
        <v>25.681290322580637</v>
      </c>
      <c r="E11" s="5" t="s">
        <v>44</v>
      </c>
      <c r="F11" s="4">
        <v>192</v>
      </c>
      <c r="H11" s="5" t="s">
        <v>17</v>
      </c>
      <c r="I11" s="9">
        <v>24.545230125522998</v>
      </c>
    </row>
    <row r="12" spans="2:9" x14ac:dyDescent="0.3">
      <c r="B12" s="5" t="s">
        <v>23</v>
      </c>
      <c r="C12" s="9">
        <v>25.560000000000002</v>
      </c>
      <c r="E12" s="5" t="s">
        <v>46</v>
      </c>
      <c r="F12" s="4">
        <v>168</v>
      </c>
      <c r="H12" s="5" t="s">
        <v>20</v>
      </c>
      <c r="I12" s="9">
        <v>24.543604651162791</v>
      </c>
    </row>
    <row r="13" spans="2:9" x14ac:dyDescent="0.3">
      <c r="B13" s="5" t="s">
        <v>26</v>
      </c>
      <c r="C13" s="9">
        <v>25.228333333333335</v>
      </c>
      <c r="E13" s="5" t="s">
        <v>33</v>
      </c>
      <c r="F13" s="4">
        <v>973</v>
      </c>
    </row>
    <row r="14" spans="2:9" x14ac:dyDescent="0.3">
      <c r="B14" s="5" t="s">
        <v>28</v>
      </c>
      <c r="C14" s="9">
        <v>24.89271604938272</v>
      </c>
    </row>
    <row r="15" spans="2:9" x14ac:dyDescent="0.3">
      <c r="B15" s="5" t="s">
        <v>30</v>
      </c>
      <c r="C15" s="9">
        <v>24.265444444444448</v>
      </c>
    </row>
    <row r="16" spans="2:9" x14ac:dyDescent="0.3">
      <c r="B16" s="5" t="s">
        <v>24</v>
      </c>
      <c r="C16" s="9">
        <v>24.154857142857146</v>
      </c>
    </row>
    <row r="17" spans="2:3" x14ac:dyDescent="0.3">
      <c r="B17" s="5" t="s">
        <v>29</v>
      </c>
      <c r="C17" s="9">
        <v>23.994152542372866</v>
      </c>
    </row>
    <row r="18" spans="2:3" x14ac:dyDescent="0.3">
      <c r="B18" s="5" t="s">
        <v>25</v>
      </c>
      <c r="C18" s="9">
        <v>23.694951456310676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33386-8D10-4FED-973A-BA009AB2E508}">
  <dimension ref="B8:M20"/>
  <sheetViews>
    <sheetView zoomScaleNormal="100" workbookViewId="0">
      <selection activeCell="M23" sqref="M23"/>
    </sheetView>
  </sheetViews>
  <sheetFormatPr defaultRowHeight="14.4" x14ac:dyDescent="0.3"/>
  <cols>
    <col min="2" max="2" width="14.5546875" bestFit="1" customWidth="1"/>
    <col min="3" max="3" width="15.5546875" bestFit="1" customWidth="1"/>
    <col min="4" max="4" width="4.33203125" bestFit="1" customWidth="1"/>
    <col min="5" max="5" width="8.21875" bestFit="1" customWidth="1"/>
    <col min="6" max="6" width="5.109375" bestFit="1" customWidth="1"/>
    <col min="7" max="7" width="10.77734375" bestFit="1" customWidth="1"/>
    <col min="8" max="8" width="15" bestFit="1" customWidth="1"/>
    <col min="9" max="9" width="12.5546875" bestFit="1" customWidth="1"/>
    <col min="10" max="10" width="32.21875" bestFit="1" customWidth="1"/>
    <col min="11" max="11" width="10.77734375" bestFit="1" customWidth="1"/>
    <col min="12" max="12" width="12.5546875" bestFit="1" customWidth="1"/>
    <col min="13" max="13" width="32.21875" bestFit="1" customWidth="1"/>
    <col min="14" max="14" width="7.33203125" bestFit="1" customWidth="1"/>
    <col min="15" max="15" width="8.109375" bestFit="1" customWidth="1"/>
    <col min="16" max="16" width="6" bestFit="1" customWidth="1"/>
    <col min="17" max="17" width="5.33203125" bestFit="1" customWidth="1"/>
    <col min="18" max="18" width="10.77734375" bestFit="1" customWidth="1"/>
  </cols>
  <sheetData>
    <row r="8" spans="2:13" x14ac:dyDescent="0.3">
      <c r="B8" s="3" t="s">
        <v>48</v>
      </c>
      <c r="C8" s="3" t="s">
        <v>37</v>
      </c>
      <c r="D8" s="4"/>
      <c r="E8" s="4"/>
      <c r="F8" s="4"/>
      <c r="G8" s="4"/>
      <c r="I8" s="3" t="s">
        <v>40</v>
      </c>
      <c r="J8" s="4" t="s">
        <v>49</v>
      </c>
      <c r="L8" s="3" t="s">
        <v>40</v>
      </c>
      <c r="M8" s="4" t="s">
        <v>49</v>
      </c>
    </row>
    <row r="9" spans="2:13" x14ac:dyDescent="0.3">
      <c r="B9" s="3" t="s">
        <v>35</v>
      </c>
      <c r="C9" s="4" t="s">
        <v>19</v>
      </c>
      <c r="D9" s="4" t="s">
        <v>18</v>
      </c>
      <c r="E9" s="4" t="s">
        <v>20</v>
      </c>
      <c r="F9" s="4" t="s">
        <v>17</v>
      </c>
      <c r="G9" s="4" t="s">
        <v>33</v>
      </c>
      <c r="I9" s="5" t="s">
        <v>16</v>
      </c>
      <c r="J9" s="9">
        <v>1.2608225108225115</v>
      </c>
      <c r="L9" s="5">
        <v>1</v>
      </c>
      <c r="M9" s="9">
        <v>1.0102127659574465</v>
      </c>
    </row>
    <row r="10" spans="2:13" x14ac:dyDescent="0.3">
      <c r="B10" s="5" t="s">
        <v>23</v>
      </c>
      <c r="C10" s="4">
        <v>28</v>
      </c>
      <c r="D10" s="4">
        <v>27</v>
      </c>
      <c r="E10" s="4">
        <v>19</v>
      </c>
      <c r="F10" s="4">
        <v>20</v>
      </c>
      <c r="G10" s="4">
        <v>94</v>
      </c>
      <c r="I10" s="5" t="s">
        <v>15</v>
      </c>
      <c r="J10" s="9">
        <v>1.2524461839530336</v>
      </c>
      <c r="L10" s="5">
        <v>2</v>
      </c>
      <c r="M10" s="9">
        <v>1.2478817733990148</v>
      </c>
    </row>
    <row r="11" spans="2:13" x14ac:dyDescent="0.3">
      <c r="B11" s="5" t="s">
        <v>26</v>
      </c>
      <c r="C11" s="4">
        <v>25</v>
      </c>
      <c r="D11" s="4">
        <v>30</v>
      </c>
      <c r="E11" s="4">
        <v>25</v>
      </c>
      <c r="F11" s="4">
        <v>28</v>
      </c>
      <c r="G11" s="4">
        <v>108</v>
      </c>
      <c r="L11" s="5">
        <v>3</v>
      </c>
      <c r="M11" s="9">
        <v>1.7592670157068062</v>
      </c>
    </row>
    <row r="12" spans="2:13" x14ac:dyDescent="0.3">
      <c r="B12" s="5" t="s">
        <v>27</v>
      </c>
      <c r="C12" s="4">
        <v>19</v>
      </c>
      <c r="D12" s="4">
        <v>17</v>
      </c>
      <c r="E12" s="4">
        <v>27</v>
      </c>
      <c r="F12" s="4">
        <v>30</v>
      </c>
      <c r="G12" s="4">
        <v>93</v>
      </c>
    </row>
    <row r="13" spans="2:13" x14ac:dyDescent="0.3">
      <c r="B13" s="5" t="s">
        <v>28</v>
      </c>
      <c r="C13" s="4">
        <v>18</v>
      </c>
      <c r="D13" s="4">
        <v>18</v>
      </c>
      <c r="E13" s="4">
        <v>23</v>
      </c>
      <c r="F13" s="4">
        <v>22</v>
      </c>
      <c r="G13" s="4">
        <v>81</v>
      </c>
    </row>
    <row r="14" spans="2:13" x14ac:dyDescent="0.3">
      <c r="B14" s="5" t="s">
        <v>30</v>
      </c>
      <c r="C14" s="4">
        <v>24</v>
      </c>
      <c r="D14" s="4">
        <v>18</v>
      </c>
      <c r="E14" s="4">
        <v>23</v>
      </c>
      <c r="F14" s="4">
        <v>25</v>
      </c>
      <c r="G14" s="4">
        <v>90</v>
      </c>
    </row>
    <row r="15" spans="2:13" x14ac:dyDescent="0.3">
      <c r="B15" s="5" t="s">
        <v>22</v>
      </c>
      <c r="C15" s="4">
        <v>25</v>
      </c>
      <c r="D15" s="4">
        <v>22</v>
      </c>
      <c r="E15" s="4">
        <v>20</v>
      </c>
      <c r="F15" s="4">
        <v>21</v>
      </c>
      <c r="G15" s="4">
        <v>88</v>
      </c>
    </row>
    <row r="16" spans="2:13" x14ac:dyDescent="0.3">
      <c r="B16" s="5" t="s">
        <v>21</v>
      </c>
      <c r="C16" s="4">
        <v>24</v>
      </c>
      <c r="D16" s="4">
        <v>17</v>
      </c>
      <c r="E16" s="4">
        <v>30</v>
      </c>
      <c r="F16" s="4">
        <v>22</v>
      </c>
      <c r="G16" s="4">
        <v>93</v>
      </c>
    </row>
    <row r="17" spans="2:7" x14ac:dyDescent="0.3">
      <c r="B17" s="5" t="s">
        <v>29</v>
      </c>
      <c r="C17" s="4">
        <v>34</v>
      </c>
      <c r="D17" s="4">
        <v>29</v>
      </c>
      <c r="E17" s="4">
        <v>33</v>
      </c>
      <c r="F17" s="4">
        <v>22</v>
      </c>
      <c r="G17" s="4">
        <v>118</v>
      </c>
    </row>
    <row r="18" spans="2:7" x14ac:dyDescent="0.3">
      <c r="B18" s="5" t="s">
        <v>25</v>
      </c>
      <c r="C18" s="4">
        <v>25</v>
      </c>
      <c r="D18" s="4">
        <v>23</v>
      </c>
      <c r="E18" s="4">
        <v>32</v>
      </c>
      <c r="F18" s="4">
        <v>23</v>
      </c>
      <c r="G18" s="4">
        <v>103</v>
      </c>
    </row>
    <row r="19" spans="2:7" x14ac:dyDescent="0.3">
      <c r="B19" s="5" t="s">
        <v>24</v>
      </c>
      <c r="C19" s="4">
        <v>33</v>
      </c>
      <c r="D19" s="4">
        <v>20</v>
      </c>
      <c r="E19" s="4">
        <v>26</v>
      </c>
      <c r="F19" s="4">
        <v>26</v>
      </c>
      <c r="G19" s="4">
        <v>105</v>
      </c>
    </row>
    <row r="20" spans="2:7" x14ac:dyDescent="0.3">
      <c r="B20" s="5" t="s">
        <v>33</v>
      </c>
      <c r="C20" s="4">
        <v>255</v>
      </c>
      <c r="D20" s="4">
        <v>221</v>
      </c>
      <c r="E20" s="4">
        <v>258</v>
      </c>
      <c r="F20" s="4">
        <v>239</v>
      </c>
      <c r="G20" s="4">
        <v>973</v>
      </c>
    </row>
  </sheetData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CFA01-9135-49E1-AF3E-83F32535D819}">
  <dimension ref="G7:K11"/>
  <sheetViews>
    <sheetView zoomScaleNormal="100" workbookViewId="0">
      <selection activeCell="H3" sqref="H3"/>
    </sheetView>
  </sheetViews>
  <sheetFormatPr defaultRowHeight="14.4" x14ac:dyDescent="0.3"/>
  <cols>
    <col min="2" max="2" width="21.44140625" bestFit="1" customWidth="1"/>
    <col min="3" max="3" width="12.5546875" bestFit="1" customWidth="1"/>
    <col min="4" max="4" width="21.44140625" bestFit="1" customWidth="1"/>
    <col min="5" max="5" width="15.5546875" bestFit="1" customWidth="1"/>
    <col min="6" max="6" width="10.77734375" bestFit="1" customWidth="1"/>
    <col min="7" max="7" width="12.5546875" bestFit="1" customWidth="1"/>
    <col min="8" max="8" width="24.5546875" bestFit="1" customWidth="1"/>
    <col min="9" max="9" width="10.77734375" bestFit="1" customWidth="1"/>
    <col min="10" max="10" width="12.5546875" bestFit="1" customWidth="1"/>
    <col min="11" max="11" width="34.33203125" bestFit="1" customWidth="1"/>
    <col min="12" max="12" width="7.33203125" bestFit="1" customWidth="1"/>
    <col min="13" max="13" width="8.109375" bestFit="1" customWidth="1"/>
    <col min="14" max="14" width="6" bestFit="1" customWidth="1"/>
    <col min="15" max="15" width="5.33203125" bestFit="1" customWidth="1"/>
    <col min="16" max="16" width="10.77734375" bestFit="1" customWidth="1"/>
  </cols>
  <sheetData>
    <row r="7" spans="7:11" x14ac:dyDescent="0.3">
      <c r="G7" s="3" t="s">
        <v>40</v>
      </c>
      <c r="H7" s="4" t="s">
        <v>50</v>
      </c>
      <c r="J7" s="3" t="s">
        <v>40</v>
      </c>
      <c r="K7" s="4" t="s">
        <v>52</v>
      </c>
    </row>
    <row r="8" spans="7:11" x14ac:dyDescent="0.3">
      <c r="G8" s="5" t="s">
        <v>15</v>
      </c>
      <c r="H8" s="9">
        <v>944.45596868884536</v>
      </c>
      <c r="J8" s="5" t="s">
        <v>20</v>
      </c>
      <c r="K8" s="4">
        <v>723.99504412525687</v>
      </c>
    </row>
    <row r="9" spans="7:11" x14ac:dyDescent="0.3">
      <c r="G9" s="5" t="s">
        <v>16</v>
      </c>
      <c r="H9" s="9">
        <v>862.24891774891773</v>
      </c>
      <c r="J9" s="5" t="s">
        <v>19</v>
      </c>
      <c r="K9" s="4">
        <v>723.84799234423758</v>
      </c>
    </row>
    <row r="10" spans="7:11" x14ac:dyDescent="0.3">
      <c r="J10" s="5" t="s">
        <v>17</v>
      </c>
      <c r="K10" s="4">
        <v>716.51922844038882</v>
      </c>
    </row>
    <row r="11" spans="7:11" x14ac:dyDescent="0.3">
      <c r="J11" s="5" t="s">
        <v>18</v>
      </c>
      <c r="K11" s="4">
        <v>716.51509894070796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9C6-84BB-487B-B8B2-C7741DBA5402}">
  <dimension ref="B8:F13"/>
  <sheetViews>
    <sheetView zoomScaleNormal="100" workbookViewId="0">
      <selection activeCell="K10" sqref="K10"/>
    </sheetView>
  </sheetViews>
  <sheetFormatPr defaultRowHeight="14.4" x14ac:dyDescent="0.3"/>
  <cols>
    <col min="2" max="2" width="7.77734375" bestFit="1" customWidth="1"/>
    <col min="3" max="3" width="19" bestFit="1" customWidth="1"/>
    <col min="5" max="5" width="12.5546875" bestFit="1" customWidth="1"/>
    <col min="6" max="6" width="21.44140625" bestFit="1" customWidth="1"/>
    <col min="8" max="8" width="10.77734375" bestFit="1" customWidth="1"/>
    <col min="9" max="9" width="15.5546875" bestFit="1" customWidth="1"/>
    <col min="10" max="10" width="5.21875" bestFit="1" customWidth="1"/>
    <col min="11" max="11" width="10.77734375" bestFit="1" customWidth="1"/>
    <col min="12" max="12" width="8.21875" bestFit="1" customWidth="1"/>
    <col min="13" max="13" width="10.21875" bestFit="1" customWidth="1"/>
    <col min="14" max="14" width="7.33203125" bestFit="1" customWidth="1"/>
    <col min="15" max="15" width="8.109375" bestFit="1" customWidth="1"/>
    <col min="16" max="16" width="6" bestFit="1" customWidth="1"/>
    <col min="17" max="17" width="5.33203125" bestFit="1" customWidth="1"/>
    <col min="18" max="18" width="10.77734375" bestFit="1" customWidth="1"/>
  </cols>
  <sheetData>
    <row r="8" spans="2:6" x14ac:dyDescent="0.3">
      <c r="B8" s="3" t="s">
        <v>54</v>
      </c>
      <c r="C8" s="4" t="s">
        <v>53</v>
      </c>
      <c r="E8" s="3" t="s">
        <v>56</v>
      </c>
      <c r="F8" s="4" t="s">
        <v>55</v>
      </c>
    </row>
    <row r="9" spans="2:6" x14ac:dyDescent="0.3">
      <c r="B9" s="5" t="s">
        <v>19</v>
      </c>
      <c r="C9" s="4">
        <v>143.89019607843136</v>
      </c>
      <c r="E9" s="5">
        <v>2</v>
      </c>
      <c r="F9" s="4">
        <v>62.203045685279186</v>
      </c>
    </row>
    <row r="10" spans="2:6" x14ac:dyDescent="0.3">
      <c r="B10" s="5" t="s">
        <v>18</v>
      </c>
      <c r="C10" s="4">
        <v>143.52488687782807</v>
      </c>
      <c r="E10" s="5">
        <v>3</v>
      </c>
      <c r="F10" s="4">
        <v>62.307065217391305</v>
      </c>
    </row>
    <row r="11" spans="2:6" x14ac:dyDescent="0.3">
      <c r="B11" s="5" t="s">
        <v>20</v>
      </c>
      <c r="C11" s="4">
        <v>144.31395348837211</v>
      </c>
      <c r="E11" s="5">
        <v>4</v>
      </c>
      <c r="F11" s="4">
        <v>62.228758169934643</v>
      </c>
    </row>
    <row r="12" spans="2:6" x14ac:dyDescent="0.3">
      <c r="B12" s="5" t="s">
        <v>17</v>
      </c>
      <c r="C12" s="4">
        <v>143.26778242677824</v>
      </c>
      <c r="E12" s="5">
        <v>5</v>
      </c>
      <c r="F12" s="4">
        <v>61.941176470588232</v>
      </c>
    </row>
    <row r="13" spans="2:6" x14ac:dyDescent="0.3">
      <c r="E13" s="5" t="s">
        <v>33</v>
      </c>
      <c r="F13" s="4">
        <v>62.223021582733814</v>
      </c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D971B-4AF8-4A72-87E3-86622077B5F3}">
  <dimension ref="B8:G19"/>
  <sheetViews>
    <sheetView tabSelected="1" zoomScaleNormal="100" workbookViewId="0">
      <selection activeCell="I6" sqref="I6"/>
    </sheetView>
  </sheetViews>
  <sheetFormatPr defaultRowHeight="14.4" x14ac:dyDescent="0.3"/>
  <cols>
    <col min="2" max="2" width="28.21875" bestFit="1" customWidth="1"/>
    <col min="3" max="3" width="15.5546875" bestFit="1" customWidth="1"/>
    <col min="4" max="5" width="12" bestFit="1" customWidth="1"/>
    <col min="6" max="6" width="14.109375" bestFit="1" customWidth="1"/>
    <col min="7" max="7" width="23.88671875" bestFit="1" customWidth="1"/>
    <col min="8" max="8" width="10.21875" bestFit="1" customWidth="1"/>
    <col min="9" max="9" width="7.33203125" bestFit="1" customWidth="1"/>
    <col min="10" max="10" width="8.109375" bestFit="1" customWidth="1"/>
    <col min="11" max="11" width="6" bestFit="1" customWidth="1"/>
    <col min="12" max="12" width="5.33203125" bestFit="1" customWidth="1"/>
    <col min="13" max="13" width="10.77734375" bestFit="1" customWidth="1"/>
    <col min="14" max="22" width="11.33203125" bestFit="1" customWidth="1"/>
    <col min="23" max="23" width="9.88671875" bestFit="1" customWidth="1"/>
    <col min="24" max="24" width="10.77734375" bestFit="1" customWidth="1"/>
  </cols>
  <sheetData>
    <row r="8" spans="2:7" x14ac:dyDescent="0.3">
      <c r="B8" s="3" t="s">
        <v>57</v>
      </c>
      <c r="C8" s="3" t="s">
        <v>37</v>
      </c>
      <c r="D8" s="4"/>
      <c r="F8" s="3" t="s">
        <v>63</v>
      </c>
      <c r="G8" s="4" t="s">
        <v>62</v>
      </c>
    </row>
    <row r="9" spans="2:7" x14ac:dyDescent="0.3">
      <c r="B9" s="3" t="s">
        <v>54</v>
      </c>
      <c r="C9" s="4" t="s">
        <v>16</v>
      </c>
      <c r="D9" s="4" t="s">
        <v>15</v>
      </c>
      <c r="F9" s="5" t="s">
        <v>60</v>
      </c>
      <c r="G9" s="4">
        <v>28.836302895322969</v>
      </c>
    </row>
    <row r="10" spans="2:7" x14ac:dyDescent="0.3">
      <c r="B10" s="5" t="s">
        <v>23</v>
      </c>
      <c r="C10" s="4">
        <v>2.1560975609756103</v>
      </c>
      <c r="D10" s="4">
        <v>2.9830188679245278</v>
      </c>
      <c r="F10" s="5" t="s">
        <v>61</v>
      </c>
      <c r="G10" s="4">
        <v>22.992578125000016</v>
      </c>
    </row>
    <row r="11" spans="2:7" x14ac:dyDescent="0.3">
      <c r="B11" s="5" t="s">
        <v>26</v>
      </c>
      <c r="C11" s="4">
        <v>2.2954545454545454</v>
      </c>
      <c r="D11" s="4">
        <v>3.0390625000000004</v>
      </c>
      <c r="F11" s="5" t="s">
        <v>59</v>
      </c>
      <c r="G11" s="4">
        <v>20.405970149253719</v>
      </c>
    </row>
    <row r="12" spans="2:7" x14ac:dyDescent="0.3">
      <c r="B12" s="5" t="s">
        <v>27</v>
      </c>
      <c r="C12" s="4">
        <v>2.2695652173913046</v>
      </c>
      <c r="D12" s="4">
        <v>3.0595744680851067</v>
      </c>
    </row>
    <row r="13" spans="2:7" x14ac:dyDescent="0.3">
      <c r="B13" s="5" t="s">
        <v>28</v>
      </c>
      <c r="C13" s="4">
        <v>2.1615384615384614</v>
      </c>
      <c r="D13" s="4">
        <v>2.8619047619047611</v>
      </c>
    </row>
    <row r="14" spans="2:7" x14ac:dyDescent="0.3">
      <c r="B14" s="5" t="s">
        <v>30</v>
      </c>
      <c r="C14" s="4">
        <v>2.177777777777778</v>
      </c>
      <c r="D14" s="4">
        <v>3.0555555555555562</v>
      </c>
    </row>
    <row r="15" spans="2:7" x14ac:dyDescent="0.3">
      <c r="B15" s="5" t="s">
        <v>22</v>
      </c>
      <c r="C15" s="4">
        <v>2.3000000000000007</v>
      </c>
      <c r="D15" s="4">
        <v>3.0380952380952384</v>
      </c>
    </row>
    <row r="16" spans="2:7" x14ac:dyDescent="0.3">
      <c r="B16" s="5" t="s">
        <v>21</v>
      </c>
      <c r="C16" s="4">
        <v>2.1255813953488372</v>
      </c>
      <c r="D16" s="4">
        <v>3.0960000000000014</v>
      </c>
    </row>
    <row r="17" spans="2:4" x14ac:dyDescent="0.3">
      <c r="B17" s="5" t="s">
        <v>29</v>
      </c>
      <c r="C17" s="4">
        <v>2.1293103448275863</v>
      </c>
      <c r="D17" s="4">
        <v>2.9516666666666671</v>
      </c>
    </row>
    <row r="18" spans="2:4" x14ac:dyDescent="0.3">
      <c r="B18" s="5" t="s">
        <v>25</v>
      </c>
      <c r="C18" s="4">
        <v>2.2041666666666679</v>
      </c>
      <c r="D18" s="4">
        <v>2.9872727272727269</v>
      </c>
    </row>
    <row r="19" spans="2:4" x14ac:dyDescent="0.3">
      <c r="B19" s="5" t="s">
        <v>24</v>
      </c>
      <c r="C19" s="4">
        <v>2.2365384615384616</v>
      </c>
      <c r="D19" s="4">
        <v>2.9981132075471706</v>
      </c>
    </row>
  </sheetData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B6967-3232-4EF2-9642-8EB697474FD5}">
  <dimension ref="B8:I32"/>
  <sheetViews>
    <sheetView zoomScaleNormal="100" workbookViewId="0">
      <selection activeCell="J8" sqref="J8"/>
    </sheetView>
  </sheetViews>
  <sheetFormatPr defaultRowHeight="14.4" x14ac:dyDescent="0.3"/>
  <cols>
    <col min="2" max="2" width="10.6640625" bestFit="1" customWidth="1"/>
    <col min="3" max="3" width="16.33203125" bestFit="1" customWidth="1"/>
    <col min="4" max="4" width="26.109375" bestFit="1" customWidth="1"/>
    <col min="5" max="5" width="15.5546875" bestFit="1" customWidth="1"/>
    <col min="6" max="6" width="17.77734375" bestFit="1" customWidth="1"/>
    <col min="7" max="7" width="24.5546875" bestFit="1" customWidth="1"/>
    <col min="8" max="8" width="15" bestFit="1" customWidth="1"/>
    <col min="9" max="9" width="12.5546875" bestFit="1" customWidth="1"/>
    <col min="10" max="10" width="32.21875" bestFit="1" customWidth="1"/>
    <col min="11" max="11" width="10.77734375" bestFit="1" customWidth="1"/>
    <col min="12" max="12" width="12.5546875" bestFit="1" customWidth="1"/>
    <col min="13" max="13" width="32.21875" bestFit="1" customWidth="1"/>
    <col min="14" max="14" width="7.33203125" bestFit="1" customWidth="1"/>
    <col min="15" max="15" width="8.109375" bestFit="1" customWidth="1"/>
    <col min="16" max="16" width="6" bestFit="1" customWidth="1"/>
    <col min="17" max="17" width="5.33203125" bestFit="1" customWidth="1"/>
    <col min="18" max="18" width="10.77734375" bestFit="1" customWidth="1"/>
  </cols>
  <sheetData>
    <row r="8" spans="2:7" x14ac:dyDescent="0.3">
      <c r="B8" s="12" t="s">
        <v>35</v>
      </c>
      <c r="C8" s="12" t="s">
        <v>41</v>
      </c>
      <c r="D8" s="12" t="s">
        <v>62</v>
      </c>
      <c r="F8" s="3" t="s">
        <v>12</v>
      </c>
      <c r="G8" s="4" t="s">
        <v>50</v>
      </c>
    </row>
    <row r="9" spans="2:7" x14ac:dyDescent="0.3">
      <c r="B9" s="4" t="s">
        <v>26</v>
      </c>
      <c r="C9" s="9">
        <v>23.694951456310676</v>
      </c>
      <c r="D9" s="9">
        <v>24.182407407407407</v>
      </c>
      <c r="F9" s="5">
        <v>1</v>
      </c>
      <c r="G9" s="11">
        <v>726.375</v>
      </c>
    </row>
    <row r="10" spans="2:7" x14ac:dyDescent="0.3">
      <c r="B10" s="4" t="s">
        <v>23</v>
      </c>
      <c r="C10" s="9">
        <v>23.994152542372866</v>
      </c>
      <c r="D10" s="9">
        <v>24.33085106382978</v>
      </c>
      <c r="F10" s="5">
        <v>2</v>
      </c>
      <c r="G10" s="11">
        <v>901.91871921182269</v>
      </c>
    </row>
    <row r="11" spans="2:7" x14ac:dyDescent="0.3">
      <c r="B11" s="4" t="s">
        <v>21</v>
      </c>
      <c r="C11" s="9">
        <v>24.154857142857146</v>
      </c>
      <c r="D11" s="9">
        <v>24.683870967741928</v>
      </c>
      <c r="F11" s="5">
        <v>3</v>
      </c>
      <c r="G11" s="11">
        <v>1265.3403141361257</v>
      </c>
    </row>
    <row r="12" spans="2:7" x14ac:dyDescent="0.3">
      <c r="B12" s="4" t="s">
        <v>29</v>
      </c>
      <c r="C12" s="9">
        <v>24.265444444444448</v>
      </c>
      <c r="D12" s="9">
        <v>24.738135593220342</v>
      </c>
    </row>
    <row r="13" spans="2:7" x14ac:dyDescent="0.3">
      <c r="B13" s="4" t="s">
        <v>24</v>
      </c>
      <c r="C13" s="9">
        <v>24.89271604938272</v>
      </c>
      <c r="D13" s="9">
        <v>24.981904761904751</v>
      </c>
    </row>
    <row r="14" spans="2:7" x14ac:dyDescent="0.3">
      <c r="B14" s="4" t="s">
        <v>22</v>
      </c>
      <c r="C14" s="9">
        <v>25.228333333333335</v>
      </c>
      <c r="D14" s="9">
        <v>25.081818181818186</v>
      </c>
    </row>
    <row r="15" spans="2:7" x14ac:dyDescent="0.3">
      <c r="B15" s="4" t="s">
        <v>27</v>
      </c>
      <c r="C15" s="9">
        <v>25.560000000000002</v>
      </c>
      <c r="D15" s="9">
        <v>25.120430107526886</v>
      </c>
    </row>
    <row r="16" spans="2:7" x14ac:dyDescent="0.3">
      <c r="B16" s="4" t="s">
        <v>25</v>
      </c>
      <c r="C16" s="9">
        <v>25.681290322580601</v>
      </c>
      <c r="D16" s="9">
        <v>25.22912621359222</v>
      </c>
    </row>
    <row r="17" spans="2:9" x14ac:dyDescent="0.3">
      <c r="B17" s="4" t="s">
        <v>30</v>
      </c>
      <c r="C17" s="9">
        <v>25.856129032258067</v>
      </c>
      <c r="D17" s="9">
        <v>25.551111111111105</v>
      </c>
    </row>
    <row r="18" spans="2:9" x14ac:dyDescent="0.3">
      <c r="B18" s="4" t="s">
        <v>28</v>
      </c>
      <c r="C18" s="9">
        <v>26.259886363636369</v>
      </c>
      <c r="D18" s="9">
        <v>26.224691358024689</v>
      </c>
    </row>
    <row r="32" spans="2:9" x14ac:dyDescent="0.3">
      <c r="I32" s="10"/>
    </row>
  </sheetData>
  <autoFilter ref="B8:D18" xr:uid="{B3BB6967-3232-4EF2-9642-8EB697474FD5}">
    <sortState xmlns:xlrd2="http://schemas.microsoft.com/office/spreadsheetml/2017/richdata2" ref="B9:D18">
      <sortCondition ref="D8:D18"/>
    </sortState>
  </autoFilter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Dataset</vt:lpstr>
      <vt:lpstr>Questions We Have to Solve.</vt:lpstr>
      <vt:lpstr>1.Demographics and Distribution</vt:lpstr>
      <vt:lpstr>2.Health &amp; Fitness Analysis</vt:lpstr>
      <vt:lpstr>3.Workout Habits.</vt:lpstr>
      <vt:lpstr>4.Calories &amp; Performance</vt:lpstr>
      <vt:lpstr>5.Heart Rate &amp; Endurance</vt:lpstr>
      <vt:lpstr>6.Hydration &amp; Fat Percentage</vt:lpstr>
      <vt:lpstr>7.Comparative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Gourav Tiwari</cp:lastModifiedBy>
  <dcterms:created xsi:type="dcterms:W3CDTF">2025-08-24T11:59:25Z</dcterms:created>
  <dcterms:modified xsi:type="dcterms:W3CDTF">2025-08-27T06:49:28Z</dcterms:modified>
</cp:coreProperties>
</file>